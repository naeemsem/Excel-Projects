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eems\Google Drive\4th spring\"/>
    </mc:Choice>
  </mc:AlternateContent>
  <xr:revisionPtr revIDLastSave="0" documentId="13_ncr:1_{87E8AB35-3531-4F4A-AEE5-4C307965D01E}" xr6:coauthVersionLast="43" xr6:coauthVersionMax="43" xr10:uidLastSave="{00000000-0000-0000-0000-000000000000}"/>
  <bookViews>
    <workbookView xWindow="-104" yWindow="-104" windowWidth="22326" windowHeight="12200" xr2:uid="{8552DDE2-DF0A-47D9-9AD2-0A024EB5AC65}"/>
  </bookViews>
  <sheets>
    <sheet name="Main Menu" sheetId="8" r:id="rId1"/>
    <sheet name="Customer Look up" sheetId="7" r:id="rId2"/>
    <sheet name="POS" sheetId="12" r:id="rId3"/>
    <sheet name="Inventory" sheetId="2" r:id="rId4"/>
    <sheet name="Sales Manager" sheetId="10" r:id="rId5"/>
    <sheet name="Inventory prediction" sheetId="4" r:id="rId6"/>
    <sheet name="Data" sheetId="3" r:id="rId7"/>
    <sheet name="Requirements" sheetId="1" r:id="rId8"/>
  </sheets>
  <definedNames>
    <definedName name="ExternalData_1" localSheetId="3" hidden="1">Inventory!$B$7:$I$27</definedName>
    <definedName name="ExternalData_1" localSheetId="5" hidden="1">'Inventory prediction'!$R$1:$U$20</definedName>
    <definedName name="ExternalData_2" localSheetId="4" hidden="1">'Sales Manager'!$B$10:$L$150</definedName>
    <definedName name="ExternalData_3" localSheetId="4" hidden="1">'Sales Manager'!$B$4:$E$5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K40" i="4" l="1"/>
  <c r="AG6" i="4"/>
  <c r="AD5" i="4"/>
  <c r="X11" i="4" s="1"/>
  <c r="Z11" i="4" s="1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11" i="4"/>
  <c r="X7" i="4"/>
  <c r="X6" i="4"/>
  <c r="X5" i="4"/>
  <c r="X4" i="4"/>
  <c r="X3" i="4"/>
  <c r="P11" i="10" a="1"/>
  <c r="P11" i="10" s="1"/>
  <c r="P12" i="10" a="1"/>
  <c r="P12" i="10" s="1"/>
  <c r="P13" i="10" a="1"/>
  <c r="P13" i="10" s="1"/>
  <c r="P14" i="10" a="1"/>
  <c r="P14" i="10" s="1"/>
  <c r="P15" i="10" a="1"/>
  <c r="P15" i="10" s="1"/>
  <c r="P16" i="10" a="1"/>
  <c r="P16" i="10" s="1"/>
  <c r="P17" i="10" a="1"/>
  <c r="P17" i="10" s="1"/>
  <c r="P18" i="10" a="1"/>
  <c r="P18" i="10" s="1"/>
  <c r="P19" i="10" a="1"/>
  <c r="P19" i="10" s="1"/>
  <c r="P20" i="10" a="1"/>
  <c r="P20" i="10" s="1"/>
  <c r="P21" i="10" a="1"/>
  <c r="P21" i="10" s="1"/>
  <c r="P22" i="10" a="1"/>
  <c r="P22" i="10" s="1"/>
  <c r="P23" i="10" a="1"/>
  <c r="P23" i="10" s="1"/>
  <c r="F7" i="10" a="1"/>
  <c r="F7" i="10" s="1"/>
  <c r="AQ1634" i="3"/>
  <c r="G4" i="10" a="1"/>
  <c r="G4" i="10" s="1"/>
  <c r="G3" i="10" a="1"/>
  <c r="G3" i="10" s="1"/>
  <c r="G2" i="10" a="1"/>
  <c r="G2" i="10" s="1"/>
  <c r="AG5" i="3"/>
  <c r="AG6" i="3"/>
  <c r="M3" i="10"/>
  <c r="M4" i="10" s="1"/>
  <c r="AQ1602" i="3"/>
  <c r="AQ1601" i="3"/>
  <c r="C8" i="12"/>
  <c r="C7" i="12"/>
  <c r="C9" i="12"/>
  <c r="E14" i="12"/>
  <c r="AO5" i="3"/>
  <c r="AO3" i="3"/>
  <c r="AO4" i="3"/>
  <c r="AO7" i="3"/>
  <c r="AO6" i="3"/>
  <c r="AO9" i="3"/>
  <c r="AO8" i="3"/>
  <c r="AO10" i="3"/>
  <c r="AO11" i="3"/>
  <c r="AO12" i="3"/>
  <c r="AO17" i="3"/>
  <c r="AO15" i="3"/>
  <c r="AO13" i="3"/>
  <c r="AO14" i="3"/>
  <c r="AO16" i="3"/>
  <c r="AO18" i="3"/>
  <c r="AO19" i="3"/>
  <c r="AO21" i="3"/>
  <c r="AO20" i="3"/>
  <c r="AO23" i="3"/>
  <c r="AO22" i="3"/>
  <c r="AO25" i="3"/>
  <c r="AO24" i="3"/>
  <c r="AO26" i="3"/>
  <c r="AO27" i="3"/>
  <c r="AO28" i="3"/>
  <c r="AO29" i="3"/>
  <c r="AO30" i="3"/>
  <c r="AO31" i="3"/>
  <c r="AO32" i="3"/>
  <c r="AO33" i="3"/>
  <c r="AO34" i="3"/>
  <c r="AO36" i="3"/>
  <c r="AO35" i="3"/>
  <c r="AO37" i="3"/>
  <c r="AO39" i="3"/>
  <c r="AO38" i="3"/>
  <c r="AO40" i="3"/>
  <c r="AO42" i="3"/>
  <c r="AO41" i="3"/>
  <c r="AO43" i="3"/>
  <c r="AO44" i="3"/>
  <c r="AO45" i="3"/>
  <c r="AO46" i="3"/>
  <c r="AO47" i="3"/>
  <c r="AO49" i="3"/>
  <c r="AO48" i="3"/>
  <c r="AO50" i="3"/>
  <c r="AO51" i="3"/>
  <c r="AO52" i="3"/>
  <c r="AO53" i="3"/>
  <c r="AO54" i="3"/>
  <c r="AO55" i="3"/>
  <c r="AO58" i="3"/>
  <c r="AO56" i="3"/>
  <c r="AO57" i="3"/>
  <c r="AO59" i="3"/>
  <c r="AO60" i="3"/>
  <c r="AO61" i="3"/>
  <c r="AO62" i="3"/>
  <c r="AO63" i="3"/>
  <c r="AO64" i="3"/>
  <c r="AO67" i="3"/>
  <c r="AO66" i="3"/>
  <c r="AO65" i="3"/>
  <c r="AO70" i="3"/>
  <c r="AO69" i="3"/>
  <c r="AO68" i="3"/>
  <c r="AO71" i="3"/>
  <c r="AO72" i="3"/>
  <c r="AO73" i="3"/>
  <c r="AO74" i="3"/>
  <c r="AO75" i="3"/>
  <c r="AO76" i="3"/>
  <c r="AO77" i="3"/>
  <c r="AO79" i="3"/>
  <c r="AO78" i="3"/>
  <c r="AO80" i="3"/>
  <c r="AO81" i="3"/>
  <c r="AO82" i="3"/>
  <c r="AO84" i="3"/>
  <c r="AO83" i="3"/>
  <c r="AO85" i="3"/>
  <c r="AO87" i="3"/>
  <c r="AO86" i="3"/>
  <c r="AO89" i="3"/>
  <c r="AO88" i="3"/>
  <c r="AO90" i="3"/>
  <c r="AO91" i="3"/>
  <c r="AO92" i="3"/>
  <c r="AO93" i="3"/>
  <c r="AO95" i="3"/>
  <c r="AO94" i="3"/>
  <c r="AO96" i="3"/>
  <c r="AO97" i="3"/>
  <c r="AO98" i="3"/>
  <c r="AO99" i="3"/>
  <c r="AO100" i="3"/>
  <c r="AO101" i="3"/>
  <c r="AO102" i="3"/>
  <c r="AO103" i="3"/>
  <c r="AO104" i="3"/>
  <c r="AO105" i="3"/>
  <c r="AO106" i="3"/>
  <c r="AO108" i="3"/>
  <c r="AO107" i="3"/>
  <c r="AO109" i="3"/>
  <c r="AO110" i="3"/>
  <c r="AO111" i="3"/>
  <c r="AO112" i="3"/>
  <c r="AO113" i="3"/>
  <c r="AO114" i="3"/>
  <c r="AO115" i="3"/>
  <c r="AO116" i="3"/>
  <c r="AO117" i="3"/>
  <c r="AO118" i="3"/>
  <c r="AO119" i="3"/>
  <c r="AO120" i="3"/>
  <c r="AO121" i="3"/>
  <c r="AO122" i="3"/>
  <c r="AO123" i="3"/>
  <c r="AO124" i="3"/>
  <c r="AO125" i="3"/>
  <c r="AO126" i="3"/>
  <c r="AO127" i="3"/>
  <c r="AO129" i="3"/>
  <c r="AO128" i="3"/>
  <c r="AO130" i="3"/>
  <c r="AO131" i="3"/>
  <c r="AO132" i="3"/>
  <c r="AO134" i="3"/>
  <c r="AO133" i="3"/>
  <c r="AO135" i="3"/>
  <c r="AO136" i="3"/>
  <c r="AO137" i="3"/>
  <c r="AO138" i="3"/>
  <c r="AO139" i="3"/>
  <c r="AO140" i="3"/>
  <c r="AO141" i="3"/>
  <c r="AO142" i="3"/>
  <c r="AO143" i="3"/>
  <c r="AO144" i="3"/>
  <c r="AO146" i="3"/>
  <c r="AO145" i="3"/>
  <c r="AO147" i="3"/>
  <c r="AO148" i="3"/>
  <c r="AO150" i="3"/>
  <c r="AO149" i="3"/>
  <c r="AO151" i="3"/>
  <c r="AO152" i="3"/>
  <c r="AO154" i="3"/>
  <c r="AO153" i="3"/>
  <c r="AO155" i="3"/>
  <c r="AO156" i="3"/>
  <c r="AO157" i="3"/>
  <c r="AO158" i="3"/>
  <c r="AO159" i="3"/>
  <c r="AO160" i="3"/>
  <c r="AO161" i="3"/>
  <c r="AO162" i="3"/>
  <c r="AO163" i="3"/>
  <c r="AO164" i="3"/>
  <c r="AO165" i="3"/>
  <c r="AO168" i="3"/>
  <c r="AO167" i="3"/>
  <c r="AO166" i="3"/>
  <c r="AO169" i="3"/>
  <c r="AO170" i="3"/>
  <c r="AO171" i="3"/>
  <c r="AO172" i="3"/>
  <c r="AO173" i="3"/>
  <c r="AO174" i="3"/>
  <c r="AO175" i="3"/>
  <c r="AO176" i="3"/>
  <c r="AO177" i="3"/>
  <c r="AO178" i="3"/>
  <c r="AO179" i="3"/>
  <c r="AO180" i="3"/>
  <c r="AO182" i="3"/>
  <c r="AO181" i="3"/>
  <c r="AO183" i="3"/>
  <c r="AO184" i="3"/>
  <c r="AO185" i="3"/>
  <c r="AO187" i="3"/>
  <c r="AO186" i="3"/>
  <c r="AO188" i="3"/>
  <c r="AO189" i="3"/>
  <c r="AO190" i="3"/>
  <c r="AO192" i="3"/>
  <c r="AO191" i="3"/>
  <c r="AO193" i="3"/>
  <c r="AO194" i="3"/>
  <c r="AO195" i="3"/>
  <c r="AO197" i="3"/>
  <c r="AO196" i="3"/>
  <c r="AO198" i="3"/>
  <c r="AO200" i="3"/>
  <c r="AO199" i="3"/>
  <c r="AO201" i="3"/>
  <c r="AO202" i="3"/>
  <c r="AO204" i="3"/>
  <c r="AO203" i="3"/>
  <c r="AO205" i="3"/>
  <c r="AO206" i="3"/>
  <c r="AO207" i="3"/>
  <c r="AO209" i="3"/>
  <c r="AO211" i="3"/>
  <c r="AO210" i="3"/>
  <c r="AO208" i="3"/>
  <c r="AO212" i="3"/>
  <c r="AO213" i="3"/>
  <c r="AO214" i="3"/>
  <c r="AO215" i="3"/>
  <c r="AO216" i="3"/>
  <c r="AO218" i="3"/>
  <c r="AO217" i="3"/>
  <c r="AO219" i="3"/>
  <c r="AO220" i="3"/>
  <c r="AO221" i="3"/>
  <c r="AO222" i="3"/>
  <c r="AO223" i="3"/>
  <c r="AO224" i="3"/>
  <c r="AO225" i="3"/>
  <c r="AO226" i="3"/>
  <c r="AO227" i="3"/>
  <c r="AO228" i="3"/>
  <c r="AO229" i="3"/>
  <c r="AO230" i="3"/>
  <c r="AO231" i="3"/>
  <c r="AO232" i="3"/>
  <c r="AO233" i="3"/>
  <c r="AO234" i="3"/>
  <c r="AO235" i="3"/>
  <c r="AO236" i="3"/>
  <c r="AO237" i="3"/>
  <c r="AO239" i="3"/>
  <c r="AO240" i="3"/>
  <c r="AO238" i="3"/>
  <c r="AO241" i="3"/>
  <c r="AO242" i="3"/>
  <c r="AO244" i="3"/>
  <c r="AO246" i="3"/>
  <c r="AO245" i="3"/>
  <c r="AO243" i="3"/>
  <c r="AO247" i="3"/>
  <c r="AO250" i="3"/>
  <c r="AO249" i="3"/>
  <c r="AO248" i="3"/>
  <c r="AO251" i="3"/>
  <c r="AO252" i="3"/>
  <c r="AO253" i="3"/>
  <c r="AO254" i="3"/>
  <c r="AO255" i="3"/>
  <c r="AO256" i="3"/>
  <c r="AO257" i="3"/>
  <c r="AO258" i="3"/>
  <c r="AO259" i="3"/>
  <c r="AO262" i="3"/>
  <c r="AO260" i="3"/>
  <c r="AO261" i="3"/>
  <c r="AO263" i="3"/>
  <c r="AO264" i="3"/>
  <c r="AO265" i="3"/>
  <c r="AO266" i="3"/>
  <c r="AO267" i="3"/>
  <c r="AO269" i="3"/>
  <c r="AO268" i="3"/>
  <c r="AO270" i="3"/>
  <c r="AO271" i="3"/>
  <c r="AO272" i="3"/>
  <c r="AO273" i="3"/>
  <c r="AO274" i="3"/>
  <c r="AO275" i="3"/>
  <c r="AO276" i="3"/>
  <c r="AO277" i="3"/>
  <c r="AO278" i="3"/>
  <c r="AO279" i="3"/>
  <c r="AO280" i="3"/>
  <c r="AO282" i="3"/>
  <c r="AO281" i="3"/>
  <c r="AO283" i="3"/>
  <c r="AO284" i="3"/>
  <c r="AO285" i="3"/>
  <c r="AO287" i="3"/>
  <c r="AO286" i="3"/>
  <c r="AO288" i="3"/>
  <c r="AO289" i="3"/>
  <c r="AO290" i="3"/>
  <c r="AO292" i="3"/>
  <c r="AO291" i="3"/>
  <c r="AO294" i="3"/>
  <c r="AO293" i="3"/>
  <c r="AO295" i="3"/>
  <c r="AO296" i="3"/>
  <c r="AO297" i="3"/>
  <c r="AO298" i="3"/>
  <c r="AO299" i="3"/>
  <c r="AO300" i="3"/>
  <c r="AO301" i="3"/>
  <c r="AO302" i="3"/>
  <c r="AO303" i="3"/>
  <c r="AO304" i="3"/>
  <c r="AO305" i="3"/>
  <c r="AO306" i="3"/>
  <c r="AO309" i="3"/>
  <c r="AO308" i="3"/>
  <c r="AO307" i="3"/>
  <c r="AO310" i="3"/>
  <c r="AO311" i="3"/>
  <c r="AO312" i="3"/>
  <c r="AO313" i="3"/>
  <c r="AO314" i="3"/>
  <c r="AO315" i="3"/>
  <c r="AO316" i="3"/>
  <c r="AO319" i="3"/>
  <c r="AO317" i="3"/>
  <c r="AO320" i="3"/>
  <c r="AO318" i="3"/>
  <c r="AO321" i="3"/>
  <c r="AO322" i="3"/>
  <c r="AO323" i="3"/>
  <c r="AO324" i="3"/>
  <c r="AO325" i="3"/>
  <c r="AO327" i="3"/>
  <c r="AO326" i="3"/>
  <c r="AO328" i="3"/>
  <c r="AO329" i="3"/>
  <c r="AO331" i="3"/>
  <c r="AO330" i="3"/>
  <c r="AO333" i="3"/>
  <c r="AO332" i="3"/>
  <c r="AO335" i="3"/>
  <c r="AO334" i="3"/>
  <c r="AO336" i="3"/>
  <c r="AO338" i="3"/>
  <c r="AO337" i="3"/>
  <c r="AO339" i="3"/>
  <c r="AO340" i="3"/>
  <c r="AO341" i="3"/>
  <c r="AO343" i="3"/>
  <c r="AO342" i="3"/>
  <c r="AO344" i="3"/>
  <c r="AO347" i="3"/>
  <c r="AO346" i="3"/>
  <c r="AO345" i="3"/>
  <c r="AO348" i="3"/>
  <c r="AO349" i="3"/>
  <c r="AO351" i="3"/>
  <c r="AO350" i="3"/>
  <c r="AO352" i="3"/>
  <c r="AO354" i="3"/>
  <c r="AO353" i="3"/>
  <c r="AO355" i="3"/>
  <c r="AO356" i="3"/>
  <c r="AO357" i="3"/>
  <c r="AO358" i="3"/>
  <c r="AO359" i="3"/>
  <c r="AO360" i="3"/>
  <c r="AO361" i="3"/>
  <c r="AO362" i="3"/>
  <c r="AO363" i="3"/>
  <c r="AO364" i="3"/>
  <c r="AO365" i="3"/>
  <c r="AO367" i="3"/>
  <c r="AO368" i="3"/>
  <c r="AO366" i="3"/>
  <c r="AO369" i="3"/>
  <c r="AO370" i="3"/>
  <c r="AO372" i="3"/>
  <c r="AO371" i="3"/>
  <c r="AO373" i="3"/>
  <c r="AO374" i="3"/>
  <c r="AO375" i="3"/>
  <c r="AO377" i="3"/>
  <c r="AO376" i="3"/>
  <c r="AO379" i="3"/>
  <c r="AO378" i="3"/>
  <c r="AO380" i="3"/>
  <c r="AO381" i="3"/>
  <c r="AO382" i="3"/>
  <c r="AO383" i="3"/>
  <c r="AO384" i="3"/>
  <c r="AO385" i="3"/>
  <c r="AO386" i="3"/>
  <c r="AO388" i="3"/>
  <c r="AO387" i="3"/>
  <c r="AO389" i="3"/>
  <c r="AO391" i="3"/>
  <c r="AO390" i="3"/>
  <c r="AO392" i="3"/>
  <c r="AO394" i="3"/>
  <c r="AO393" i="3"/>
  <c r="AO395" i="3"/>
  <c r="AO396" i="3"/>
  <c r="AO397" i="3"/>
  <c r="AO398" i="3"/>
  <c r="AO399" i="3"/>
  <c r="AO400" i="3"/>
  <c r="AO401" i="3"/>
  <c r="AO402" i="3"/>
  <c r="AO403" i="3"/>
  <c r="AO404" i="3"/>
  <c r="AO405" i="3"/>
  <c r="AO407" i="3"/>
  <c r="AO406" i="3"/>
  <c r="AO409" i="3"/>
  <c r="AO408" i="3"/>
  <c r="AO410" i="3"/>
  <c r="AO411" i="3"/>
  <c r="AO412" i="3"/>
  <c r="AO413" i="3"/>
  <c r="AO415" i="3"/>
  <c r="AO414" i="3"/>
  <c r="AO416" i="3"/>
  <c r="AO417" i="3"/>
  <c r="AO418" i="3"/>
  <c r="AO419" i="3"/>
  <c r="AO420" i="3"/>
  <c r="AO422" i="3"/>
  <c r="AO421" i="3"/>
  <c r="AO424" i="3"/>
  <c r="AO423" i="3"/>
  <c r="AO425" i="3"/>
  <c r="AO426" i="3"/>
  <c r="AO427" i="3"/>
  <c r="AO430" i="3"/>
  <c r="AO428" i="3"/>
  <c r="AO429" i="3"/>
  <c r="AO432" i="3"/>
  <c r="AO431" i="3"/>
  <c r="AO433" i="3"/>
  <c r="AO434" i="3"/>
  <c r="AO435" i="3"/>
  <c r="AO436" i="3"/>
  <c r="AO437" i="3"/>
  <c r="AO438" i="3"/>
  <c r="AO439" i="3"/>
  <c r="AO441" i="3"/>
  <c r="AO440" i="3"/>
  <c r="AO443" i="3"/>
  <c r="AO444" i="3"/>
  <c r="AO442" i="3"/>
  <c r="AO447" i="3"/>
  <c r="AO446" i="3"/>
  <c r="AO445" i="3"/>
  <c r="AO448" i="3"/>
  <c r="AO449" i="3"/>
  <c r="AO450" i="3"/>
  <c r="AO451" i="3"/>
  <c r="AO453" i="3"/>
  <c r="AO452" i="3"/>
  <c r="AO454" i="3"/>
  <c r="AO455" i="3"/>
  <c r="AO456" i="3"/>
  <c r="AO457" i="3"/>
  <c r="AO459" i="3"/>
  <c r="AO458" i="3"/>
  <c r="AO460" i="3"/>
  <c r="AO461" i="3"/>
  <c r="AO462" i="3"/>
  <c r="AO463" i="3"/>
  <c r="AO464" i="3"/>
  <c r="AO465" i="3"/>
  <c r="AO466" i="3"/>
  <c r="AO467" i="3"/>
  <c r="AO469" i="3"/>
  <c r="AO468" i="3"/>
  <c r="AO470" i="3"/>
  <c r="AO471" i="3"/>
  <c r="AO472" i="3"/>
  <c r="AO473" i="3"/>
  <c r="AO474" i="3"/>
  <c r="AO475" i="3"/>
  <c r="AO476" i="3"/>
  <c r="AO477" i="3"/>
  <c r="AO479" i="3"/>
  <c r="AO478" i="3"/>
  <c r="AO480" i="3"/>
  <c r="AO481" i="3"/>
  <c r="AO482" i="3"/>
  <c r="AO483" i="3"/>
  <c r="AO484" i="3"/>
  <c r="AO485" i="3"/>
  <c r="AO488" i="3"/>
  <c r="AO487" i="3"/>
  <c r="AO486" i="3"/>
  <c r="AO489" i="3"/>
  <c r="AO491" i="3"/>
  <c r="AO490" i="3"/>
  <c r="AO492" i="3"/>
  <c r="AO494" i="3"/>
  <c r="AO493" i="3"/>
  <c r="AO495" i="3"/>
  <c r="AO497" i="3"/>
  <c r="AO498" i="3"/>
  <c r="AO496" i="3"/>
  <c r="AO499" i="3"/>
  <c r="AO500" i="3"/>
  <c r="AO501" i="3"/>
  <c r="AO502" i="3"/>
  <c r="AO503" i="3"/>
  <c r="AO504" i="3"/>
  <c r="AO506" i="3"/>
  <c r="AO505" i="3"/>
  <c r="AO507" i="3"/>
  <c r="AO509" i="3"/>
  <c r="AO510" i="3"/>
  <c r="AO508" i="3"/>
  <c r="AO511" i="3"/>
  <c r="AO512" i="3"/>
  <c r="AO513" i="3"/>
  <c r="AO514" i="3"/>
  <c r="AO515" i="3"/>
  <c r="AO516" i="3"/>
  <c r="AO518" i="3"/>
  <c r="AO517" i="3"/>
  <c r="AO520" i="3"/>
  <c r="AO519" i="3"/>
  <c r="AO521" i="3"/>
  <c r="AO522" i="3"/>
  <c r="AO523" i="3"/>
  <c r="AO525" i="3"/>
  <c r="AO524" i="3"/>
  <c r="AO526" i="3"/>
  <c r="AO527" i="3"/>
  <c r="AO528" i="3"/>
  <c r="AO529" i="3"/>
  <c r="AO530" i="3"/>
  <c r="AO531" i="3"/>
  <c r="AO532" i="3"/>
  <c r="AO533" i="3"/>
  <c r="AO534" i="3"/>
  <c r="AO535" i="3"/>
  <c r="AO536" i="3"/>
  <c r="AO538" i="3"/>
  <c r="AO537" i="3"/>
  <c r="AO539" i="3"/>
  <c r="AO541" i="3"/>
  <c r="AO540" i="3"/>
  <c r="AO542" i="3"/>
  <c r="AO543" i="3"/>
  <c r="AO544" i="3"/>
  <c r="AO545" i="3"/>
  <c r="AO546" i="3"/>
  <c r="AO548" i="3"/>
  <c r="AO547" i="3"/>
  <c r="AO549" i="3"/>
  <c r="AO550" i="3"/>
  <c r="AO551" i="3"/>
  <c r="AO553" i="3"/>
  <c r="AO552" i="3"/>
  <c r="AO554" i="3"/>
  <c r="AO555" i="3"/>
  <c r="AO556" i="3"/>
  <c r="AO557" i="3"/>
  <c r="AO558" i="3"/>
  <c r="AO559" i="3"/>
  <c r="AO560" i="3"/>
  <c r="AO561" i="3"/>
  <c r="AO562" i="3"/>
  <c r="AO563" i="3"/>
  <c r="AO565" i="3"/>
  <c r="AO564" i="3"/>
  <c r="AO566" i="3"/>
  <c r="AO567" i="3"/>
  <c r="AO568" i="3"/>
  <c r="AO569" i="3"/>
  <c r="AO570" i="3"/>
  <c r="AO571" i="3"/>
  <c r="AO572" i="3"/>
  <c r="AO573" i="3"/>
  <c r="AO575" i="3"/>
  <c r="AO574" i="3"/>
  <c r="AO576" i="3"/>
  <c r="AO577" i="3"/>
  <c r="AO578" i="3"/>
  <c r="AO579" i="3"/>
  <c r="AO581" i="3"/>
  <c r="AO580" i="3"/>
  <c r="AO582" i="3"/>
  <c r="AO583" i="3"/>
  <c r="AO584" i="3"/>
  <c r="AO585" i="3"/>
  <c r="AO586" i="3"/>
  <c r="AO587" i="3"/>
  <c r="AO590" i="3"/>
  <c r="AO589" i="3"/>
  <c r="AO588" i="3"/>
  <c r="AO591" i="3"/>
  <c r="AO592" i="3"/>
  <c r="AO593" i="3"/>
  <c r="AO595" i="3"/>
  <c r="AO594" i="3"/>
  <c r="AO596" i="3"/>
  <c r="AO597" i="3"/>
  <c r="AO598" i="3"/>
  <c r="AO599" i="3"/>
  <c r="AO600" i="3"/>
  <c r="AO601" i="3"/>
  <c r="AO604" i="3"/>
  <c r="AO602" i="3"/>
  <c r="AO603" i="3"/>
  <c r="AO605" i="3"/>
  <c r="AO607" i="3"/>
  <c r="AO608" i="3"/>
  <c r="AO606" i="3"/>
  <c r="AO609" i="3"/>
  <c r="AO610" i="3"/>
  <c r="AO611" i="3"/>
  <c r="AO613" i="3"/>
  <c r="AO614" i="3"/>
  <c r="AO612" i="3"/>
  <c r="AO615" i="3"/>
  <c r="AO616" i="3"/>
  <c r="AO617" i="3"/>
  <c r="AO618" i="3"/>
  <c r="AO619" i="3"/>
  <c r="AO620" i="3"/>
  <c r="AO621" i="3"/>
  <c r="AO623" i="3"/>
  <c r="AO622" i="3"/>
  <c r="AO624" i="3"/>
  <c r="AO625" i="3"/>
  <c r="AO626" i="3"/>
  <c r="AO627" i="3"/>
  <c r="AO629" i="3"/>
  <c r="AO628" i="3"/>
  <c r="AO630" i="3"/>
  <c r="AO631" i="3"/>
  <c r="AO632" i="3"/>
  <c r="AO633" i="3"/>
  <c r="AO634" i="3"/>
  <c r="AO635" i="3"/>
  <c r="AO638" i="3"/>
  <c r="AO637" i="3"/>
  <c r="AO636" i="3"/>
  <c r="AO639" i="3"/>
  <c r="AO640" i="3"/>
  <c r="AO641" i="3"/>
  <c r="AO642" i="3"/>
  <c r="AO643" i="3"/>
  <c r="AO644" i="3"/>
  <c r="AO645" i="3"/>
  <c r="AO646" i="3"/>
  <c r="AO647" i="3"/>
  <c r="AO648" i="3"/>
  <c r="AO650" i="3"/>
  <c r="AO649" i="3"/>
  <c r="AO651" i="3"/>
  <c r="AO652" i="3"/>
  <c r="AO653" i="3"/>
  <c r="AO655" i="3"/>
  <c r="AO654" i="3"/>
  <c r="AO657" i="3"/>
  <c r="AO658" i="3"/>
  <c r="AO659" i="3"/>
  <c r="AO656" i="3"/>
  <c r="AO660" i="3"/>
  <c r="AO661" i="3"/>
  <c r="AO662" i="3"/>
  <c r="AO663" i="3"/>
  <c r="AO664" i="3"/>
  <c r="AO666" i="3"/>
  <c r="AO665" i="3"/>
  <c r="AO667" i="3"/>
  <c r="AO669" i="3"/>
  <c r="AO668" i="3"/>
  <c r="AO671" i="3"/>
  <c r="AO670" i="3"/>
  <c r="AO673" i="3"/>
  <c r="AO672" i="3"/>
  <c r="AO674" i="3"/>
  <c r="AO676" i="3"/>
  <c r="AO677" i="3"/>
  <c r="AO678" i="3"/>
  <c r="AO675" i="3"/>
  <c r="AO679" i="3"/>
  <c r="AO680" i="3"/>
  <c r="AO681" i="3"/>
  <c r="AO682" i="3"/>
  <c r="AO683" i="3"/>
  <c r="AO684" i="3"/>
  <c r="AO685" i="3"/>
  <c r="AO686" i="3"/>
  <c r="AO688" i="3"/>
  <c r="AO689" i="3"/>
  <c r="AO687" i="3"/>
  <c r="AO693" i="3"/>
  <c r="AO690" i="3"/>
  <c r="AO691" i="3"/>
  <c r="AO692" i="3"/>
  <c r="AO694" i="3"/>
  <c r="AO697" i="3"/>
  <c r="AO695" i="3"/>
  <c r="AO696" i="3"/>
  <c r="AO698" i="3"/>
  <c r="AO699" i="3"/>
  <c r="AO700" i="3"/>
  <c r="AO701" i="3"/>
  <c r="AO702" i="3"/>
  <c r="AO703" i="3"/>
  <c r="AO704" i="3"/>
  <c r="AO705" i="3"/>
  <c r="AO706" i="3"/>
  <c r="AO707" i="3"/>
  <c r="AO708" i="3"/>
  <c r="AO710" i="3"/>
  <c r="AO709" i="3"/>
  <c r="AO711" i="3"/>
  <c r="AO712" i="3"/>
  <c r="AO713" i="3"/>
  <c r="AO714" i="3"/>
  <c r="AO715" i="3"/>
  <c r="AO716" i="3"/>
  <c r="AO717" i="3"/>
  <c r="AO718" i="3"/>
  <c r="AO719" i="3"/>
  <c r="AO720" i="3"/>
  <c r="AO721" i="3"/>
  <c r="AO722" i="3"/>
  <c r="AO723" i="3"/>
  <c r="AO724" i="3"/>
  <c r="AO726" i="3"/>
  <c r="AO727" i="3"/>
  <c r="AO725" i="3"/>
  <c r="AO728" i="3"/>
  <c r="AO729" i="3"/>
  <c r="AO732" i="3"/>
  <c r="AO731" i="3"/>
  <c r="AO730" i="3"/>
  <c r="AO733" i="3"/>
  <c r="AO734" i="3"/>
  <c r="AO735" i="3"/>
  <c r="AO736" i="3"/>
  <c r="AO737" i="3"/>
  <c r="AO738" i="3"/>
  <c r="AO739" i="3"/>
  <c r="AO740" i="3"/>
  <c r="AO742" i="3"/>
  <c r="AO741" i="3"/>
  <c r="AO743" i="3"/>
  <c r="AO744" i="3"/>
  <c r="AO745" i="3"/>
  <c r="AO746" i="3"/>
  <c r="AO747" i="3"/>
  <c r="AO748" i="3"/>
  <c r="AO749" i="3"/>
  <c r="AO750" i="3"/>
  <c r="AO751" i="3"/>
  <c r="AO752" i="3"/>
  <c r="AO753" i="3"/>
  <c r="AO754" i="3"/>
  <c r="AO755" i="3"/>
  <c r="AO756" i="3"/>
  <c r="AO757" i="3"/>
  <c r="AO758" i="3"/>
  <c r="AO759" i="3"/>
  <c r="AO760" i="3"/>
  <c r="AO762" i="3"/>
  <c r="AO761" i="3"/>
  <c r="AO763" i="3"/>
  <c r="AO764" i="3"/>
  <c r="AO765" i="3"/>
  <c r="AO766" i="3"/>
  <c r="AO768" i="3"/>
  <c r="AO767" i="3"/>
  <c r="AO769" i="3"/>
  <c r="AO770" i="3"/>
  <c r="AO771" i="3"/>
  <c r="AO772" i="3"/>
  <c r="AO773" i="3"/>
  <c r="AO774" i="3"/>
  <c r="AO775" i="3"/>
  <c r="AO776" i="3"/>
  <c r="AO777" i="3"/>
  <c r="AO778" i="3"/>
  <c r="AO779" i="3"/>
  <c r="AO780" i="3"/>
  <c r="AO781" i="3"/>
  <c r="AO783" i="3"/>
  <c r="AO782" i="3"/>
  <c r="AO785" i="3"/>
  <c r="AO786" i="3"/>
  <c r="AO784" i="3"/>
  <c r="AO787" i="3"/>
  <c r="AO788" i="3"/>
  <c r="AO789" i="3"/>
  <c r="AO791" i="3"/>
  <c r="AO790" i="3"/>
  <c r="AO792" i="3"/>
  <c r="AO793" i="3"/>
  <c r="AO794" i="3"/>
  <c r="AO795" i="3"/>
  <c r="AO796" i="3"/>
  <c r="AO798" i="3"/>
  <c r="AO797" i="3"/>
  <c r="AO799" i="3"/>
  <c r="AO801" i="3"/>
  <c r="AO800" i="3"/>
  <c r="AO802" i="3"/>
  <c r="AO804" i="3"/>
  <c r="AO803" i="3"/>
  <c r="AO805" i="3"/>
  <c r="AO806" i="3"/>
  <c r="AO807" i="3"/>
  <c r="AO809" i="3"/>
  <c r="AO808" i="3"/>
  <c r="AO810" i="3"/>
  <c r="AO811" i="3"/>
  <c r="AO812" i="3"/>
  <c r="AO813" i="3"/>
  <c r="AO814" i="3"/>
  <c r="AO815" i="3"/>
  <c r="AO818" i="3"/>
  <c r="AO817" i="3"/>
  <c r="AO816" i="3"/>
  <c r="AO819" i="3"/>
  <c r="AO821" i="3"/>
  <c r="AO820" i="3"/>
  <c r="AO822" i="3"/>
  <c r="AO824" i="3"/>
  <c r="AO823" i="3"/>
  <c r="AO825" i="3"/>
  <c r="AO826" i="3"/>
  <c r="AO827" i="3"/>
  <c r="AO828" i="3"/>
  <c r="AO829" i="3"/>
  <c r="AO830" i="3"/>
  <c r="AO831" i="3"/>
  <c r="AO832" i="3"/>
  <c r="AO835" i="3"/>
  <c r="AO833" i="3"/>
  <c r="AO834" i="3"/>
  <c r="AO836" i="3"/>
  <c r="AO837" i="3"/>
  <c r="AO838" i="3"/>
  <c r="AO839" i="3"/>
  <c r="AO840" i="3"/>
  <c r="AO842" i="3"/>
  <c r="AO841" i="3"/>
  <c r="AO843" i="3"/>
  <c r="AO844" i="3"/>
  <c r="AO845" i="3"/>
  <c r="AO846" i="3"/>
  <c r="AO847" i="3"/>
  <c r="AO848" i="3"/>
  <c r="AO849" i="3"/>
  <c r="AO850" i="3"/>
  <c r="AO851" i="3"/>
  <c r="AO852" i="3"/>
  <c r="AO853" i="3"/>
  <c r="AO854" i="3"/>
  <c r="AO855" i="3"/>
  <c r="AO857" i="3"/>
  <c r="AO856" i="3"/>
  <c r="AO859" i="3"/>
  <c r="AO861" i="3"/>
  <c r="AO860" i="3"/>
  <c r="AO858" i="3"/>
  <c r="AO863" i="3"/>
  <c r="AO862" i="3"/>
  <c r="AO864" i="3"/>
  <c r="AO865" i="3"/>
  <c r="AO866" i="3"/>
  <c r="AO867" i="3"/>
  <c r="AO868" i="3"/>
  <c r="AO869" i="3"/>
  <c r="AO870" i="3"/>
  <c r="AO871" i="3"/>
  <c r="AO872" i="3"/>
  <c r="AO873" i="3"/>
  <c r="AO875" i="3"/>
  <c r="AO874" i="3"/>
  <c r="AO876" i="3"/>
  <c r="AO877" i="3"/>
  <c r="AO878" i="3"/>
  <c r="AO879" i="3"/>
  <c r="AO881" i="3"/>
  <c r="AO880" i="3"/>
  <c r="AO882" i="3"/>
  <c r="AO883" i="3"/>
  <c r="AO886" i="3"/>
  <c r="AO885" i="3"/>
  <c r="AO884" i="3"/>
  <c r="AO887" i="3"/>
  <c r="AO888" i="3"/>
  <c r="AO889" i="3"/>
  <c r="AO890" i="3"/>
  <c r="AO891" i="3"/>
  <c r="AO893" i="3"/>
  <c r="AO892" i="3"/>
  <c r="AO894" i="3"/>
  <c r="AO896" i="3"/>
  <c r="AO895" i="3"/>
  <c r="AO898" i="3"/>
  <c r="AO897" i="3"/>
  <c r="AO899" i="3"/>
  <c r="AO900" i="3"/>
  <c r="AO901" i="3"/>
  <c r="AO903" i="3"/>
  <c r="AO902" i="3"/>
  <c r="AO904" i="3"/>
  <c r="AO905" i="3"/>
  <c r="AO906" i="3"/>
  <c r="AO907" i="3"/>
  <c r="AO910" i="3"/>
  <c r="AO908" i="3"/>
  <c r="AO909" i="3"/>
  <c r="AO911" i="3"/>
  <c r="AO912" i="3"/>
  <c r="AO913" i="3"/>
  <c r="AO915" i="3"/>
  <c r="AO914" i="3"/>
  <c r="AO916" i="3"/>
  <c r="AO918" i="3"/>
  <c r="AO917" i="3"/>
  <c r="AO919" i="3"/>
  <c r="AO920" i="3"/>
  <c r="AO921" i="3"/>
  <c r="AO922" i="3"/>
  <c r="AO923" i="3"/>
  <c r="AO924" i="3"/>
  <c r="AO926" i="3"/>
  <c r="AO925" i="3"/>
  <c r="AO927" i="3"/>
  <c r="AO928" i="3"/>
  <c r="AO929" i="3"/>
  <c r="AO930" i="3"/>
  <c r="AO933" i="3"/>
  <c r="AO932" i="3"/>
  <c r="AO931" i="3"/>
  <c r="AO934" i="3"/>
  <c r="AO935" i="3"/>
  <c r="AO936" i="3"/>
  <c r="AO937" i="3"/>
  <c r="AO938" i="3"/>
  <c r="AO939" i="3"/>
  <c r="AO940" i="3"/>
  <c r="AO942" i="3"/>
  <c r="AO941" i="3"/>
  <c r="AO943" i="3"/>
  <c r="AO944" i="3"/>
  <c r="AO945" i="3"/>
  <c r="AO946" i="3"/>
  <c r="AO947" i="3"/>
  <c r="AO948" i="3"/>
  <c r="AO949" i="3"/>
  <c r="AO950" i="3"/>
  <c r="AO951" i="3"/>
  <c r="AO952" i="3"/>
  <c r="AO953" i="3"/>
  <c r="AO954" i="3"/>
  <c r="AO955" i="3"/>
  <c r="AO956" i="3"/>
  <c r="AO957" i="3"/>
  <c r="AO958" i="3"/>
  <c r="AO960" i="3"/>
  <c r="AO959" i="3"/>
  <c r="AO962" i="3"/>
  <c r="AO961" i="3"/>
  <c r="AO963" i="3"/>
  <c r="AO964" i="3"/>
  <c r="AO965" i="3"/>
  <c r="AO966" i="3"/>
  <c r="AO968" i="3"/>
  <c r="AO967" i="3"/>
  <c r="AO969" i="3"/>
  <c r="AO971" i="3"/>
  <c r="AO970" i="3"/>
  <c r="AO972" i="3"/>
  <c r="AO973" i="3"/>
  <c r="AO974" i="3"/>
  <c r="AO975" i="3"/>
  <c r="AO976" i="3"/>
  <c r="AO977" i="3"/>
  <c r="AO978" i="3"/>
  <c r="AO981" i="3"/>
  <c r="AO979" i="3"/>
  <c r="AO980" i="3"/>
  <c r="AO982" i="3"/>
  <c r="AO983" i="3"/>
  <c r="AO984" i="3"/>
  <c r="AO985" i="3"/>
  <c r="AO987" i="3"/>
  <c r="AO986" i="3"/>
  <c r="AO988" i="3"/>
  <c r="AO989" i="3"/>
  <c r="AO990" i="3"/>
  <c r="AO991" i="3"/>
  <c r="AO992" i="3"/>
  <c r="AO993" i="3"/>
  <c r="AO994" i="3"/>
  <c r="AO995" i="3"/>
  <c r="AO996" i="3"/>
  <c r="AO997" i="3"/>
  <c r="AO998" i="3"/>
  <c r="AO999" i="3"/>
  <c r="AO1001" i="3"/>
  <c r="AO1000" i="3"/>
  <c r="AO1002" i="3"/>
  <c r="AO1003" i="3"/>
  <c r="AO1005" i="3"/>
  <c r="AO1006" i="3"/>
  <c r="AO1004" i="3"/>
  <c r="AO1008" i="3"/>
  <c r="AO1007" i="3"/>
  <c r="AO1009" i="3"/>
  <c r="AO1011" i="3"/>
  <c r="AO1010" i="3"/>
  <c r="AO1013" i="3"/>
  <c r="AO1015" i="3"/>
  <c r="AO1012" i="3"/>
  <c r="AO1014" i="3"/>
  <c r="AO1016" i="3"/>
  <c r="AO1017" i="3"/>
  <c r="AO1018" i="3"/>
  <c r="AO1019" i="3"/>
  <c r="AO1021" i="3"/>
  <c r="AO1020" i="3"/>
  <c r="AO1023" i="3"/>
  <c r="AO1022" i="3"/>
  <c r="AO1024" i="3"/>
  <c r="AO1025" i="3"/>
  <c r="AO1026" i="3"/>
  <c r="AO1027" i="3"/>
  <c r="AO1029" i="3"/>
  <c r="AO1028" i="3"/>
  <c r="AO1030" i="3"/>
  <c r="AO1031" i="3"/>
  <c r="AO1032" i="3"/>
  <c r="AO1033" i="3"/>
  <c r="AO1034" i="3"/>
  <c r="AO1035" i="3"/>
  <c r="AO1037" i="3"/>
  <c r="AO1038" i="3"/>
  <c r="AO1036" i="3"/>
  <c r="AO1039" i="3"/>
  <c r="AO1040" i="3"/>
  <c r="AO1041" i="3"/>
  <c r="AO1042" i="3"/>
  <c r="AO1043" i="3"/>
  <c r="AO1044" i="3"/>
  <c r="AO1046" i="3"/>
  <c r="AO1045" i="3"/>
  <c r="AO1048" i="3"/>
  <c r="AO1047" i="3"/>
  <c r="AO1049" i="3"/>
  <c r="AO1050" i="3"/>
  <c r="AO1051" i="3"/>
  <c r="AO1052" i="3"/>
  <c r="AO1053" i="3"/>
  <c r="AO1054" i="3"/>
  <c r="AO1055" i="3"/>
  <c r="AO1056" i="3"/>
  <c r="AO1057" i="3"/>
  <c r="AO1059" i="3"/>
  <c r="AO1058" i="3"/>
  <c r="AO1060" i="3"/>
  <c r="AO1061" i="3"/>
  <c r="AO1062" i="3"/>
  <c r="AO1063" i="3"/>
  <c r="AO1064" i="3"/>
  <c r="AO1065" i="3"/>
  <c r="AO1066" i="3"/>
  <c r="AO1068" i="3"/>
  <c r="AO1067" i="3"/>
  <c r="AO1069" i="3"/>
  <c r="AO1070" i="3"/>
  <c r="AO1072" i="3"/>
  <c r="AO1071" i="3"/>
  <c r="AO1073" i="3"/>
  <c r="AO1074" i="3"/>
  <c r="AO1075" i="3"/>
  <c r="AO1076" i="3"/>
  <c r="AO1077" i="3"/>
  <c r="AO1078" i="3"/>
  <c r="AO1079" i="3"/>
  <c r="AO1080" i="3"/>
  <c r="AO1082" i="3"/>
  <c r="AO1081" i="3"/>
  <c r="AO1083" i="3"/>
  <c r="AO1084" i="3"/>
  <c r="AO1085" i="3"/>
  <c r="AO1086" i="3"/>
  <c r="AO1087" i="3"/>
  <c r="AO1088" i="3"/>
  <c r="AO1089" i="3"/>
  <c r="AO1090" i="3"/>
  <c r="AO1091" i="3"/>
  <c r="AO1093" i="3"/>
  <c r="AO1092" i="3"/>
  <c r="AO1095" i="3"/>
  <c r="AO1094" i="3"/>
  <c r="AO1097" i="3"/>
  <c r="AO1096" i="3"/>
  <c r="AO1098" i="3"/>
  <c r="AO1099" i="3"/>
  <c r="AO1101" i="3"/>
  <c r="AO1100" i="3"/>
  <c r="AO1102" i="3"/>
  <c r="AO1104" i="3"/>
  <c r="AO1103" i="3"/>
  <c r="AO1107" i="3"/>
  <c r="AO1106" i="3"/>
  <c r="AO1105" i="3"/>
  <c r="AO1108" i="3"/>
  <c r="AO1109" i="3"/>
  <c r="AO1111" i="3"/>
  <c r="AO1110" i="3"/>
  <c r="AO1112" i="3"/>
  <c r="AO1113" i="3"/>
  <c r="AO1114" i="3"/>
  <c r="AO1115" i="3"/>
  <c r="AO1116" i="3"/>
  <c r="AO1117" i="3"/>
  <c r="AO1118" i="3"/>
  <c r="AO1119" i="3"/>
  <c r="AO1120" i="3"/>
  <c r="AO1121" i="3"/>
  <c r="AO1122" i="3"/>
  <c r="AO1124" i="3"/>
  <c r="AO1123" i="3"/>
  <c r="AO1125" i="3"/>
  <c r="AO1126" i="3"/>
  <c r="AO1127" i="3"/>
  <c r="AO1129" i="3"/>
  <c r="AO1131" i="3"/>
  <c r="AO1128" i="3"/>
  <c r="AO1130" i="3"/>
  <c r="AO1132" i="3"/>
  <c r="AO1133" i="3"/>
  <c r="AO1135" i="3"/>
  <c r="AO1134" i="3"/>
  <c r="AO1136" i="3"/>
  <c r="AO1137" i="3"/>
  <c r="AO1138" i="3"/>
  <c r="AO1139" i="3"/>
  <c r="AO1140" i="3"/>
  <c r="AO1141" i="3"/>
  <c r="AO1142" i="3"/>
  <c r="AO1143" i="3"/>
  <c r="AO1144" i="3"/>
  <c r="AO1145" i="3"/>
  <c r="AO1147" i="3"/>
  <c r="AO1146" i="3"/>
  <c r="AO1148" i="3"/>
  <c r="AO1149" i="3"/>
  <c r="AO1150" i="3"/>
  <c r="AO1151" i="3"/>
  <c r="AO1152" i="3"/>
  <c r="AO1153" i="3"/>
  <c r="AO1154" i="3"/>
  <c r="AO1155" i="3"/>
  <c r="AO1156" i="3"/>
  <c r="AO1157" i="3"/>
  <c r="AO1158" i="3"/>
  <c r="AO1159" i="3"/>
  <c r="AO1160" i="3"/>
  <c r="AO1161" i="3"/>
  <c r="AO1162" i="3"/>
  <c r="AO1163" i="3"/>
  <c r="AO1164" i="3"/>
  <c r="AO1165" i="3"/>
  <c r="AO1166" i="3"/>
  <c r="AO1167" i="3"/>
  <c r="AO1168" i="3"/>
  <c r="AO1169" i="3"/>
  <c r="AO1170" i="3"/>
  <c r="AO1171" i="3"/>
  <c r="AO1172" i="3"/>
  <c r="AO1174" i="3"/>
  <c r="AO1173" i="3"/>
  <c r="AO1175" i="3"/>
  <c r="AO1176" i="3"/>
  <c r="AO1179" i="3"/>
  <c r="AO1177" i="3"/>
  <c r="AO1178" i="3"/>
  <c r="AO1180" i="3"/>
  <c r="AO1182" i="3"/>
  <c r="AO1181" i="3"/>
  <c r="AO1183" i="3"/>
  <c r="AO1184" i="3"/>
  <c r="AO1185" i="3"/>
  <c r="AO1186" i="3"/>
  <c r="AO1187" i="3"/>
  <c r="AO1188" i="3"/>
  <c r="AO1189" i="3"/>
  <c r="AO1190" i="3"/>
  <c r="AO1191" i="3"/>
  <c r="AO1192" i="3"/>
  <c r="AO1194" i="3"/>
  <c r="AO1193" i="3"/>
  <c r="AO1195" i="3"/>
  <c r="AO1196" i="3"/>
  <c r="AO1198" i="3"/>
  <c r="AO1197" i="3"/>
  <c r="AO1200" i="3"/>
  <c r="AO1199" i="3"/>
  <c r="AO1201" i="3"/>
  <c r="AO1202" i="3"/>
  <c r="AO1203" i="3"/>
  <c r="AO1204" i="3"/>
  <c r="AO1205" i="3"/>
  <c r="AO1206" i="3"/>
  <c r="AO1207" i="3"/>
  <c r="AO1208" i="3"/>
  <c r="AO1209" i="3"/>
  <c r="AO1210" i="3"/>
  <c r="AO1211" i="3"/>
  <c r="AO1213" i="3"/>
  <c r="AO1212" i="3"/>
  <c r="AO1214" i="3"/>
  <c r="AO1215" i="3"/>
  <c r="AO1216" i="3"/>
  <c r="AO1218" i="3"/>
  <c r="AO1217" i="3"/>
  <c r="AO1219" i="3"/>
  <c r="AO1220" i="3"/>
  <c r="AO1221" i="3"/>
  <c r="AO1222" i="3"/>
  <c r="AO1223" i="3"/>
  <c r="AO1224" i="3"/>
  <c r="AO1225" i="3"/>
  <c r="AO1226" i="3"/>
  <c r="AO1227" i="3"/>
  <c r="AO1228" i="3"/>
  <c r="AO1229" i="3"/>
  <c r="AO1230" i="3"/>
  <c r="AO1231" i="3"/>
  <c r="AO1232" i="3"/>
  <c r="AO1233" i="3"/>
  <c r="AO1235" i="3"/>
  <c r="AO1234" i="3"/>
  <c r="AO1236" i="3"/>
  <c r="AO1237" i="3"/>
  <c r="AO1239" i="3"/>
  <c r="AO1240" i="3"/>
  <c r="AO1238" i="3"/>
  <c r="AO1241" i="3"/>
  <c r="AO1242" i="3"/>
  <c r="AO1243" i="3"/>
  <c r="AO1244" i="3"/>
  <c r="AO1245" i="3"/>
  <c r="AO1246" i="3"/>
  <c r="AO1247" i="3"/>
  <c r="AO1248" i="3"/>
  <c r="AO1249" i="3"/>
  <c r="AO1250" i="3"/>
  <c r="AO1251" i="3"/>
  <c r="AO1253" i="3"/>
  <c r="AO1252" i="3"/>
  <c r="AO1254" i="3"/>
  <c r="AO1255" i="3"/>
  <c r="AO1256" i="3"/>
  <c r="AO1257" i="3"/>
  <c r="AO1258" i="3"/>
  <c r="AO1259" i="3"/>
  <c r="AO1260" i="3"/>
  <c r="AO1261" i="3"/>
  <c r="AO1262" i="3"/>
  <c r="AO1263" i="3"/>
  <c r="AO1265" i="3"/>
  <c r="AO1264" i="3"/>
  <c r="AO1266" i="3"/>
  <c r="AO1267" i="3"/>
  <c r="AO1268" i="3"/>
  <c r="AO1269" i="3"/>
  <c r="AO1270" i="3"/>
  <c r="AO1271" i="3"/>
  <c r="AO1272" i="3"/>
  <c r="AO1274" i="3"/>
  <c r="AO1276" i="3"/>
  <c r="AO1273" i="3"/>
  <c r="AO1275" i="3"/>
  <c r="AO1277" i="3"/>
  <c r="AO1279" i="3"/>
  <c r="AO1278" i="3"/>
  <c r="AO1280" i="3"/>
  <c r="AO1282" i="3"/>
  <c r="AO1281" i="3"/>
  <c r="AO1283" i="3"/>
  <c r="AO1286" i="3"/>
  <c r="AO1285" i="3"/>
  <c r="AO1284" i="3"/>
  <c r="AO1287" i="3"/>
  <c r="AO1288" i="3"/>
  <c r="AO1289" i="3"/>
  <c r="AO1290" i="3"/>
  <c r="AO1293" i="3"/>
  <c r="AO1292" i="3"/>
  <c r="AO1294" i="3"/>
  <c r="AO1291" i="3"/>
  <c r="AO1296" i="3"/>
  <c r="AO1295" i="3"/>
  <c r="AO1297" i="3"/>
  <c r="AO1298" i="3"/>
  <c r="AO1299" i="3"/>
  <c r="AO1301" i="3"/>
  <c r="AO1300" i="3"/>
  <c r="AO1302" i="3"/>
  <c r="AO1303" i="3"/>
  <c r="AO1304" i="3"/>
  <c r="AO1305" i="3"/>
  <c r="AO1306" i="3"/>
  <c r="AO1307" i="3"/>
  <c r="AO1308" i="3"/>
  <c r="AO1309" i="3"/>
  <c r="AO1311" i="3"/>
  <c r="AO1310" i="3"/>
  <c r="AO1312" i="3"/>
  <c r="AO1313" i="3"/>
  <c r="AO1314" i="3"/>
  <c r="AO1315" i="3"/>
  <c r="AO1316" i="3"/>
  <c r="AO1317" i="3"/>
  <c r="AO1318" i="3"/>
  <c r="AO1319" i="3"/>
  <c r="AO1321" i="3"/>
  <c r="AO1320" i="3"/>
  <c r="AO1322" i="3"/>
  <c r="AO1323" i="3"/>
  <c r="AO1324" i="3"/>
  <c r="AO1325" i="3"/>
  <c r="AO1326" i="3"/>
  <c r="AO1327" i="3"/>
  <c r="AO1328" i="3"/>
  <c r="AO1329" i="3"/>
  <c r="AO1330" i="3"/>
  <c r="AO1331" i="3"/>
  <c r="AO1332" i="3"/>
  <c r="AO1333" i="3"/>
  <c r="AO1334" i="3"/>
  <c r="AO1335" i="3"/>
  <c r="AO1336" i="3"/>
  <c r="AO1337" i="3"/>
  <c r="AO1338" i="3"/>
  <c r="AO1339" i="3"/>
  <c r="AO1340" i="3"/>
  <c r="AO1341" i="3"/>
  <c r="AO1342" i="3"/>
  <c r="AO1343" i="3"/>
  <c r="AO1344" i="3"/>
  <c r="AO1345" i="3"/>
  <c r="AO1346" i="3"/>
  <c r="AO1347" i="3"/>
  <c r="AO1348" i="3"/>
  <c r="AO1349" i="3"/>
  <c r="AO1350" i="3"/>
  <c r="AO1352" i="3"/>
  <c r="AO1351" i="3"/>
  <c r="AO1353" i="3"/>
  <c r="AO1354" i="3"/>
  <c r="AO1356" i="3"/>
  <c r="AO1355" i="3"/>
  <c r="AO1357" i="3"/>
  <c r="AO1358" i="3"/>
  <c r="AO1359" i="3"/>
  <c r="AO1360" i="3"/>
  <c r="AO1361" i="3"/>
  <c r="AO1362" i="3"/>
  <c r="AO1363" i="3"/>
  <c r="AO1365" i="3"/>
  <c r="AO1364" i="3"/>
  <c r="AO1367" i="3"/>
  <c r="AO1366" i="3"/>
  <c r="AO1369" i="3"/>
  <c r="AO1372" i="3"/>
  <c r="AO1371" i="3"/>
  <c r="AO1370" i="3"/>
  <c r="AO1368" i="3"/>
  <c r="AO1373" i="3"/>
  <c r="AO1374" i="3"/>
  <c r="AO1375" i="3"/>
  <c r="AO1377" i="3"/>
  <c r="AO1376" i="3"/>
  <c r="AO1378" i="3"/>
  <c r="AO1379" i="3"/>
  <c r="AO1380" i="3"/>
  <c r="AO1381" i="3"/>
  <c r="AO1382" i="3"/>
  <c r="AO1383" i="3"/>
  <c r="AO1385" i="3"/>
  <c r="AO1384" i="3"/>
  <c r="AO1386" i="3"/>
  <c r="AO1387" i="3"/>
  <c r="AO1389" i="3"/>
  <c r="AO1388" i="3"/>
  <c r="AO1390" i="3"/>
  <c r="AO1391" i="3"/>
  <c r="AO1392" i="3"/>
  <c r="AO1394" i="3"/>
  <c r="AO1393" i="3"/>
  <c r="AO1395" i="3"/>
  <c r="AO1396" i="3"/>
  <c r="AO1398" i="3"/>
  <c r="AO1397" i="3"/>
  <c r="AO1399" i="3"/>
  <c r="AO1401" i="3"/>
  <c r="AO1400" i="3"/>
  <c r="AO1402" i="3"/>
  <c r="AO1403" i="3"/>
  <c r="AO1404" i="3"/>
  <c r="AO1405" i="3"/>
  <c r="AO1406" i="3"/>
  <c r="AO1407" i="3"/>
  <c r="AO1408" i="3"/>
  <c r="AO1409" i="3"/>
  <c r="AO1410" i="3"/>
  <c r="AO1411" i="3"/>
  <c r="AO1412" i="3"/>
  <c r="AO1414" i="3"/>
  <c r="AO1413" i="3"/>
  <c r="AO1415" i="3"/>
  <c r="AO1416" i="3"/>
  <c r="AO1418" i="3"/>
  <c r="AO1419" i="3"/>
  <c r="AO1417" i="3"/>
  <c r="AO1420" i="3"/>
  <c r="AO1422" i="3"/>
  <c r="AO1421" i="3"/>
  <c r="AO1424" i="3"/>
  <c r="AO1423" i="3"/>
  <c r="AO1425" i="3"/>
  <c r="AO1426" i="3"/>
  <c r="AO1428" i="3"/>
  <c r="AO1427" i="3"/>
  <c r="AO1429" i="3"/>
  <c r="AO1430" i="3"/>
  <c r="AO1431" i="3"/>
  <c r="AO1433" i="3"/>
  <c r="AO1432" i="3"/>
  <c r="AO1434" i="3"/>
  <c r="AO1435" i="3"/>
  <c r="AO1436" i="3"/>
  <c r="AO1437" i="3"/>
  <c r="AO1438" i="3"/>
  <c r="AO1439" i="3"/>
  <c r="AO1440" i="3"/>
  <c r="AO1441" i="3"/>
  <c r="AO1442" i="3"/>
  <c r="AO1443" i="3"/>
  <c r="AO1444" i="3"/>
  <c r="AO1445" i="3"/>
  <c r="AO1447" i="3"/>
  <c r="AO1446" i="3"/>
  <c r="AO1448" i="3"/>
  <c r="AO1451" i="3"/>
  <c r="AO1450" i="3"/>
  <c r="AO1449" i="3"/>
  <c r="AO1452" i="3"/>
  <c r="AO1453" i="3"/>
  <c r="AO1454" i="3"/>
  <c r="AO1455" i="3"/>
  <c r="AO1457" i="3"/>
  <c r="AO1456" i="3"/>
  <c r="AO1458" i="3"/>
  <c r="AO1459" i="3"/>
  <c r="AO1460" i="3"/>
  <c r="AO1461" i="3"/>
  <c r="AO1462" i="3"/>
  <c r="AO1463" i="3"/>
  <c r="AO1464" i="3"/>
  <c r="AO1465" i="3"/>
  <c r="AO1466" i="3"/>
  <c r="AO1467" i="3"/>
  <c r="AO1469" i="3"/>
  <c r="AO1468" i="3"/>
  <c r="AO1470" i="3"/>
  <c r="AO1471" i="3"/>
  <c r="AO1472" i="3"/>
  <c r="AO1473" i="3"/>
  <c r="AO1474" i="3"/>
  <c r="AO1477" i="3"/>
  <c r="AO1476" i="3"/>
  <c r="AO1475" i="3"/>
  <c r="AO1478" i="3"/>
  <c r="AO1479" i="3"/>
  <c r="AO1481" i="3"/>
  <c r="AO1480" i="3"/>
  <c r="AO1482" i="3"/>
  <c r="AO1483" i="3"/>
  <c r="AO1486" i="3"/>
  <c r="AO1484" i="3"/>
  <c r="AO1485" i="3"/>
  <c r="AO1487" i="3"/>
  <c r="AO1488" i="3"/>
  <c r="AO1489" i="3"/>
  <c r="AO1490" i="3"/>
  <c r="AO1492" i="3"/>
  <c r="AO1491" i="3"/>
  <c r="AO1493" i="3"/>
  <c r="AO1494" i="3"/>
  <c r="AO1497" i="3"/>
  <c r="AO1495" i="3"/>
  <c r="AO1496" i="3"/>
  <c r="AO1498" i="3"/>
  <c r="AO1499" i="3"/>
  <c r="AO1502" i="3"/>
  <c r="AO1500" i="3"/>
  <c r="AO1501" i="3"/>
  <c r="AO1503" i="3"/>
  <c r="AO1504" i="3"/>
  <c r="AO1505" i="3"/>
  <c r="AO1506" i="3"/>
  <c r="AO1507" i="3"/>
  <c r="AO1508" i="3"/>
  <c r="AO1509" i="3"/>
  <c r="AO1510" i="3"/>
  <c r="AO1511" i="3"/>
  <c r="AO1512" i="3"/>
  <c r="AO1513" i="3"/>
  <c r="AO1515" i="3"/>
  <c r="AO1514" i="3"/>
  <c r="AO1516" i="3"/>
  <c r="AO1517" i="3"/>
  <c r="AO1518" i="3"/>
  <c r="AO1519" i="3"/>
  <c r="AO1520" i="3"/>
  <c r="AO1521" i="3"/>
  <c r="AO1522" i="3"/>
  <c r="AO1523" i="3"/>
  <c r="AO1524" i="3"/>
  <c r="AO1525" i="3"/>
  <c r="AO1527" i="3"/>
  <c r="AO1526" i="3"/>
  <c r="AO1528" i="3"/>
  <c r="AO1530" i="3"/>
  <c r="AO1529" i="3"/>
  <c r="AO1531" i="3"/>
  <c r="AO1532" i="3"/>
  <c r="AO1533" i="3"/>
  <c r="AO1534" i="3"/>
  <c r="AO1535" i="3"/>
  <c r="AO1537" i="3"/>
  <c r="AO1536" i="3"/>
  <c r="AO1538" i="3"/>
  <c r="AO1539" i="3"/>
  <c r="AO1540" i="3"/>
  <c r="AO1541" i="3"/>
  <c r="AO1542" i="3"/>
  <c r="AO1545" i="3"/>
  <c r="AO1543" i="3"/>
  <c r="AO1544" i="3"/>
  <c r="AO1546" i="3"/>
  <c r="AO1547" i="3"/>
  <c r="AO1548" i="3"/>
  <c r="AO1549" i="3"/>
  <c r="AO1550" i="3"/>
  <c r="AO1552" i="3"/>
  <c r="AO1551" i="3"/>
  <c r="AO1554" i="3"/>
  <c r="AO1553" i="3"/>
  <c r="AO1555" i="3"/>
  <c r="AO1556" i="3"/>
  <c r="AO1557" i="3"/>
  <c r="AO1558" i="3"/>
  <c r="AO1559" i="3"/>
  <c r="AO1560" i="3"/>
  <c r="AO1561" i="3"/>
  <c r="AO1562" i="3"/>
  <c r="AO1564" i="3"/>
  <c r="AO1563" i="3"/>
  <c r="AO1565" i="3"/>
  <c r="AO1566" i="3"/>
  <c r="AO1567" i="3"/>
  <c r="AO1568" i="3"/>
  <c r="AO1569" i="3"/>
  <c r="AO1570" i="3"/>
  <c r="AO1572" i="3"/>
  <c r="AO1571" i="3"/>
  <c r="AO1573" i="3"/>
  <c r="AO1574" i="3"/>
  <c r="AO1575" i="3"/>
  <c r="AO1578" i="3"/>
  <c r="AO1576" i="3"/>
  <c r="AO1577" i="3"/>
  <c r="AO1579" i="3"/>
  <c r="AO1580" i="3"/>
  <c r="AO1582" i="3"/>
  <c r="AO1581" i="3"/>
  <c r="AO1583" i="3"/>
  <c r="AO1584" i="3"/>
  <c r="AO1585" i="3"/>
  <c r="AO1587" i="3"/>
  <c r="AO1586" i="3"/>
  <c r="AO1588" i="3"/>
  <c r="AO1589" i="3"/>
  <c r="AO1590" i="3"/>
  <c r="AO1591" i="3"/>
  <c r="AO1593" i="3"/>
  <c r="AO1592" i="3"/>
  <c r="AO1594" i="3"/>
  <c r="AO1595" i="3"/>
  <c r="AO1597" i="3"/>
  <c r="AO1596" i="3"/>
  <c r="AO1598" i="3"/>
  <c r="AO1600" i="3"/>
  <c r="AO1599" i="3"/>
  <c r="AO1603" i="3"/>
  <c r="AO1604" i="3"/>
  <c r="AO1605" i="3"/>
  <c r="AO1607" i="3"/>
  <c r="AO1608" i="3"/>
  <c r="AO1606" i="3"/>
  <c r="AO1610" i="3"/>
  <c r="AO1611" i="3"/>
  <c r="AO1609" i="3"/>
  <c r="AO1612" i="3"/>
  <c r="AO1613" i="3"/>
  <c r="AO1615" i="3"/>
  <c r="AO1614" i="3"/>
  <c r="AO1616" i="3"/>
  <c r="AO1619" i="3"/>
  <c r="AO1618" i="3"/>
  <c r="AO1617" i="3"/>
  <c r="AO1620" i="3"/>
  <c r="AO1621" i="3"/>
  <c r="AO1622" i="3"/>
  <c r="AO1623" i="3"/>
  <c r="AO1624" i="3"/>
  <c r="AO1625" i="3"/>
  <c r="AO1626" i="3"/>
  <c r="AO1627" i="3"/>
  <c r="AO1628" i="3"/>
  <c r="AO1629" i="3"/>
  <c r="AO1630" i="3"/>
  <c r="AO1631" i="3"/>
  <c r="AO1633" i="3"/>
  <c r="AO1632" i="3"/>
  <c r="AN5" i="3"/>
  <c r="AN3" i="3"/>
  <c r="AN4" i="3"/>
  <c r="AN7" i="3"/>
  <c r="AN6" i="3"/>
  <c r="AN9" i="3"/>
  <c r="AN8" i="3"/>
  <c r="AN10" i="3"/>
  <c r="AN11" i="3"/>
  <c r="AN12" i="3"/>
  <c r="AN17" i="3"/>
  <c r="AN15" i="3"/>
  <c r="AN13" i="3"/>
  <c r="AN14" i="3"/>
  <c r="AN16" i="3"/>
  <c r="AN18" i="3"/>
  <c r="AN19" i="3"/>
  <c r="AN21" i="3"/>
  <c r="AN20" i="3"/>
  <c r="AN23" i="3"/>
  <c r="AN22" i="3"/>
  <c r="AN25" i="3"/>
  <c r="AN24" i="3"/>
  <c r="AN26" i="3"/>
  <c r="AN27" i="3"/>
  <c r="AN28" i="3"/>
  <c r="AN29" i="3"/>
  <c r="AN30" i="3"/>
  <c r="AN31" i="3"/>
  <c r="AN32" i="3"/>
  <c r="AN33" i="3"/>
  <c r="AN34" i="3"/>
  <c r="AN36" i="3"/>
  <c r="AN35" i="3"/>
  <c r="AN37" i="3"/>
  <c r="AN39" i="3"/>
  <c r="AN38" i="3"/>
  <c r="AN40" i="3"/>
  <c r="AN42" i="3"/>
  <c r="AN41" i="3"/>
  <c r="AN43" i="3"/>
  <c r="AN44" i="3"/>
  <c r="AN45" i="3"/>
  <c r="AN46" i="3"/>
  <c r="AN47" i="3"/>
  <c r="AN49" i="3"/>
  <c r="AN48" i="3"/>
  <c r="AN50" i="3"/>
  <c r="AN51" i="3"/>
  <c r="AN52" i="3"/>
  <c r="AN53" i="3"/>
  <c r="AN54" i="3"/>
  <c r="AN55" i="3"/>
  <c r="AN58" i="3"/>
  <c r="AN56" i="3"/>
  <c r="AN57" i="3"/>
  <c r="AN59" i="3"/>
  <c r="AN60" i="3"/>
  <c r="AN61" i="3"/>
  <c r="AN62" i="3"/>
  <c r="AN63" i="3"/>
  <c r="AN64" i="3"/>
  <c r="AN67" i="3"/>
  <c r="AN66" i="3"/>
  <c r="AN65" i="3"/>
  <c r="AN70" i="3"/>
  <c r="AN69" i="3"/>
  <c r="AN68" i="3"/>
  <c r="AN71" i="3"/>
  <c r="AN72" i="3"/>
  <c r="AN73" i="3"/>
  <c r="AN74" i="3"/>
  <c r="AN75" i="3"/>
  <c r="AN76" i="3"/>
  <c r="AN77" i="3"/>
  <c r="AN79" i="3"/>
  <c r="AN78" i="3"/>
  <c r="AN80" i="3"/>
  <c r="AN81" i="3"/>
  <c r="AN82" i="3"/>
  <c r="AN84" i="3"/>
  <c r="AN83" i="3"/>
  <c r="AN85" i="3"/>
  <c r="AN87" i="3"/>
  <c r="AN86" i="3"/>
  <c r="AN89" i="3"/>
  <c r="AN88" i="3"/>
  <c r="AN90" i="3"/>
  <c r="AN91" i="3"/>
  <c r="AN92" i="3"/>
  <c r="AN93" i="3"/>
  <c r="AN95" i="3"/>
  <c r="AN94" i="3"/>
  <c r="AN96" i="3"/>
  <c r="AN97" i="3"/>
  <c r="AN98" i="3"/>
  <c r="AN99" i="3"/>
  <c r="AN100" i="3"/>
  <c r="AN101" i="3"/>
  <c r="AN102" i="3"/>
  <c r="AN103" i="3"/>
  <c r="AN104" i="3"/>
  <c r="AN105" i="3"/>
  <c r="AN106" i="3"/>
  <c r="AN108" i="3"/>
  <c r="AN107" i="3"/>
  <c r="AN109" i="3"/>
  <c r="AN110" i="3"/>
  <c r="AN111" i="3"/>
  <c r="AN112" i="3"/>
  <c r="AN113" i="3"/>
  <c r="AN114" i="3"/>
  <c r="AN115" i="3"/>
  <c r="AN116" i="3"/>
  <c r="AN117" i="3"/>
  <c r="AN118" i="3"/>
  <c r="AN119" i="3"/>
  <c r="AN120" i="3"/>
  <c r="AN121" i="3"/>
  <c r="AN122" i="3"/>
  <c r="AN123" i="3"/>
  <c r="AN124" i="3"/>
  <c r="AN125" i="3"/>
  <c r="AN126" i="3"/>
  <c r="AN127" i="3"/>
  <c r="AN129" i="3"/>
  <c r="AN128" i="3"/>
  <c r="AN130" i="3"/>
  <c r="AN131" i="3"/>
  <c r="AN132" i="3"/>
  <c r="AN134" i="3"/>
  <c r="AN133" i="3"/>
  <c r="AN135" i="3"/>
  <c r="AN136" i="3"/>
  <c r="AN137" i="3"/>
  <c r="AN138" i="3"/>
  <c r="AN139" i="3"/>
  <c r="AN140" i="3"/>
  <c r="AN141" i="3"/>
  <c r="AN142" i="3"/>
  <c r="AN143" i="3"/>
  <c r="AN144" i="3"/>
  <c r="AN146" i="3"/>
  <c r="AN145" i="3"/>
  <c r="AN147" i="3"/>
  <c r="AN148" i="3"/>
  <c r="AN150" i="3"/>
  <c r="AN149" i="3"/>
  <c r="AN151" i="3"/>
  <c r="AN152" i="3"/>
  <c r="AN154" i="3"/>
  <c r="AN153" i="3"/>
  <c r="AN155" i="3"/>
  <c r="AN156" i="3"/>
  <c r="AN157" i="3"/>
  <c r="AN158" i="3"/>
  <c r="AN159" i="3"/>
  <c r="AN160" i="3"/>
  <c r="AN161" i="3"/>
  <c r="AN162" i="3"/>
  <c r="AN163" i="3"/>
  <c r="AN164" i="3"/>
  <c r="AN165" i="3"/>
  <c r="AN168" i="3"/>
  <c r="AN167" i="3"/>
  <c r="AN166" i="3"/>
  <c r="AN169" i="3"/>
  <c r="AN170" i="3"/>
  <c r="AN171" i="3"/>
  <c r="AN172" i="3"/>
  <c r="AN173" i="3"/>
  <c r="AN174" i="3"/>
  <c r="AN175" i="3"/>
  <c r="AN176" i="3"/>
  <c r="AN177" i="3"/>
  <c r="AN178" i="3"/>
  <c r="AN179" i="3"/>
  <c r="AN180" i="3"/>
  <c r="AN182" i="3"/>
  <c r="AN181" i="3"/>
  <c r="AN183" i="3"/>
  <c r="AN184" i="3"/>
  <c r="AN185" i="3"/>
  <c r="AN187" i="3"/>
  <c r="AN186" i="3"/>
  <c r="AN188" i="3"/>
  <c r="AN189" i="3"/>
  <c r="AN190" i="3"/>
  <c r="AN192" i="3"/>
  <c r="AN191" i="3"/>
  <c r="AN193" i="3"/>
  <c r="AN194" i="3"/>
  <c r="AN195" i="3"/>
  <c r="AN197" i="3"/>
  <c r="AN196" i="3"/>
  <c r="AN198" i="3"/>
  <c r="AN200" i="3"/>
  <c r="AN199" i="3"/>
  <c r="AN201" i="3"/>
  <c r="AN202" i="3"/>
  <c r="AN204" i="3"/>
  <c r="AN203" i="3"/>
  <c r="AN205" i="3"/>
  <c r="AN206" i="3"/>
  <c r="AN207" i="3"/>
  <c r="AN209" i="3"/>
  <c r="AN211" i="3"/>
  <c r="AN210" i="3"/>
  <c r="AN208" i="3"/>
  <c r="AN212" i="3"/>
  <c r="AN213" i="3"/>
  <c r="AN214" i="3"/>
  <c r="AN215" i="3"/>
  <c r="AN216" i="3"/>
  <c r="AN218" i="3"/>
  <c r="AN217" i="3"/>
  <c r="AN219" i="3"/>
  <c r="AN220" i="3"/>
  <c r="AN221" i="3"/>
  <c r="AN222" i="3"/>
  <c r="AN223" i="3"/>
  <c r="AN224" i="3"/>
  <c r="AN225" i="3"/>
  <c r="AN226" i="3"/>
  <c r="AN227" i="3"/>
  <c r="AN228" i="3"/>
  <c r="AN229" i="3"/>
  <c r="AN230" i="3"/>
  <c r="AN231" i="3"/>
  <c r="AN232" i="3"/>
  <c r="AN233" i="3"/>
  <c r="AN234" i="3"/>
  <c r="AN235" i="3"/>
  <c r="AN236" i="3"/>
  <c r="AN237" i="3"/>
  <c r="AN239" i="3"/>
  <c r="AN240" i="3"/>
  <c r="AN238" i="3"/>
  <c r="AN241" i="3"/>
  <c r="AN242" i="3"/>
  <c r="AN244" i="3"/>
  <c r="AN246" i="3"/>
  <c r="AN245" i="3"/>
  <c r="AN243" i="3"/>
  <c r="AN247" i="3"/>
  <c r="AN250" i="3"/>
  <c r="AN249" i="3"/>
  <c r="AN248" i="3"/>
  <c r="AN251" i="3"/>
  <c r="AN252" i="3"/>
  <c r="AN253" i="3"/>
  <c r="AN254" i="3"/>
  <c r="AN255" i="3"/>
  <c r="AN256" i="3"/>
  <c r="AN257" i="3"/>
  <c r="AN258" i="3"/>
  <c r="AN259" i="3"/>
  <c r="AN262" i="3"/>
  <c r="AN260" i="3"/>
  <c r="AN261" i="3"/>
  <c r="AN263" i="3"/>
  <c r="AN264" i="3"/>
  <c r="AN265" i="3"/>
  <c r="AN266" i="3"/>
  <c r="AN267" i="3"/>
  <c r="AN269" i="3"/>
  <c r="AN268" i="3"/>
  <c r="AN270" i="3"/>
  <c r="AN271" i="3"/>
  <c r="AN272" i="3"/>
  <c r="AN273" i="3"/>
  <c r="AN274" i="3"/>
  <c r="AN275" i="3"/>
  <c r="AN276" i="3"/>
  <c r="AN277" i="3"/>
  <c r="AN278" i="3"/>
  <c r="AN279" i="3"/>
  <c r="AN280" i="3"/>
  <c r="AN282" i="3"/>
  <c r="AN281" i="3"/>
  <c r="AN283" i="3"/>
  <c r="AN284" i="3"/>
  <c r="AN285" i="3"/>
  <c r="AN287" i="3"/>
  <c r="AN286" i="3"/>
  <c r="AN288" i="3"/>
  <c r="AN289" i="3"/>
  <c r="AN290" i="3"/>
  <c r="AN292" i="3"/>
  <c r="AN291" i="3"/>
  <c r="AN294" i="3"/>
  <c r="AN293" i="3"/>
  <c r="AN295" i="3"/>
  <c r="AN296" i="3"/>
  <c r="AN297" i="3"/>
  <c r="AN298" i="3"/>
  <c r="AN299" i="3"/>
  <c r="AN300" i="3"/>
  <c r="AN301" i="3"/>
  <c r="AN302" i="3"/>
  <c r="AN303" i="3"/>
  <c r="AN304" i="3"/>
  <c r="AN305" i="3"/>
  <c r="AN306" i="3"/>
  <c r="AN309" i="3"/>
  <c r="AN308" i="3"/>
  <c r="AN307" i="3"/>
  <c r="AN310" i="3"/>
  <c r="AN311" i="3"/>
  <c r="AN312" i="3"/>
  <c r="AN313" i="3"/>
  <c r="AN314" i="3"/>
  <c r="AN315" i="3"/>
  <c r="AN316" i="3"/>
  <c r="AN319" i="3"/>
  <c r="AN317" i="3"/>
  <c r="AN320" i="3"/>
  <c r="AN318" i="3"/>
  <c r="AN321" i="3"/>
  <c r="AN322" i="3"/>
  <c r="AN323" i="3"/>
  <c r="AN324" i="3"/>
  <c r="AN325" i="3"/>
  <c r="AN327" i="3"/>
  <c r="AN326" i="3"/>
  <c r="AN328" i="3"/>
  <c r="AN329" i="3"/>
  <c r="AN331" i="3"/>
  <c r="AN330" i="3"/>
  <c r="AN333" i="3"/>
  <c r="AN332" i="3"/>
  <c r="AN335" i="3"/>
  <c r="AN334" i="3"/>
  <c r="AN336" i="3"/>
  <c r="AN338" i="3"/>
  <c r="AN337" i="3"/>
  <c r="AN339" i="3"/>
  <c r="AN340" i="3"/>
  <c r="AN341" i="3"/>
  <c r="AN343" i="3"/>
  <c r="AN342" i="3"/>
  <c r="AN344" i="3"/>
  <c r="AN347" i="3"/>
  <c r="AN346" i="3"/>
  <c r="AN345" i="3"/>
  <c r="AN348" i="3"/>
  <c r="AN349" i="3"/>
  <c r="AN351" i="3"/>
  <c r="AN350" i="3"/>
  <c r="AN352" i="3"/>
  <c r="AN354" i="3"/>
  <c r="AN353" i="3"/>
  <c r="AN355" i="3"/>
  <c r="AN356" i="3"/>
  <c r="AN357" i="3"/>
  <c r="AN358" i="3"/>
  <c r="AN359" i="3"/>
  <c r="AN360" i="3"/>
  <c r="AN361" i="3"/>
  <c r="AN362" i="3"/>
  <c r="AN363" i="3"/>
  <c r="AN364" i="3"/>
  <c r="AN365" i="3"/>
  <c r="AN367" i="3"/>
  <c r="AN368" i="3"/>
  <c r="AN366" i="3"/>
  <c r="AN369" i="3"/>
  <c r="AN370" i="3"/>
  <c r="AN372" i="3"/>
  <c r="AN371" i="3"/>
  <c r="AN373" i="3"/>
  <c r="AN374" i="3"/>
  <c r="AN375" i="3"/>
  <c r="AN377" i="3"/>
  <c r="AN376" i="3"/>
  <c r="AN379" i="3"/>
  <c r="AN378" i="3"/>
  <c r="AN380" i="3"/>
  <c r="AN381" i="3"/>
  <c r="AN382" i="3"/>
  <c r="AN383" i="3"/>
  <c r="AN384" i="3"/>
  <c r="AN385" i="3"/>
  <c r="AN386" i="3"/>
  <c r="AN388" i="3"/>
  <c r="AN387" i="3"/>
  <c r="AN389" i="3"/>
  <c r="AN391" i="3"/>
  <c r="AN390" i="3"/>
  <c r="AN392" i="3"/>
  <c r="AN394" i="3"/>
  <c r="AN393" i="3"/>
  <c r="AN395" i="3"/>
  <c r="AN396" i="3"/>
  <c r="AN397" i="3"/>
  <c r="AN398" i="3"/>
  <c r="AN399" i="3"/>
  <c r="AN400" i="3"/>
  <c r="AN401" i="3"/>
  <c r="AN402" i="3"/>
  <c r="AN403" i="3"/>
  <c r="AN404" i="3"/>
  <c r="AN405" i="3"/>
  <c r="AN407" i="3"/>
  <c r="AN406" i="3"/>
  <c r="AN409" i="3"/>
  <c r="AN408" i="3"/>
  <c r="AN410" i="3"/>
  <c r="AN411" i="3"/>
  <c r="AN412" i="3"/>
  <c r="AN413" i="3"/>
  <c r="AN415" i="3"/>
  <c r="AN414" i="3"/>
  <c r="AN416" i="3"/>
  <c r="AN417" i="3"/>
  <c r="AN418" i="3"/>
  <c r="AN419" i="3"/>
  <c r="AN420" i="3"/>
  <c r="AN422" i="3"/>
  <c r="AN421" i="3"/>
  <c r="AN424" i="3"/>
  <c r="AN423" i="3"/>
  <c r="AN425" i="3"/>
  <c r="AN426" i="3"/>
  <c r="AN427" i="3"/>
  <c r="AN430" i="3"/>
  <c r="AN428" i="3"/>
  <c r="AN429" i="3"/>
  <c r="AN432" i="3"/>
  <c r="AN431" i="3"/>
  <c r="AN433" i="3"/>
  <c r="AN434" i="3"/>
  <c r="AN435" i="3"/>
  <c r="AN436" i="3"/>
  <c r="AN437" i="3"/>
  <c r="AN438" i="3"/>
  <c r="AN439" i="3"/>
  <c r="AN441" i="3"/>
  <c r="AN440" i="3"/>
  <c r="AN443" i="3"/>
  <c r="AN444" i="3"/>
  <c r="AN442" i="3"/>
  <c r="AN447" i="3"/>
  <c r="AN446" i="3"/>
  <c r="AN445" i="3"/>
  <c r="AN448" i="3"/>
  <c r="AN449" i="3"/>
  <c r="AN450" i="3"/>
  <c r="AN451" i="3"/>
  <c r="AN453" i="3"/>
  <c r="AN452" i="3"/>
  <c r="AN454" i="3"/>
  <c r="AN455" i="3"/>
  <c r="AN456" i="3"/>
  <c r="AN457" i="3"/>
  <c r="AN459" i="3"/>
  <c r="AN458" i="3"/>
  <c r="AN460" i="3"/>
  <c r="AN461" i="3"/>
  <c r="AN462" i="3"/>
  <c r="AN463" i="3"/>
  <c r="AN464" i="3"/>
  <c r="AN465" i="3"/>
  <c r="AN466" i="3"/>
  <c r="AN467" i="3"/>
  <c r="AN469" i="3"/>
  <c r="AN468" i="3"/>
  <c r="AN470" i="3"/>
  <c r="AN471" i="3"/>
  <c r="AN472" i="3"/>
  <c r="AN473" i="3"/>
  <c r="AN474" i="3"/>
  <c r="AN475" i="3"/>
  <c r="AN476" i="3"/>
  <c r="AN477" i="3"/>
  <c r="AN479" i="3"/>
  <c r="AN478" i="3"/>
  <c r="AN480" i="3"/>
  <c r="AN481" i="3"/>
  <c r="AN482" i="3"/>
  <c r="AN483" i="3"/>
  <c r="AN484" i="3"/>
  <c r="AN485" i="3"/>
  <c r="AN488" i="3"/>
  <c r="AN487" i="3"/>
  <c r="AN486" i="3"/>
  <c r="AN489" i="3"/>
  <c r="AN491" i="3"/>
  <c r="AN490" i="3"/>
  <c r="AN492" i="3"/>
  <c r="AN494" i="3"/>
  <c r="AN493" i="3"/>
  <c r="AN495" i="3"/>
  <c r="AN497" i="3"/>
  <c r="AN498" i="3"/>
  <c r="AN496" i="3"/>
  <c r="AN499" i="3"/>
  <c r="AN500" i="3"/>
  <c r="AN501" i="3"/>
  <c r="AN502" i="3"/>
  <c r="AN503" i="3"/>
  <c r="AN504" i="3"/>
  <c r="AN506" i="3"/>
  <c r="AN505" i="3"/>
  <c r="AN507" i="3"/>
  <c r="AN509" i="3"/>
  <c r="AN510" i="3"/>
  <c r="AN508" i="3"/>
  <c r="AN511" i="3"/>
  <c r="AN512" i="3"/>
  <c r="AN513" i="3"/>
  <c r="AN514" i="3"/>
  <c r="AN515" i="3"/>
  <c r="AN516" i="3"/>
  <c r="AN518" i="3"/>
  <c r="AN517" i="3"/>
  <c r="AN520" i="3"/>
  <c r="AN519" i="3"/>
  <c r="AN521" i="3"/>
  <c r="AN522" i="3"/>
  <c r="AN523" i="3"/>
  <c r="AN525" i="3"/>
  <c r="AN524" i="3"/>
  <c r="AN526" i="3"/>
  <c r="AN527" i="3"/>
  <c r="AN528" i="3"/>
  <c r="AN529" i="3"/>
  <c r="AN530" i="3"/>
  <c r="AN531" i="3"/>
  <c r="AN532" i="3"/>
  <c r="AN533" i="3"/>
  <c r="AN534" i="3"/>
  <c r="AN535" i="3"/>
  <c r="AN536" i="3"/>
  <c r="AN538" i="3"/>
  <c r="AN537" i="3"/>
  <c r="AN539" i="3"/>
  <c r="AN541" i="3"/>
  <c r="AN540" i="3"/>
  <c r="AN542" i="3"/>
  <c r="AN543" i="3"/>
  <c r="AN544" i="3"/>
  <c r="AN545" i="3"/>
  <c r="AN546" i="3"/>
  <c r="AN548" i="3"/>
  <c r="AN547" i="3"/>
  <c r="AN549" i="3"/>
  <c r="AN550" i="3"/>
  <c r="AN551" i="3"/>
  <c r="AN553" i="3"/>
  <c r="AN552" i="3"/>
  <c r="AN554" i="3"/>
  <c r="AN555" i="3"/>
  <c r="AN556" i="3"/>
  <c r="AN557" i="3"/>
  <c r="AN558" i="3"/>
  <c r="AN559" i="3"/>
  <c r="AN560" i="3"/>
  <c r="AN561" i="3"/>
  <c r="AN562" i="3"/>
  <c r="AN563" i="3"/>
  <c r="AN565" i="3"/>
  <c r="AN564" i="3"/>
  <c r="AN566" i="3"/>
  <c r="AN567" i="3"/>
  <c r="AN568" i="3"/>
  <c r="AN569" i="3"/>
  <c r="AN570" i="3"/>
  <c r="AN571" i="3"/>
  <c r="AN572" i="3"/>
  <c r="AN573" i="3"/>
  <c r="AN575" i="3"/>
  <c r="AN574" i="3"/>
  <c r="AN576" i="3"/>
  <c r="AN577" i="3"/>
  <c r="AN578" i="3"/>
  <c r="AN579" i="3"/>
  <c r="AN581" i="3"/>
  <c r="AN580" i="3"/>
  <c r="AN582" i="3"/>
  <c r="AN583" i="3"/>
  <c r="AN584" i="3"/>
  <c r="AN585" i="3"/>
  <c r="AN586" i="3"/>
  <c r="AN587" i="3"/>
  <c r="AN590" i="3"/>
  <c r="AN589" i="3"/>
  <c r="AN588" i="3"/>
  <c r="AN591" i="3"/>
  <c r="AN592" i="3"/>
  <c r="AN593" i="3"/>
  <c r="AN595" i="3"/>
  <c r="AN594" i="3"/>
  <c r="AN596" i="3"/>
  <c r="AN597" i="3"/>
  <c r="AN598" i="3"/>
  <c r="AN599" i="3"/>
  <c r="AN600" i="3"/>
  <c r="AN601" i="3"/>
  <c r="AN604" i="3"/>
  <c r="AN602" i="3"/>
  <c r="AN603" i="3"/>
  <c r="AN605" i="3"/>
  <c r="AN607" i="3"/>
  <c r="AN608" i="3"/>
  <c r="AN606" i="3"/>
  <c r="AN609" i="3"/>
  <c r="AN610" i="3"/>
  <c r="AN611" i="3"/>
  <c r="AN613" i="3"/>
  <c r="AN614" i="3"/>
  <c r="AN612" i="3"/>
  <c r="AN615" i="3"/>
  <c r="AN616" i="3"/>
  <c r="AN617" i="3"/>
  <c r="AN618" i="3"/>
  <c r="AN619" i="3"/>
  <c r="AN620" i="3"/>
  <c r="AN621" i="3"/>
  <c r="AN623" i="3"/>
  <c r="AN622" i="3"/>
  <c r="AN624" i="3"/>
  <c r="AN625" i="3"/>
  <c r="AN626" i="3"/>
  <c r="AN627" i="3"/>
  <c r="AN629" i="3"/>
  <c r="AN628" i="3"/>
  <c r="AN630" i="3"/>
  <c r="AN631" i="3"/>
  <c r="AN632" i="3"/>
  <c r="AN633" i="3"/>
  <c r="AN634" i="3"/>
  <c r="AN635" i="3"/>
  <c r="AN638" i="3"/>
  <c r="AN637" i="3"/>
  <c r="AN636" i="3"/>
  <c r="AN639" i="3"/>
  <c r="AN640" i="3"/>
  <c r="AN641" i="3"/>
  <c r="AN642" i="3"/>
  <c r="AN643" i="3"/>
  <c r="AN644" i="3"/>
  <c r="AN645" i="3"/>
  <c r="AN646" i="3"/>
  <c r="AN647" i="3"/>
  <c r="AN648" i="3"/>
  <c r="AN650" i="3"/>
  <c r="AN649" i="3"/>
  <c r="AN651" i="3"/>
  <c r="AN652" i="3"/>
  <c r="AN653" i="3"/>
  <c r="AN655" i="3"/>
  <c r="AN654" i="3"/>
  <c r="AN657" i="3"/>
  <c r="AN658" i="3"/>
  <c r="AN659" i="3"/>
  <c r="AN656" i="3"/>
  <c r="AN660" i="3"/>
  <c r="AN661" i="3"/>
  <c r="AN662" i="3"/>
  <c r="AN663" i="3"/>
  <c r="AN664" i="3"/>
  <c r="AN666" i="3"/>
  <c r="AN665" i="3"/>
  <c r="AN667" i="3"/>
  <c r="AN669" i="3"/>
  <c r="AN668" i="3"/>
  <c r="AN671" i="3"/>
  <c r="AN670" i="3"/>
  <c r="AN673" i="3"/>
  <c r="AN672" i="3"/>
  <c r="AN674" i="3"/>
  <c r="AN676" i="3"/>
  <c r="AN677" i="3"/>
  <c r="AN678" i="3"/>
  <c r="AN675" i="3"/>
  <c r="AN679" i="3"/>
  <c r="AN680" i="3"/>
  <c r="AN681" i="3"/>
  <c r="AN682" i="3"/>
  <c r="AN683" i="3"/>
  <c r="AN684" i="3"/>
  <c r="AN685" i="3"/>
  <c r="AN686" i="3"/>
  <c r="AN688" i="3"/>
  <c r="AN689" i="3"/>
  <c r="AN687" i="3"/>
  <c r="AN693" i="3"/>
  <c r="AN690" i="3"/>
  <c r="AN691" i="3"/>
  <c r="AN692" i="3"/>
  <c r="AN694" i="3"/>
  <c r="AN697" i="3"/>
  <c r="AN695" i="3"/>
  <c r="AN696" i="3"/>
  <c r="AN698" i="3"/>
  <c r="AN699" i="3"/>
  <c r="AN700" i="3"/>
  <c r="AN701" i="3"/>
  <c r="AN702" i="3"/>
  <c r="AN703" i="3"/>
  <c r="AN704" i="3"/>
  <c r="AN705" i="3"/>
  <c r="AN706" i="3"/>
  <c r="AN707" i="3"/>
  <c r="AN708" i="3"/>
  <c r="AN710" i="3"/>
  <c r="AN709" i="3"/>
  <c r="AN711" i="3"/>
  <c r="AN712" i="3"/>
  <c r="AN713" i="3"/>
  <c r="AN714" i="3"/>
  <c r="AN715" i="3"/>
  <c r="AN716" i="3"/>
  <c r="AN717" i="3"/>
  <c r="AN718" i="3"/>
  <c r="AN719" i="3"/>
  <c r="AN720" i="3"/>
  <c r="AN721" i="3"/>
  <c r="AN722" i="3"/>
  <c r="AN723" i="3"/>
  <c r="AN724" i="3"/>
  <c r="AN726" i="3"/>
  <c r="AN727" i="3"/>
  <c r="AN725" i="3"/>
  <c r="AN728" i="3"/>
  <c r="AN729" i="3"/>
  <c r="AN732" i="3"/>
  <c r="AN731" i="3"/>
  <c r="AN730" i="3"/>
  <c r="AN733" i="3"/>
  <c r="AN734" i="3"/>
  <c r="AN735" i="3"/>
  <c r="AN736" i="3"/>
  <c r="AN737" i="3"/>
  <c r="AN738" i="3"/>
  <c r="AN739" i="3"/>
  <c r="AN740" i="3"/>
  <c r="AN742" i="3"/>
  <c r="AN741" i="3"/>
  <c r="AN743" i="3"/>
  <c r="AN744" i="3"/>
  <c r="AN745" i="3"/>
  <c r="AN746" i="3"/>
  <c r="AN747" i="3"/>
  <c r="AN748" i="3"/>
  <c r="AN749" i="3"/>
  <c r="AN750" i="3"/>
  <c r="AN751" i="3"/>
  <c r="AN752" i="3"/>
  <c r="AN753" i="3"/>
  <c r="AN754" i="3"/>
  <c r="AN755" i="3"/>
  <c r="AN756" i="3"/>
  <c r="AN757" i="3"/>
  <c r="AN758" i="3"/>
  <c r="AN759" i="3"/>
  <c r="AN760" i="3"/>
  <c r="AN762" i="3"/>
  <c r="AN761" i="3"/>
  <c r="AN763" i="3"/>
  <c r="AN764" i="3"/>
  <c r="AN765" i="3"/>
  <c r="AN766" i="3"/>
  <c r="AN768" i="3"/>
  <c r="AN767" i="3"/>
  <c r="AN769" i="3"/>
  <c r="AN770" i="3"/>
  <c r="AN771" i="3"/>
  <c r="AN772" i="3"/>
  <c r="AN773" i="3"/>
  <c r="AN774" i="3"/>
  <c r="AN775" i="3"/>
  <c r="AN776" i="3"/>
  <c r="AN777" i="3"/>
  <c r="AN778" i="3"/>
  <c r="AN779" i="3"/>
  <c r="AN780" i="3"/>
  <c r="AN781" i="3"/>
  <c r="AN783" i="3"/>
  <c r="AN782" i="3"/>
  <c r="AN785" i="3"/>
  <c r="AN786" i="3"/>
  <c r="AN784" i="3"/>
  <c r="AN787" i="3"/>
  <c r="AN788" i="3"/>
  <c r="AN789" i="3"/>
  <c r="AN791" i="3"/>
  <c r="AN790" i="3"/>
  <c r="AN792" i="3"/>
  <c r="AN793" i="3"/>
  <c r="AN794" i="3"/>
  <c r="AN795" i="3"/>
  <c r="AN796" i="3"/>
  <c r="AN798" i="3"/>
  <c r="AN797" i="3"/>
  <c r="AN799" i="3"/>
  <c r="AN801" i="3"/>
  <c r="AN800" i="3"/>
  <c r="AN802" i="3"/>
  <c r="AN804" i="3"/>
  <c r="AN803" i="3"/>
  <c r="AN805" i="3"/>
  <c r="AN806" i="3"/>
  <c r="AN807" i="3"/>
  <c r="AN809" i="3"/>
  <c r="AN808" i="3"/>
  <c r="AN810" i="3"/>
  <c r="AN811" i="3"/>
  <c r="AN812" i="3"/>
  <c r="AN813" i="3"/>
  <c r="AN814" i="3"/>
  <c r="AN815" i="3"/>
  <c r="AN818" i="3"/>
  <c r="AN817" i="3"/>
  <c r="AN816" i="3"/>
  <c r="AN819" i="3"/>
  <c r="AN821" i="3"/>
  <c r="AN820" i="3"/>
  <c r="AN822" i="3"/>
  <c r="AN824" i="3"/>
  <c r="AN823" i="3"/>
  <c r="AN825" i="3"/>
  <c r="AN826" i="3"/>
  <c r="AN827" i="3"/>
  <c r="AN828" i="3"/>
  <c r="AN829" i="3"/>
  <c r="AN830" i="3"/>
  <c r="AN831" i="3"/>
  <c r="AN832" i="3"/>
  <c r="AN835" i="3"/>
  <c r="AN833" i="3"/>
  <c r="AN834" i="3"/>
  <c r="AN836" i="3"/>
  <c r="AN837" i="3"/>
  <c r="AN838" i="3"/>
  <c r="AN839" i="3"/>
  <c r="AN840" i="3"/>
  <c r="AN842" i="3"/>
  <c r="AN841" i="3"/>
  <c r="AN843" i="3"/>
  <c r="AN844" i="3"/>
  <c r="AN845" i="3"/>
  <c r="AN846" i="3"/>
  <c r="AN847" i="3"/>
  <c r="AN848" i="3"/>
  <c r="AN849" i="3"/>
  <c r="AN850" i="3"/>
  <c r="AN851" i="3"/>
  <c r="AN852" i="3"/>
  <c r="AN853" i="3"/>
  <c r="AN854" i="3"/>
  <c r="AN855" i="3"/>
  <c r="AN857" i="3"/>
  <c r="AN856" i="3"/>
  <c r="AN859" i="3"/>
  <c r="AN861" i="3"/>
  <c r="AN860" i="3"/>
  <c r="AN858" i="3"/>
  <c r="AN863" i="3"/>
  <c r="AN862" i="3"/>
  <c r="AN864" i="3"/>
  <c r="AN865" i="3"/>
  <c r="AN866" i="3"/>
  <c r="AN867" i="3"/>
  <c r="AN868" i="3"/>
  <c r="AN869" i="3"/>
  <c r="AN870" i="3"/>
  <c r="AN871" i="3"/>
  <c r="AN872" i="3"/>
  <c r="AN873" i="3"/>
  <c r="AN875" i="3"/>
  <c r="AN874" i="3"/>
  <c r="AN876" i="3"/>
  <c r="AN877" i="3"/>
  <c r="AN878" i="3"/>
  <c r="AN879" i="3"/>
  <c r="AN881" i="3"/>
  <c r="AN880" i="3"/>
  <c r="AN882" i="3"/>
  <c r="AN883" i="3"/>
  <c r="AN886" i="3"/>
  <c r="AN885" i="3"/>
  <c r="AN884" i="3"/>
  <c r="AN887" i="3"/>
  <c r="AN888" i="3"/>
  <c r="AN889" i="3"/>
  <c r="AN890" i="3"/>
  <c r="AN891" i="3"/>
  <c r="AN893" i="3"/>
  <c r="AN892" i="3"/>
  <c r="AN894" i="3"/>
  <c r="AN896" i="3"/>
  <c r="AN895" i="3"/>
  <c r="AN898" i="3"/>
  <c r="AN897" i="3"/>
  <c r="AN899" i="3"/>
  <c r="AN900" i="3"/>
  <c r="AN901" i="3"/>
  <c r="AN903" i="3"/>
  <c r="AN902" i="3"/>
  <c r="AN904" i="3"/>
  <c r="AN905" i="3"/>
  <c r="AN906" i="3"/>
  <c r="AN907" i="3"/>
  <c r="AN910" i="3"/>
  <c r="AN908" i="3"/>
  <c r="AN909" i="3"/>
  <c r="AN911" i="3"/>
  <c r="AN912" i="3"/>
  <c r="AN913" i="3"/>
  <c r="AN915" i="3"/>
  <c r="AN914" i="3"/>
  <c r="AN916" i="3"/>
  <c r="AN918" i="3"/>
  <c r="AN917" i="3"/>
  <c r="AN919" i="3"/>
  <c r="AN920" i="3"/>
  <c r="AN921" i="3"/>
  <c r="AN922" i="3"/>
  <c r="AN923" i="3"/>
  <c r="AN924" i="3"/>
  <c r="AN926" i="3"/>
  <c r="AN925" i="3"/>
  <c r="AN927" i="3"/>
  <c r="AN928" i="3"/>
  <c r="AN929" i="3"/>
  <c r="AN930" i="3"/>
  <c r="AN933" i="3"/>
  <c r="AN932" i="3"/>
  <c r="AN931" i="3"/>
  <c r="AN934" i="3"/>
  <c r="AN935" i="3"/>
  <c r="AN936" i="3"/>
  <c r="AN937" i="3"/>
  <c r="AN938" i="3"/>
  <c r="AN939" i="3"/>
  <c r="AN940" i="3"/>
  <c r="AN942" i="3"/>
  <c r="AN941" i="3"/>
  <c r="AN943" i="3"/>
  <c r="AN944" i="3"/>
  <c r="AN945" i="3"/>
  <c r="AN946" i="3"/>
  <c r="AN947" i="3"/>
  <c r="AN948" i="3"/>
  <c r="AN949" i="3"/>
  <c r="AN950" i="3"/>
  <c r="AN951" i="3"/>
  <c r="AN952" i="3"/>
  <c r="AN953" i="3"/>
  <c r="AN954" i="3"/>
  <c r="AN955" i="3"/>
  <c r="AN956" i="3"/>
  <c r="AN957" i="3"/>
  <c r="AN958" i="3"/>
  <c r="AN960" i="3"/>
  <c r="AN959" i="3"/>
  <c r="AN962" i="3"/>
  <c r="AN961" i="3"/>
  <c r="AN963" i="3"/>
  <c r="AN964" i="3"/>
  <c r="AN965" i="3"/>
  <c r="AN966" i="3"/>
  <c r="AN968" i="3"/>
  <c r="AN967" i="3"/>
  <c r="AN969" i="3"/>
  <c r="AN971" i="3"/>
  <c r="AN970" i="3"/>
  <c r="AN972" i="3"/>
  <c r="AN973" i="3"/>
  <c r="AN974" i="3"/>
  <c r="AN975" i="3"/>
  <c r="AN976" i="3"/>
  <c r="AN977" i="3"/>
  <c r="AN978" i="3"/>
  <c r="AN981" i="3"/>
  <c r="AN979" i="3"/>
  <c r="AN980" i="3"/>
  <c r="AN982" i="3"/>
  <c r="AN983" i="3"/>
  <c r="AN984" i="3"/>
  <c r="AN985" i="3"/>
  <c r="AN987" i="3"/>
  <c r="AN986" i="3"/>
  <c r="AN988" i="3"/>
  <c r="AN989" i="3"/>
  <c r="AN990" i="3"/>
  <c r="AN991" i="3"/>
  <c r="AN992" i="3"/>
  <c r="AN993" i="3"/>
  <c r="AN994" i="3"/>
  <c r="AN995" i="3"/>
  <c r="AN996" i="3"/>
  <c r="AN997" i="3"/>
  <c r="AN998" i="3"/>
  <c r="AN999" i="3"/>
  <c r="AN1001" i="3"/>
  <c r="AN1000" i="3"/>
  <c r="AN1002" i="3"/>
  <c r="AN1003" i="3"/>
  <c r="AN1005" i="3"/>
  <c r="AN1006" i="3"/>
  <c r="AN1004" i="3"/>
  <c r="AN1008" i="3"/>
  <c r="AN1007" i="3"/>
  <c r="AN1009" i="3"/>
  <c r="AN1011" i="3"/>
  <c r="AN1010" i="3"/>
  <c r="AN1013" i="3"/>
  <c r="AN1015" i="3"/>
  <c r="AN1012" i="3"/>
  <c r="AN1014" i="3"/>
  <c r="AN1016" i="3"/>
  <c r="AN1017" i="3"/>
  <c r="AN1018" i="3"/>
  <c r="AN1019" i="3"/>
  <c r="AN1021" i="3"/>
  <c r="AN1020" i="3"/>
  <c r="AN1023" i="3"/>
  <c r="AN1022" i="3"/>
  <c r="AN1024" i="3"/>
  <c r="AN1025" i="3"/>
  <c r="AN1026" i="3"/>
  <c r="AN1027" i="3"/>
  <c r="AN1029" i="3"/>
  <c r="AN1028" i="3"/>
  <c r="AN1030" i="3"/>
  <c r="AN1031" i="3"/>
  <c r="AN1032" i="3"/>
  <c r="AN1033" i="3"/>
  <c r="AN1034" i="3"/>
  <c r="AN1035" i="3"/>
  <c r="AN1037" i="3"/>
  <c r="AN1038" i="3"/>
  <c r="AN1036" i="3"/>
  <c r="AN1039" i="3"/>
  <c r="AN1040" i="3"/>
  <c r="AN1041" i="3"/>
  <c r="AN1042" i="3"/>
  <c r="AN1043" i="3"/>
  <c r="AN1044" i="3"/>
  <c r="AN1046" i="3"/>
  <c r="AN1045" i="3"/>
  <c r="AN1048" i="3"/>
  <c r="AN1047" i="3"/>
  <c r="AN1049" i="3"/>
  <c r="AN1050" i="3"/>
  <c r="AN1051" i="3"/>
  <c r="AN1052" i="3"/>
  <c r="AN1053" i="3"/>
  <c r="AN1054" i="3"/>
  <c r="AN1055" i="3"/>
  <c r="AN1056" i="3"/>
  <c r="AN1057" i="3"/>
  <c r="AN1059" i="3"/>
  <c r="AN1058" i="3"/>
  <c r="AN1060" i="3"/>
  <c r="AN1061" i="3"/>
  <c r="AN1062" i="3"/>
  <c r="AN1063" i="3"/>
  <c r="AN1064" i="3"/>
  <c r="AN1065" i="3"/>
  <c r="AN1066" i="3"/>
  <c r="AN1068" i="3"/>
  <c r="AN1067" i="3"/>
  <c r="AN1069" i="3"/>
  <c r="AN1070" i="3"/>
  <c r="AN1072" i="3"/>
  <c r="AN1071" i="3"/>
  <c r="AN1073" i="3"/>
  <c r="AN1074" i="3"/>
  <c r="AN1075" i="3"/>
  <c r="AN1076" i="3"/>
  <c r="AN1077" i="3"/>
  <c r="AN1078" i="3"/>
  <c r="AN1079" i="3"/>
  <c r="AN1080" i="3"/>
  <c r="AN1082" i="3"/>
  <c r="AN1081" i="3"/>
  <c r="AN1083" i="3"/>
  <c r="AN1084" i="3"/>
  <c r="AN1085" i="3"/>
  <c r="AN1086" i="3"/>
  <c r="AN1087" i="3"/>
  <c r="AN1088" i="3"/>
  <c r="AN1089" i="3"/>
  <c r="AN1090" i="3"/>
  <c r="AN1091" i="3"/>
  <c r="AN1093" i="3"/>
  <c r="AN1092" i="3"/>
  <c r="AN1095" i="3"/>
  <c r="AN1094" i="3"/>
  <c r="AN1097" i="3"/>
  <c r="AN1096" i="3"/>
  <c r="AN1098" i="3"/>
  <c r="AN1099" i="3"/>
  <c r="AN1101" i="3"/>
  <c r="AN1100" i="3"/>
  <c r="AN1102" i="3"/>
  <c r="AN1104" i="3"/>
  <c r="AN1103" i="3"/>
  <c r="AN1107" i="3"/>
  <c r="AN1106" i="3"/>
  <c r="AN1105" i="3"/>
  <c r="AN1108" i="3"/>
  <c r="AN1109" i="3"/>
  <c r="AN1111" i="3"/>
  <c r="AN1110" i="3"/>
  <c r="AN1112" i="3"/>
  <c r="AN1113" i="3"/>
  <c r="AN1114" i="3"/>
  <c r="AN1115" i="3"/>
  <c r="AN1116" i="3"/>
  <c r="AN1117" i="3"/>
  <c r="AN1118" i="3"/>
  <c r="AN1119" i="3"/>
  <c r="AN1120" i="3"/>
  <c r="AN1121" i="3"/>
  <c r="AN1122" i="3"/>
  <c r="AN1124" i="3"/>
  <c r="AN1123" i="3"/>
  <c r="AN1125" i="3"/>
  <c r="AN1126" i="3"/>
  <c r="AN1127" i="3"/>
  <c r="AN1129" i="3"/>
  <c r="AN1131" i="3"/>
  <c r="AN1128" i="3"/>
  <c r="AN1130" i="3"/>
  <c r="AN1132" i="3"/>
  <c r="AN1133" i="3"/>
  <c r="AN1135" i="3"/>
  <c r="AN1134" i="3"/>
  <c r="AN1136" i="3"/>
  <c r="AN1137" i="3"/>
  <c r="AN1138" i="3"/>
  <c r="AN1139" i="3"/>
  <c r="AN1140" i="3"/>
  <c r="AN1141" i="3"/>
  <c r="AN1142" i="3"/>
  <c r="AN1143" i="3"/>
  <c r="AN1144" i="3"/>
  <c r="AN1145" i="3"/>
  <c r="AN1147" i="3"/>
  <c r="AN1146" i="3"/>
  <c r="AN1148" i="3"/>
  <c r="AN1149" i="3"/>
  <c r="AN1150" i="3"/>
  <c r="AN1151" i="3"/>
  <c r="AN1152" i="3"/>
  <c r="AN1153" i="3"/>
  <c r="AN1154" i="3"/>
  <c r="AN1155" i="3"/>
  <c r="AN1156" i="3"/>
  <c r="AN1157" i="3"/>
  <c r="AN1158" i="3"/>
  <c r="AN1159" i="3"/>
  <c r="AN1160" i="3"/>
  <c r="AN1161" i="3"/>
  <c r="AN1162" i="3"/>
  <c r="AN1163" i="3"/>
  <c r="AN1164" i="3"/>
  <c r="AN1165" i="3"/>
  <c r="AN1166" i="3"/>
  <c r="AN1167" i="3"/>
  <c r="AN1168" i="3"/>
  <c r="AN1169" i="3"/>
  <c r="AN1170" i="3"/>
  <c r="AN1171" i="3"/>
  <c r="AN1172" i="3"/>
  <c r="AN1174" i="3"/>
  <c r="AN1173" i="3"/>
  <c r="AN1175" i="3"/>
  <c r="AN1176" i="3"/>
  <c r="AN1179" i="3"/>
  <c r="AN1177" i="3"/>
  <c r="AN1178" i="3"/>
  <c r="AN1180" i="3"/>
  <c r="AN1182" i="3"/>
  <c r="AN1181" i="3"/>
  <c r="AN1183" i="3"/>
  <c r="AN1184" i="3"/>
  <c r="AN1185" i="3"/>
  <c r="AN1186" i="3"/>
  <c r="AN1187" i="3"/>
  <c r="AN1188" i="3"/>
  <c r="AN1189" i="3"/>
  <c r="AN1190" i="3"/>
  <c r="AN1191" i="3"/>
  <c r="AN1192" i="3"/>
  <c r="AN1194" i="3"/>
  <c r="AN1193" i="3"/>
  <c r="AN1195" i="3"/>
  <c r="AN1196" i="3"/>
  <c r="AN1198" i="3"/>
  <c r="AN1197" i="3"/>
  <c r="AN1200" i="3"/>
  <c r="AN1199" i="3"/>
  <c r="AN1201" i="3"/>
  <c r="AN1202" i="3"/>
  <c r="AN1203" i="3"/>
  <c r="AN1204" i="3"/>
  <c r="AN1205" i="3"/>
  <c r="AN1206" i="3"/>
  <c r="AN1207" i="3"/>
  <c r="AN1208" i="3"/>
  <c r="AN1209" i="3"/>
  <c r="AN1210" i="3"/>
  <c r="AN1211" i="3"/>
  <c r="AN1213" i="3"/>
  <c r="AN1212" i="3"/>
  <c r="AN1214" i="3"/>
  <c r="AN1215" i="3"/>
  <c r="AN1216" i="3"/>
  <c r="AN1218" i="3"/>
  <c r="AN1217" i="3"/>
  <c r="AN1219" i="3"/>
  <c r="AN1220" i="3"/>
  <c r="AN1221" i="3"/>
  <c r="AN1222" i="3"/>
  <c r="AN1223" i="3"/>
  <c r="AN1224" i="3"/>
  <c r="AN1225" i="3"/>
  <c r="AN1226" i="3"/>
  <c r="AN1227" i="3"/>
  <c r="AN1228" i="3"/>
  <c r="AN1229" i="3"/>
  <c r="AN1230" i="3"/>
  <c r="AN1231" i="3"/>
  <c r="AN1232" i="3"/>
  <c r="AN1233" i="3"/>
  <c r="AN1235" i="3"/>
  <c r="AN1234" i="3"/>
  <c r="AN1236" i="3"/>
  <c r="AN1237" i="3"/>
  <c r="AN1239" i="3"/>
  <c r="AN1240" i="3"/>
  <c r="AN1238" i="3"/>
  <c r="AN1241" i="3"/>
  <c r="AN1242" i="3"/>
  <c r="AN1243" i="3"/>
  <c r="AN1244" i="3"/>
  <c r="AN1245" i="3"/>
  <c r="AN1246" i="3"/>
  <c r="AN1247" i="3"/>
  <c r="AN1248" i="3"/>
  <c r="AN1249" i="3"/>
  <c r="AN1250" i="3"/>
  <c r="AN1251" i="3"/>
  <c r="AN1253" i="3"/>
  <c r="AN1252" i="3"/>
  <c r="AN1254" i="3"/>
  <c r="AN1255" i="3"/>
  <c r="AN1256" i="3"/>
  <c r="AN1257" i="3"/>
  <c r="AN1258" i="3"/>
  <c r="AN1259" i="3"/>
  <c r="AN1260" i="3"/>
  <c r="AN1261" i="3"/>
  <c r="AN1262" i="3"/>
  <c r="AN1263" i="3"/>
  <c r="AN1265" i="3"/>
  <c r="AN1264" i="3"/>
  <c r="AN1266" i="3"/>
  <c r="AN1267" i="3"/>
  <c r="AN1268" i="3"/>
  <c r="AN1269" i="3"/>
  <c r="AN1270" i="3"/>
  <c r="AN1271" i="3"/>
  <c r="AN1272" i="3"/>
  <c r="AN1274" i="3"/>
  <c r="AN1276" i="3"/>
  <c r="AN1273" i="3"/>
  <c r="AN1275" i="3"/>
  <c r="AN1277" i="3"/>
  <c r="AN1279" i="3"/>
  <c r="AN1278" i="3"/>
  <c r="AN1280" i="3"/>
  <c r="AN1282" i="3"/>
  <c r="AN1281" i="3"/>
  <c r="AN1283" i="3"/>
  <c r="AN1286" i="3"/>
  <c r="AN1285" i="3"/>
  <c r="AN1284" i="3"/>
  <c r="AN1287" i="3"/>
  <c r="AN1288" i="3"/>
  <c r="AN1289" i="3"/>
  <c r="AN1290" i="3"/>
  <c r="AN1293" i="3"/>
  <c r="AN1292" i="3"/>
  <c r="AN1294" i="3"/>
  <c r="AN1291" i="3"/>
  <c r="AN1296" i="3"/>
  <c r="AN1295" i="3"/>
  <c r="AN1297" i="3"/>
  <c r="AN1298" i="3"/>
  <c r="AN1299" i="3"/>
  <c r="AN1301" i="3"/>
  <c r="AN1300" i="3"/>
  <c r="AN1302" i="3"/>
  <c r="AN1303" i="3"/>
  <c r="AN1304" i="3"/>
  <c r="AN1305" i="3"/>
  <c r="AN1306" i="3"/>
  <c r="AN1307" i="3"/>
  <c r="AN1308" i="3"/>
  <c r="AN1309" i="3"/>
  <c r="AN1311" i="3"/>
  <c r="AN1310" i="3"/>
  <c r="AN1312" i="3"/>
  <c r="AN1313" i="3"/>
  <c r="AN1314" i="3"/>
  <c r="AN1315" i="3"/>
  <c r="AN1316" i="3"/>
  <c r="AN1317" i="3"/>
  <c r="AN1318" i="3"/>
  <c r="AN1319" i="3"/>
  <c r="AN1321" i="3"/>
  <c r="AN1320" i="3"/>
  <c r="AN1322" i="3"/>
  <c r="AN1323" i="3"/>
  <c r="AN1324" i="3"/>
  <c r="AN1325" i="3"/>
  <c r="AN1326" i="3"/>
  <c r="AN1327" i="3"/>
  <c r="AN1328" i="3"/>
  <c r="AN1329" i="3"/>
  <c r="AN1330" i="3"/>
  <c r="AN1331" i="3"/>
  <c r="AN1332" i="3"/>
  <c r="AN1333" i="3"/>
  <c r="AN1334" i="3"/>
  <c r="AN1335" i="3"/>
  <c r="AN1336" i="3"/>
  <c r="AN1337" i="3"/>
  <c r="AN1338" i="3"/>
  <c r="AN1339" i="3"/>
  <c r="AN1340" i="3"/>
  <c r="AN1341" i="3"/>
  <c r="AN1342" i="3"/>
  <c r="AN1343" i="3"/>
  <c r="AN1344" i="3"/>
  <c r="AN1345" i="3"/>
  <c r="AN1346" i="3"/>
  <c r="AN1347" i="3"/>
  <c r="AN1348" i="3"/>
  <c r="AN1349" i="3"/>
  <c r="AN1350" i="3"/>
  <c r="AN1352" i="3"/>
  <c r="AN1351" i="3"/>
  <c r="AN1353" i="3"/>
  <c r="AN1354" i="3"/>
  <c r="AN1356" i="3"/>
  <c r="AN1355" i="3"/>
  <c r="AN1357" i="3"/>
  <c r="AN1358" i="3"/>
  <c r="AN1359" i="3"/>
  <c r="AN1360" i="3"/>
  <c r="AN1361" i="3"/>
  <c r="AN1362" i="3"/>
  <c r="AN1363" i="3"/>
  <c r="AN1365" i="3"/>
  <c r="AN1364" i="3"/>
  <c r="AN1367" i="3"/>
  <c r="AN1366" i="3"/>
  <c r="AN1369" i="3"/>
  <c r="AN1372" i="3"/>
  <c r="AN1371" i="3"/>
  <c r="AN1370" i="3"/>
  <c r="AN1368" i="3"/>
  <c r="AN1373" i="3"/>
  <c r="AN1374" i="3"/>
  <c r="AN1375" i="3"/>
  <c r="AN1377" i="3"/>
  <c r="AN1376" i="3"/>
  <c r="AN1378" i="3"/>
  <c r="AN1379" i="3"/>
  <c r="AN1380" i="3"/>
  <c r="AN1381" i="3"/>
  <c r="AN1382" i="3"/>
  <c r="AN1383" i="3"/>
  <c r="AN1385" i="3"/>
  <c r="AN1384" i="3"/>
  <c r="AN1386" i="3"/>
  <c r="AN1387" i="3"/>
  <c r="AN1389" i="3"/>
  <c r="AN1388" i="3"/>
  <c r="AN1390" i="3"/>
  <c r="AN1391" i="3"/>
  <c r="AN1392" i="3"/>
  <c r="AN1394" i="3"/>
  <c r="AN1393" i="3"/>
  <c r="AN1395" i="3"/>
  <c r="AN1396" i="3"/>
  <c r="AN1398" i="3"/>
  <c r="AN1397" i="3"/>
  <c r="AN1399" i="3"/>
  <c r="AN1401" i="3"/>
  <c r="AN1400" i="3"/>
  <c r="AN1402" i="3"/>
  <c r="AN1403" i="3"/>
  <c r="AN1404" i="3"/>
  <c r="AN1405" i="3"/>
  <c r="AN1406" i="3"/>
  <c r="AN1407" i="3"/>
  <c r="AN1408" i="3"/>
  <c r="AN1409" i="3"/>
  <c r="AN1410" i="3"/>
  <c r="AN1411" i="3"/>
  <c r="AN1412" i="3"/>
  <c r="AN1414" i="3"/>
  <c r="AN1413" i="3"/>
  <c r="AN1415" i="3"/>
  <c r="AN1416" i="3"/>
  <c r="AN1418" i="3"/>
  <c r="AN1419" i="3"/>
  <c r="AN1417" i="3"/>
  <c r="AN1420" i="3"/>
  <c r="AN1422" i="3"/>
  <c r="AN1421" i="3"/>
  <c r="AN1424" i="3"/>
  <c r="AN1423" i="3"/>
  <c r="AN1425" i="3"/>
  <c r="AN1426" i="3"/>
  <c r="AN1428" i="3"/>
  <c r="AN1427" i="3"/>
  <c r="AN1429" i="3"/>
  <c r="AN1430" i="3"/>
  <c r="AN1431" i="3"/>
  <c r="AN1433" i="3"/>
  <c r="AN1432" i="3"/>
  <c r="AN1434" i="3"/>
  <c r="AN1435" i="3"/>
  <c r="AN1436" i="3"/>
  <c r="AN1437" i="3"/>
  <c r="AN1438" i="3"/>
  <c r="AN1439" i="3"/>
  <c r="AN1440" i="3"/>
  <c r="AN1441" i="3"/>
  <c r="AN1442" i="3"/>
  <c r="AN1443" i="3"/>
  <c r="AN1444" i="3"/>
  <c r="AN1445" i="3"/>
  <c r="AN1447" i="3"/>
  <c r="AN1446" i="3"/>
  <c r="AN1448" i="3"/>
  <c r="AN1451" i="3"/>
  <c r="AN1450" i="3"/>
  <c r="AN1449" i="3"/>
  <c r="AN1452" i="3"/>
  <c r="AN1453" i="3"/>
  <c r="AN1454" i="3"/>
  <c r="AN1455" i="3"/>
  <c r="AN1457" i="3"/>
  <c r="AN1456" i="3"/>
  <c r="AN1458" i="3"/>
  <c r="AN1459" i="3"/>
  <c r="AN1460" i="3"/>
  <c r="AN1461" i="3"/>
  <c r="AN1462" i="3"/>
  <c r="AN1463" i="3"/>
  <c r="AN1464" i="3"/>
  <c r="AN1465" i="3"/>
  <c r="AN1466" i="3"/>
  <c r="AN1467" i="3"/>
  <c r="AN1469" i="3"/>
  <c r="AN1468" i="3"/>
  <c r="AN1470" i="3"/>
  <c r="AN1471" i="3"/>
  <c r="AN1472" i="3"/>
  <c r="AN1473" i="3"/>
  <c r="AN1474" i="3"/>
  <c r="AN1477" i="3"/>
  <c r="AN1476" i="3"/>
  <c r="AN1475" i="3"/>
  <c r="AN1478" i="3"/>
  <c r="AN1479" i="3"/>
  <c r="AN1481" i="3"/>
  <c r="AN1480" i="3"/>
  <c r="AN1482" i="3"/>
  <c r="AN1483" i="3"/>
  <c r="AN1486" i="3"/>
  <c r="AN1484" i="3"/>
  <c r="AN1485" i="3"/>
  <c r="AN1487" i="3"/>
  <c r="AN1488" i="3"/>
  <c r="AN1489" i="3"/>
  <c r="AN1490" i="3"/>
  <c r="AN1492" i="3"/>
  <c r="AN1491" i="3"/>
  <c r="AN1493" i="3"/>
  <c r="AN1494" i="3"/>
  <c r="AN1497" i="3"/>
  <c r="AN1495" i="3"/>
  <c r="AN1496" i="3"/>
  <c r="AN1498" i="3"/>
  <c r="AN1499" i="3"/>
  <c r="AN1502" i="3"/>
  <c r="AN1500" i="3"/>
  <c r="AN1501" i="3"/>
  <c r="AN1503" i="3"/>
  <c r="AN1504" i="3"/>
  <c r="AN1505" i="3"/>
  <c r="AN1506" i="3"/>
  <c r="AN1507" i="3"/>
  <c r="AN1508" i="3"/>
  <c r="AN1509" i="3"/>
  <c r="AN1510" i="3"/>
  <c r="AN1511" i="3"/>
  <c r="AN1512" i="3"/>
  <c r="AN1513" i="3"/>
  <c r="AN1515" i="3"/>
  <c r="AN1514" i="3"/>
  <c r="AN1516" i="3"/>
  <c r="AN1517" i="3"/>
  <c r="AN1518" i="3"/>
  <c r="AN1519" i="3"/>
  <c r="AN1520" i="3"/>
  <c r="AN1521" i="3"/>
  <c r="AN1522" i="3"/>
  <c r="AN1523" i="3"/>
  <c r="AN1524" i="3"/>
  <c r="AN1525" i="3"/>
  <c r="AN1527" i="3"/>
  <c r="AN1526" i="3"/>
  <c r="AN1528" i="3"/>
  <c r="AN1530" i="3"/>
  <c r="AN1529" i="3"/>
  <c r="AN1531" i="3"/>
  <c r="AN1532" i="3"/>
  <c r="AN1533" i="3"/>
  <c r="AN1534" i="3"/>
  <c r="AN1535" i="3"/>
  <c r="AN1537" i="3"/>
  <c r="AN1536" i="3"/>
  <c r="AN1538" i="3"/>
  <c r="AN1539" i="3"/>
  <c r="AN1540" i="3"/>
  <c r="AN1541" i="3"/>
  <c r="AN1542" i="3"/>
  <c r="AN1545" i="3"/>
  <c r="AN1543" i="3"/>
  <c r="AN1544" i="3"/>
  <c r="AN1546" i="3"/>
  <c r="AN1547" i="3"/>
  <c r="AN1548" i="3"/>
  <c r="AN1549" i="3"/>
  <c r="AN1550" i="3"/>
  <c r="AN1552" i="3"/>
  <c r="AN1551" i="3"/>
  <c r="AN1554" i="3"/>
  <c r="AN1553" i="3"/>
  <c r="AN1555" i="3"/>
  <c r="AN1556" i="3"/>
  <c r="AN1557" i="3"/>
  <c r="AN1558" i="3"/>
  <c r="AN1559" i="3"/>
  <c r="AN1560" i="3"/>
  <c r="AN1561" i="3"/>
  <c r="AN1562" i="3"/>
  <c r="AN1564" i="3"/>
  <c r="AN1563" i="3"/>
  <c r="AN1565" i="3"/>
  <c r="AN1566" i="3"/>
  <c r="AN1567" i="3"/>
  <c r="AN1568" i="3"/>
  <c r="AN1569" i="3"/>
  <c r="AN1570" i="3"/>
  <c r="AN1572" i="3"/>
  <c r="AN1571" i="3"/>
  <c r="AN1573" i="3"/>
  <c r="AN1574" i="3"/>
  <c r="AN1575" i="3"/>
  <c r="AN1578" i="3"/>
  <c r="AN1576" i="3"/>
  <c r="AN1577" i="3"/>
  <c r="AN1579" i="3"/>
  <c r="AN1580" i="3"/>
  <c r="AN1582" i="3"/>
  <c r="AN1581" i="3"/>
  <c r="AN1583" i="3"/>
  <c r="AN1584" i="3"/>
  <c r="AN1585" i="3"/>
  <c r="AN1587" i="3"/>
  <c r="AN1586" i="3"/>
  <c r="AN1588" i="3"/>
  <c r="AN1589" i="3"/>
  <c r="AN1590" i="3"/>
  <c r="AN1591" i="3"/>
  <c r="AN1593" i="3"/>
  <c r="AN1592" i="3"/>
  <c r="AN1594" i="3"/>
  <c r="AN1595" i="3"/>
  <c r="AN1597" i="3"/>
  <c r="AN1596" i="3"/>
  <c r="AN1598" i="3"/>
  <c r="AN1600" i="3"/>
  <c r="AN1599" i="3"/>
  <c r="AN1603" i="3"/>
  <c r="AN1604" i="3"/>
  <c r="AN1605" i="3"/>
  <c r="AN1607" i="3"/>
  <c r="AN1608" i="3"/>
  <c r="AN1606" i="3"/>
  <c r="AN1610" i="3"/>
  <c r="AN1611" i="3"/>
  <c r="AN1609" i="3"/>
  <c r="AN1612" i="3"/>
  <c r="AN1613" i="3"/>
  <c r="AN1615" i="3"/>
  <c r="AN1614" i="3"/>
  <c r="AN1616" i="3"/>
  <c r="AN1619" i="3"/>
  <c r="AN1618" i="3"/>
  <c r="AN1617" i="3"/>
  <c r="AN1620" i="3"/>
  <c r="AN1621" i="3"/>
  <c r="AN1622" i="3"/>
  <c r="AN1623" i="3"/>
  <c r="AN1624" i="3"/>
  <c r="AN1625" i="3"/>
  <c r="AN1626" i="3"/>
  <c r="AN1627" i="3"/>
  <c r="AN1628" i="3"/>
  <c r="AN1629" i="3"/>
  <c r="AN1630" i="3"/>
  <c r="AN1631" i="3"/>
  <c r="AN1633" i="3"/>
  <c r="AN1632" i="3"/>
  <c r="BD100" i="3"/>
  <c r="BB100" i="3"/>
  <c r="BD99" i="3"/>
  <c r="BB99" i="3"/>
  <c r="BD98" i="3"/>
  <c r="BB98" i="3"/>
  <c r="BD97" i="3"/>
  <c r="BB97" i="3"/>
  <c r="BD96" i="3"/>
  <c r="BB96" i="3"/>
  <c r="BD95" i="3"/>
  <c r="BB95" i="3"/>
  <c r="BD94" i="3"/>
  <c r="BB94" i="3"/>
  <c r="BD93" i="3"/>
  <c r="BB93" i="3"/>
  <c r="BD92" i="3"/>
  <c r="BB92" i="3"/>
  <c r="BD91" i="3"/>
  <c r="BB91" i="3"/>
  <c r="BD90" i="3"/>
  <c r="BB90" i="3"/>
  <c r="BD89" i="3"/>
  <c r="BB89" i="3"/>
  <c r="BD88" i="3"/>
  <c r="BB88" i="3"/>
  <c r="BD87" i="3"/>
  <c r="BB87" i="3"/>
  <c r="BD86" i="3"/>
  <c r="BB86" i="3"/>
  <c r="BD85" i="3"/>
  <c r="BB85" i="3"/>
  <c r="BD84" i="3"/>
  <c r="BB84" i="3"/>
  <c r="BD83" i="3"/>
  <c r="BB83" i="3"/>
  <c r="BD82" i="3"/>
  <c r="BB82" i="3"/>
  <c r="BD81" i="3"/>
  <c r="BB81" i="3"/>
  <c r="BD80" i="3"/>
  <c r="BB80" i="3"/>
  <c r="BD79" i="3"/>
  <c r="BB79" i="3"/>
  <c r="BD78" i="3"/>
  <c r="BB78" i="3"/>
  <c r="BD77" i="3"/>
  <c r="BB77" i="3"/>
  <c r="BD76" i="3"/>
  <c r="BB76" i="3"/>
  <c r="BD75" i="3"/>
  <c r="BB75" i="3"/>
  <c r="BD74" i="3"/>
  <c r="BB74" i="3"/>
  <c r="BD73" i="3"/>
  <c r="BB73" i="3"/>
  <c r="BD72" i="3"/>
  <c r="BB72" i="3"/>
  <c r="BD71" i="3"/>
  <c r="BB71" i="3"/>
  <c r="BD70" i="3"/>
  <c r="BB70" i="3"/>
  <c r="BD69" i="3"/>
  <c r="BB69" i="3"/>
  <c r="BD68" i="3"/>
  <c r="BB68" i="3"/>
  <c r="BD67" i="3"/>
  <c r="BB67" i="3"/>
  <c r="BD66" i="3"/>
  <c r="BB66" i="3"/>
  <c r="BD65" i="3"/>
  <c r="BB65" i="3"/>
  <c r="BD64" i="3"/>
  <c r="BB64" i="3"/>
  <c r="BD63" i="3"/>
  <c r="BB63" i="3"/>
  <c r="BD62" i="3"/>
  <c r="BB62" i="3"/>
  <c r="BD61" i="3"/>
  <c r="BB61" i="3"/>
  <c r="BD60" i="3"/>
  <c r="BB60" i="3"/>
  <c r="BD59" i="3"/>
  <c r="BB59" i="3"/>
  <c r="BD58" i="3"/>
  <c r="BB58" i="3"/>
  <c r="BD57" i="3"/>
  <c r="BB57" i="3"/>
  <c r="BD56" i="3"/>
  <c r="BB56" i="3"/>
  <c r="BD55" i="3"/>
  <c r="BB55" i="3"/>
  <c r="BD54" i="3"/>
  <c r="BB54" i="3"/>
  <c r="BD53" i="3"/>
  <c r="BB53" i="3"/>
  <c r="BD52" i="3"/>
  <c r="BB52" i="3"/>
  <c r="BD51" i="3"/>
  <c r="BB51" i="3"/>
  <c r="BD50" i="3"/>
  <c r="BB50" i="3"/>
  <c r="BD49" i="3"/>
  <c r="BB49" i="3"/>
  <c r="BD48" i="3"/>
  <c r="BB48" i="3"/>
  <c r="BD47" i="3"/>
  <c r="BB47" i="3"/>
  <c r="BD46" i="3"/>
  <c r="BB46" i="3"/>
  <c r="BD45" i="3"/>
  <c r="BB45" i="3"/>
  <c r="BD44" i="3"/>
  <c r="BB44" i="3"/>
  <c r="BD43" i="3"/>
  <c r="BB43" i="3"/>
  <c r="BD42" i="3"/>
  <c r="BB42" i="3"/>
  <c r="BD41" i="3"/>
  <c r="BB41" i="3"/>
  <c r="BD40" i="3"/>
  <c r="BB40" i="3"/>
  <c r="BD39" i="3"/>
  <c r="BB39" i="3"/>
  <c r="BD38" i="3"/>
  <c r="BB38" i="3"/>
  <c r="BD37" i="3"/>
  <c r="BB37" i="3"/>
  <c r="BD36" i="3"/>
  <c r="BB36" i="3"/>
  <c r="BD35" i="3"/>
  <c r="BB35" i="3"/>
  <c r="BD34" i="3"/>
  <c r="BB34" i="3"/>
  <c r="BD33" i="3"/>
  <c r="BB33" i="3"/>
  <c r="BD32" i="3"/>
  <c r="BB32" i="3"/>
  <c r="BD31" i="3"/>
  <c r="BB31" i="3"/>
  <c r="BD30" i="3"/>
  <c r="BB30" i="3"/>
  <c r="BD29" i="3"/>
  <c r="BB29" i="3"/>
  <c r="BD28" i="3"/>
  <c r="BB28" i="3"/>
  <c r="BD27" i="3"/>
  <c r="BB27" i="3"/>
  <c r="BD26" i="3"/>
  <c r="BB26" i="3"/>
  <c r="BD25" i="3"/>
  <c r="BB25" i="3"/>
  <c r="BD24" i="3"/>
  <c r="BB24" i="3"/>
  <c r="BD23" i="3"/>
  <c r="BB23" i="3"/>
  <c r="BD22" i="3"/>
  <c r="BB22" i="3"/>
  <c r="BD21" i="3"/>
  <c r="BB21" i="3"/>
  <c r="BD20" i="3"/>
  <c r="BB20" i="3"/>
  <c r="BD19" i="3"/>
  <c r="BB19" i="3"/>
  <c r="BD18" i="3"/>
  <c r="BB18" i="3"/>
  <c r="BD17" i="3"/>
  <c r="BB17" i="3"/>
  <c r="BD16" i="3"/>
  <c r="BB16" i="3"/>
  <c r="BD15" i="3"/>
  <c r="BB15" i="3"/>
  <c r="BD14" i="3"/>
  <c r="BB14" i="3"/>
  <c r="BD13" i="3"/>
  <c r="BB13" i="3"/>
  <c r="BD12" i="3"/>
  <c r="BB12" i="3"/>
  <c r="BD11" i="3"/>
  <c r="BB11" i="3"/>
  <c r="BD10" i="3"/>
  <c r="BB10" i="3"/>
  <c r="BD9" i="3"/>
  <c r="BB9" i="3"/>
  <c r="BD8" i="3"/>
  <c r="BB8" i="3"/>
  <c r="BD7" i="3"/>
  <c r="BB7" i="3"/>
  <c r="BD6" i="3"/>
  <c r="BB6" i="3"/>
  <c r="BD5" i="3"/>
  <c r="BB5" i="3"/>
  <c r="BD4" i="3"/>
  <c r="BB4" i="3"/>
  <c r="BD3" i="3"/>
  <c r="BB3" i="3"/>
  <c r="AR1634" i="3" s="1"/>
  <c r="B14" i="12"/>
  <c r="F15" i="12" a="1"/>
  <c r="F15" i="12" s="1"/>
  <c r="B1" i="12"/>
  <c r="M8" i="7"/>
  <c r="L8" i="7"/>
  <c r="K8" i="7"/>
  <c r="AG7" i="4" l="1"/>
  <c r="X8" i="4"/>
  <c r="Y6" i="4" s="1"/>
  <c r="C10" i="12"/>
  <c r="AR1050" i="3"/>
  <c r="AR1565" i="3"/>
  <c r="AR1476" i="3"/>
  <c r="AR794" i="3"/>
  <c r="AR1393" i="3"/>
  <c r="AR1314" i="3"/>
  <c r="AR1281" i="3"/>
  <c r="AR1607" i="3"/>
  <c r="AR1517" i="3"/>
  <c r="AR1217" i="3"/>
  <c r="AR1020" i="3"/>
  <c r="AR514" i="3"/>
  <c r="AR875" i="3"/>
  <c r="AR1378" i="3"/>
  <c r="AR1114" i="3"/>
  <c r="AR1322" i="3"/>
  <c r="AR1002" i="3"/>
  <c r="AR1193" i="3"/>
  <c r="AR488" i="3"/>
  <c r="AR1269" i="3"/>
  <c r="AR1205" i="3"/>
  <c r="AR1106" i="3"/>
  <c r="AR852" i="3"/>
  <c r="AR724" i="3"/>
  <c r="AR677" i="3"/>
  <c r="AR768" i="3"/>
  <c r="AR1122" i="3"/>
  <c r="AR1442" i="3"/>
  <c r="AR703" i="3"/>
  <c r="AR1412" i="3"/>
  <c r="AR1416" i="3"/>
  <c r="AR1026" i="3"/>
  <c r="AR1202" i="3"/>
  <c r="AR1453" i="3"/>
  <c r="AR1141" i="3"/>
  <c r="AR1362" i="3"/>
  <c r="AR831" i="3"/>
  <c r="AR1433" i="3"/>
  <c r="AR1258" i="3"/>
  <c r="AR760" i="3"/>
  <c r="AR974" i="3"/>
  <c r="AR1342" i="3"/>
  <c r="AR1252" i="3"/>
  <c r="AR1570" i="3"/>
  <c r="AR1490" i="3"/>
  <c r="AR1608" i="3"/>
  <c r="AR1210" i="3"/>
  <c r="AR1573" i="3"/>
  <c r="AR1078" i="3"/>
  <c r="AR964" i="3"/>
  <c r="AR1239" i="3"/>
  <c r="AR1045" i="3"/>
  <c r="AR1520" i="3"/>
  <c r="AR1504" i="3"/>
  <c r="AR1482" i="3"/>
  <c r="AR1541" i="3"/>
  <c r="AR862" i="3"/>
  <c r="AR1440" i="3"/>
  <c r="AR1246" i="3"/>
  <c r="AR1358" i="3"/>
  <c r="AR1190" i="3"/>
  <c r="AR1628" i="3"/>
  <c r="AR998" i="3"/>
  <c r="AR1197" i="3"/>
  <c r="AR1529" i="3"/>
  <c r="AR1450" i="3"/>
  <c r="AR1457" i="3"/>
  <c r="AR1402" i="3"/>
  <c r="AR1594" i="3"/>
  <c r="AR1408" i="3"/>
  <c r="AR1102" i="3"/>
  <c r="AR1472" i="3"/>
  <c r="AR1023" i="3"/>
  <c r="AR1230" i="3"/>
  <c r="AR1135" i="3"/>
  <c r="AR886" i="3"/>
  <c r="AR1390" i="3"/>
  <c r="AR1509" i="3"/>
  <c r="AR821" i="3"/>
  <c r="AR1445" i="3"/>
  <c r="AR1030" i="3"/>
  <c r="AR1602" i="3"/>
  <c r="AR1601" i="3"/>
  <c r="AR1254" i="3"/>
  <c r="AR1557" i="3"/>
  <c r="AR1382" i="3"/>
  <c r="AR1158" i="3"/>
  <c r="AR1599" i="3"/>
  <c r="AR1537" i="3"/>
  <c r="AR1493" i="3"/>
  <c r="AR1429" i="3"/>
  <c r="AR1350" i="3"/>
  <c r="AR1126" i="3"/>
  <c r="AR1577" i="3"/>
  <c r="AR1318" i="3"/>
  <c r="AR1222" i="3"/>
  <c r="AR1095" i="3"/>
  <c r="AR799" i="3"/>
  <c r="AR1623" i="3"/>
  <c r="AR1515" i="3"/>
  <c r="AR1284" i="3"/>
  <c r="AR1062" i="3"/>
  <c r="AR775" i="3"/>
  <c r="AR634" i="3"/>
  <c r="AR1618" i="3"/>
  <c r="AR1551" i="3"/>
  <c r="AR1488" i="3"/>
  <c r="AR1466" i="3"/>
  <c r="AR1423" i="3"/>
  <c r="AR1374" i="3"/>
  <c r="AR1311" i="3"/>
  <c r="AR1279" i="3"/>
  <c r="AR1214" i="3"/>
  <c r="AR1181" i="3"/>
  <c r="AR1150" i="3"/>
  <c r="AR1118" i="3"/>
  <c r="AR1086" i="3"/>
  <c r="AR1054" i="3"/>
  <c r="AR990" i="3"/>
  <c r="AR948" i="3"/>
  <c r="AR542" i="3"/>
  <c r="AR1612" i="3"/>
  <c r="AR1589" i="3"/>
  <c r="AR1568" i="3"/>
  <c r="AR1546" i="3"/>
  <c r="AR1525" i="3"/>
  <c r="AR1461" i="3"/>
  <c r="AR1419" i="3"/>
  <c r="AR1398" i="3"/>
  <c r="AR1367" i="3"/>
  <c r="AR1334" i="3"/>
  <c r="AR1302" i="3"/>
  <c r="AR1270" i="3"/>
  <c r="AR1206" i="3"/>
  <c r="AR1173" i="3"/>
  <c r="AR1142" i="3"/>
  <c r="AR1111" i="3"/>
  <c r="AR1012" i="3"/>
  <c r="AR982" i="3"/>
  <c r="AR927" i="3"/>
  <c r="AR841" i="3"/>
  <c r="AR746" i="3"/>
  <c r="AR428" i="3"/>
  <c r="AR1584" i="3"/>
  <c r="AR1562" i="3"/>
  <c r="AR1498" i="3"/>
  <c r="AR1475" i="3"/>
  <c r="AR1434" i="3"/>
  <c r="AR1414" i="3"/>
  <c r="AR1326" i="3"/>
  <c r="AR1291" i="3"/>
  <c r="AR1262" i="3"/>
  <c r="AR1166" i="3"/>
  <c r="AR1070" i="3"/>
  <c r="AR1036" i="3"/>
  <c r="AR1004" i="3"/>
  <c r="AR906" i="3"/>
  <c r="AR232" i="3"/>
  <c r="AR183" i="3"/>
  <c r="AR334" i="3"/>
  <c r="AR88" i="3"/>
  <c r="AR416" i="3"/>
  <c r="AR661" i="3"/>
  <c r="AR50" i="3"/>
  <c r="AR736" i="3"/>
  <c r="AR1075" i="3"/>
  <c r="AR1307" i="3"/>
  <c r="AR740" i="3"/>
  <c r="AR1123" i="3"/>
  <c r="AR1316" i="3"/>
  <c r="AR3" i="3"/>
  <c r="AR30" i="3"/>
  <c r="AR317" i="3"/>
  <c r="AR28" i="3"/>
  <c r="AR81" i="3"/>
  <c r="AR781" i="3"/>
  <c r="AR221" i="3"/>
  <c r="AR631" i="3"/>
  <c r="AR643" i="3"/>
  <c r="AR682" i="3"/>
  <c r="AR706" i="3"/>
  <c r="AR761" i="3"/>
  <c r="AR827" i="3"/>
  <c r="AR1159" i="3"/>
  <c r="AR1323" i="3"/>
  <c r="AR1621" i="3"/>
  <c r="AR976" i="3"/>
  <c r="AR1308" i="3"/>
  <c r="AR787" i="3"/>
  <c r="AR51" i="3"/>
  <c r="AR78" i="3"/>
  <c r="AR335" i="3"/>
  <c r="AR486" i="3"/>
  <c r="AR668" i="3"/>
  <c r="AR825" i="3"/>
  <c r="AR699" i="3"/>
  <c r="AR1083" i="3"/>
  <c r="AR1175" i="3"/>
  <c r="AR1267" i="3"/>
  <c r="AR1407" i="3"/>
  <c r="AR670" i="3"/>
  <c r="AR68" i="3"/>
  <c r="AR856" i="3"/>
  <c r="AR205" i="3"/>
  <c r="AR690" i="3"/>
  <c r="AR870" i="3"/>
  <c r="AR923" i="3"/>
  <c r="AR1146" i="3"/>
  <c r="AR1632" i="3"/>
  <c r="AR86" i="3"/>
  <c r="AR143" i="3"/>
  <c r="AR302" i="3"/>
  <c r="AR14" i="3"/>
  <c r="AR191" i="3"/>
  <c r="AR413" i="3"/>
  <c r="AR645" i="3"/>
  <c r="AR636" i="3"/>
  <c r="AR1215" i="3"/>
  <c r="AR1238" i="3"/>
  <c r="AR1265" i="3"/>
  <c r="AR1368" i="3"/>
  <c r="AR63" i="3"/>
  <c r="AR151" i="3"/>
  <c r="AR171" i="3"/>
  <c r="AR213" i="3"/>
  <c r="AR370" i="3"/>
  <c r="AR445" i="3"/>
  <c r="AR610" i="3"/>
  <c r="AR674" i="3"/>
  <c r="AR806" i="3"/>
  <c r="AR1167" i="3"/>
  <c r="AR1203" i="3"/>
  <c r="AR816" i="3"/>
  <c r="AR1080" i="3"/>
  <c r="AR1120" i="3"/>
  <c r="AR1148" i="3"/>
  <c r="AR1199" i="3"/>
  <c r="AR857" i="3"/>
  <c r="AR952" i="3"/>
  <c r="AR110" i="3"/>
  <c r="AR516" i="3"/>
  <c r="AR117" i="3"/>
  <c r="AR573" i="3"/>
  <c r="AR931" i="3"/>
  <c r="AR77" i="3"/>
  <c r="AR114" i="3"/>
  <c r="AR1094" i="3"/>
  <c r="AR637" i="3"/>
  <c r="AR753" i="3"/>
  <c r="AR738" i="3"/>
  <c r="AR748" i="3"/>
  <c r="AR1039" i="3"/>
  <c r="AR921" i="3"/>
  <c r="AR965" i="3"/>
  <c r="AR473" i="3"/>
  <c r="AR524" i="3"/>
  <c r="AR615" i="3"/>
  <c r="AR157" i="3"/>
  <c r="AR928" i="3"/>
  <c r="AR1255" i="3"/>
  <c r="AR1273" i="3"/>
  <c r="AR1586" i="3"/>
  <c r="AR807" i="3"/>
  <c r="AR1355" i="3"/>
  <c r="AR649" i="3"/>
  <c r="AR341" i="3"/>
  <c r="AR597" i="3"/>
  <c r="AR523" i="3"/>
  <c r="AR655" i="3"/>
  <c r="AR744" i="3"/>
  <c r="AR854" i="3"/>
  <c r="AR1575" i="3"/>
  <c r="AR1112" i="3"/>
  <c r="AR1288" i="3"/>
  <c r="AR333" i="3"/>
  <c r="AR206" i="3"/>
  <c r="AR41" i="3"/>
  <c r="AR260" i="3"/>
  <c r="AR92" i="3"/>
  <c r="AR515" i="3"/>
  <c r="AR461" i="3"/>
  <c r="AR414" i="3"/>
  <c r="AR440" i="3"/>
  <c r="AR521" i="3"/>
  <c r="AR660" i="3"/>
  <c r="AR1459" i="3"/>
  <c r="AR924" i="3"/>
  <c r="AR979" i="3"/>
  <c r="AR772" i="3"/>
  <c r="AR6" i="3"/>
  <c r="AR131" i="3"/>
  <c r="AR313" i="3"/>
  <c r="AR37" i="3"/>
  <c r="AR307" i="3"/>
  <c r="AR125" i="3"/>
  <c r="AR583" i="3"/>
  <c r="AR695" i="3"/>
  <c r="AR1417" i="3"/>
  <c r="AR1013" i="3"/>
  <c r="AR1256" i="3"/>
  <c r="AR507" i="3"/>
  <c r="AR147" i="3"/>
  <c r="AR24" i="3"/>
  <c r="AR52" i="3"/>
  <c r="AR233" i="3"/>
  <c r="AR57" i="3"/>
  <c r="AR101" i="3"/>
  <c r="AR817" i="3"/>
  <c r="AR568" i="3"/>
  <c r="AR1115" i="3"/>
  <c r="AR1227" i="3"/>
  <c r="AR1449" i="3"/>
  <c r="AR389" i="3"/>
  <c r="AR353" i="3"/>
  <c r="AR865" i="3"/>
  <c r="AR937" i="3"/>
  <c r="AR864" i="3"/>
  <c r="AR950" i="3"/>
  <c r="AR1178" i="3"/>
  <c r="AR1343" i="3"/>
  <c r="AR1370" i="3"/>
  <c r="AR1064" i="3"/>
  <c r="AR195" i="3"/>
  <c r="AR420" i="3"/>
  <c r="AR64" i="3"/>
  <c r="AR74" i="3"/>
  <c r="AR354" i="3"/>
  <c r="AR808" i="3"/>
  <c r="AR411" i="3"/>
  <c r="AR487" i="3"/>
  <c r="AR76" i="3"/>
  <c r="AR1010" i="3"/>
  <c r="AR1155" i="3"/>
  <c r="AR1383" i="3"/>
  <c r="AR743" i="3"/>
  <c r="AR208" i="3"/>
  <c r="AR83" i="3"/>
  <c r="AR371" i="3"/>
  <c r="AR569" i="3"/>
  <c r="AR949" i="3"/>
  <c r="AR602" i="3"/>
  <c r="AR679" i="3"/>
  <c r="AR588" i="3"/>
  <c r="AR1223" i="3"/>
  <c r="AR802" i="3"/>
  <c r="AR876" i="3"/>
  <c r="AR1168" i="3"/>
  <c r="AR126" i="3"/>
  <c r="AR174" i="3"/>
  <c r="AR484" i="3"/>
  <c r="AR504" i="3"/>
  <c r="AR525" i="3"/>
  <c r="AR560" i="3"/>
  <c r="AR381" i="3"/>
  <c r="AR589" i="3"/>
  <c r="AR685" i="3"/>
  <c r="AR120" i="3"/>
  <c r="AR619" i="3"/>
  <c r="AR359" i="3"/>
  <c r="AR355" i="3"/>
  <c r="AR795" i="3"/>
  <c r="AR992" i="3"/>
  <c r="AR730" i="3"/>
  <c r="AR8" i="3"/>
  <c r="AR137" i="3"/>
  <c r="AR224" i="3"/>
  <c r="AR346" i="3"/>
  <c r="AR822" i="3"/>
  <c r="AR995" i="3"/>
  <c r="AR1022" i="3"/>
  <c r="AR1024" i="3"/>
  <c r="AR163" i="3"/>
  <c r="AR338" i="3"/>
  <c r="AR522" i="3"/>
  <c r="AR918" i="3"/>
  <c r="AR312" i="3"/>
  <c r="AR891" i="3"/>
  <c r="AR970" i="3"/>
  <c r="AR1099" i="3"/>
  <c r="AR319" i="3"/>
  <c r="AR84" i="3"/>
  <c r="AR121" i="3"/>
  <c r="AR53" i="3"/>
  <c r="AR69" i="3"/>
  <c r="AR742" i="3"/>
  <c r="AR829" i="3"/>
  <c r="AR378" i="3"/>
  <c r="AR612" i="3"/>
  <c r="AR539" i="3"/>
  <c r="AR684" i="3"/>
  <c r="AR664" i="3"/>
  <c r="AR435" i="3"/>
  <c r="AR955" i="3"/>
  <c r="AR1391" i="3"/>
  <c r="AR1483" i="3"/>
  <c r="AR1492" i="3"/>
  <c r="AR1567" i="3"/>
  <c r="AR796" i="3"/>
  <c r="AR1220" i="3"/>
  <c r="AR27" i="3"/>
  <c r="AR20" i="3"/>
  <c r="AR397" i="3"/>
  <c r="AR635" i="3"/>
  <c r="AR253" i="3"/>
  <c r="AR506" i="3"/>
  <c r="AR575" i="3"/>
  <c r="AR1379" i="3"/>
  <c r="AR1403" i="3"/>
  <c r="AR866" i="3"/>
  <c r="AR1007" i="3"/>
  <c r="AR1088" i="3"/>
  <c r="AR36" i="3"/>
  <c r="AR426" i="3"/>
  <c r="AR437" i="3"/>
  <c r="AR694" i="3"/>
  <c r="AR398" i="3"/>
  <c r="AR1240" i="3"/>
  <c r="AR688" i="3"/>
  <c r="AR532" i="3"/>
  <c r="AR628" i="3"/>
  <c r="AR650" i="3"/>
  <c r="AR653" i="3"/>
  <c r="AR749" i="3"/>
  <c r="AR391" i="3"/>
  <c r="AR895" i="3"/>
  <c r="AR1477" i="3"/>
  <c r="AR1605" i="3"/>
  <c r="AR1629" i="3"/>
  <c r="AR904" i="3"/>
  <c r="AR380" i="3"/>
  <c r="AR549" i="3"/>
  <c r="AR617" i="3"/>
  <c r="AR692" i="3"/>
  <c r="AR181" i="3"/>
  <c r="AR482" i="3"/>
  <c r="AR603" i="3"/>
  <c r="AR268" i="3"/>
  <c r="AR725" i="3"/>
  <c r="AR999" i="3"/>
  <c r="AR1247" i="3"/>
  <c r="AR946" i="3"/>
  <c r="AR1392" i="3"/>
  <c r="AR450" i="3"/>
  <c r="AR164" i="3"/>
  <c r="AR392" i="3"/>
  <c r="AR633" i="3"/>
  <c r="AR587" i="3"/>
  <c r="AR454" i="3"/>
  <c r="AR991" i="3"/>
  <c r="AR1514" i="3"/>
  <c r="AR1129" i="3"/>
  <c r="AR21" i="3"/>
  <c r="AR1195" i="3"/>
  <c r="AR1211" i="3"/>
  <c r="AR1363" i="3"/>
  <c r="AR833" i="3"/>
  <c r="AR1056" i="3"/>
  <c r="AR1301" i="3"/>
  <c r="AR1321" i="3"/>
  <c r="AR554" i="3"/>
  <c r="AR726" i="3"/>
  <c r="AR959" i="3"/>
  <c r="AR1008" i="3"/>
  <c r="AR1263" i="3"/>
  <c r="AR1539" i="3"/>
  <c r="AR1244" i="3"/>
  <c r="AR872" i="3"/>
  <c r="AR244" i="3"/>
  <c r="AR320" i="3"/>
  <c r="AR356" i="3"/>
  <c r="AR898" i="3"/>
  <c r="AR310" i="3"/>
  <c r="AR572" i="3"/>
  <c r="AR128" i="3"/>
  <c r="AR465" i="3"/>
  <c r="AR1079" i="3"/>
  <c r="AR1134" i="3"/>
  <c r="AR1428" i="3"/>
  <c r="AR245" i="3"/>
  <c r="AR365" i="3"/>
  <c r="AR485" i="3"/>
  <c r="AR835" i="3"/>
  <c r="AR136" i="3"/>
  <c r="AR421" i="3"/>
  <c r="AR82" i="3"/>
  <c r="AR642" i="3"/>
  <c r="AR707" i="3"/>
  <c r="AR1087" i="3"/>
  <c r="AR1248" i="3"/>
  <c r="AR700" i="3"/>
  <c r="AR119" i="3"/>
  <c r="AR15" i="3"/>
  <c r="AR269" i="3"/>
  <c r="AR562" i="3"/>
  <c r="AR776" i="3"/>
  <c r="AR1507" i="3"/>
  <c r="AR216" i="3"/>
  <c r="AR167" i="3"/>
  <c r="AR227" i="3"/>
  <c r="AR412" i="3"/>
  <c r="AR500" i="3"/>
  <c r="AR509" i="3"/>
  <c r="AR418" i="3"/>
  <c r="AR443" i="3"/>
  <c r="AR745" i="3"/>
  <c r="AR845" i="3"/>
  <c r="AR493" i="3"/>
  <c r="AR763" i="3"/>
  <c r="AR1547" i="3"/>
  <c r="AR340" i="3"/>
  <c r="AR452" i="3"/>
  <c r="AR210" i="3"/>
  <c r="AR322" i="3"/>
  <c r="AR467" i="3"/>
  <c r="AR555" i="3"/>
  <c r="AR611" i="3"/>
  <c r="AR1347" i="3"/>
  <c r="AR1531" i="3"/>
  <c r="AR1600" i="3"/>
  <c r="AR1610" i="3"/>
  <c r="AR444" i="3"/>
  <c r="AR471" i="3"/>
  <c r="AR1029" i="3"/>
  <c r="AR1340" i="3"/>
  <c r="AR204" i="3"/>
  <c r="AR295" i="3"/>
  <c r="AR256" i="3"/>
  <c r="AR478" i="3"/>
  <c r="AR577" i="3"/>
  <c r="AR717" i="3"/>
  <c r="AR849" i="3"/>
  <c r="AR458" i="3"/>
  <c r="AR657" i="3"/>
  <c r="AR747" i="3"/>
  <c r="AR1035" i="3"/>
  <c r="AR988" i="3"/>
  <c r="AR1101" i="3"/>
  <c r="AR70" i="3"/>
  <c r="AR79" i="3"/>
  <c r="AR180" i="3"/>
  <c r="AR469" i="3"/>
  <c r="AR394" i="3"/>
  <c r="AR710" i="3"/>
  <c r="AR490" i="3"/>
  <c r="AR676" i="3"/>
  <c r="AR728" i="3"/>
  <c r="AR1479" i="3"/>
  <c r="AR1499" i="3"/>
  <c r="AR1613" i="3"/>
  <c r="AR1619" i="3"/>
  <c r="AR1213" i="3"/>
  <c r="AR375" i="3"/>
  <c r="AR19" i="3"/>
  <c r="AR283" i="3"/>
  <c r="AR46" i="3"/>
  <c r="AR49" i="3"/>
  <c r="AR178" i="3"/>
  <c r="AR680" i="3"/>
  <c r="AR189" i="3"/>
  <c r="AR1359" i="3"/>
  <c r="AR1224" i="3"/>
  <c r="AR1324" i="3"/>
  <c r="AR1328" i="3"/>
  <c r="AR809" i="3"/>
  <c r="AR309" i="3"/>
  <c r="AR105" i="3"/>
  <c r="AR239" i="3"/>
  <c r="AR497" i="3"/>
  <c r="AR80" i="3"/>
  <c r="AR527" i="3"/>
  <c r="AR601" i="3"/>
  <c r="AR502" i="3"/>
  <c r="AR638" i="3"/>
  <c r="AR600" i="3"/>
  <c r="AR801" i="3"/>
  <c r="AR1058" i="3"/>
  <c r="AR1187" i="3"/>
  <c r="AR1176" i="3"/>
  <c r="AR11" i="3"/>
  <c r="AR266" i="3"/>
  <c r="AR113" i="3"/>
  <c r="AR168" i="3"/>
  <c r="AR273" i="3"/>
  <c r="AR593" i="3"/>
  <c r="AR368" i="3"/>
  <c r="AR58" i="3"/>
  <c r="AR1200" i="3"/>
  <c r="AR860" i="3"/>
  <c r="AR851" i="3"/>
  <c r="AR249" i="3"/>
  <c r="AR254" i="3"/>
  <c r="AR436" i="3"/>
  <c r="AR298" i="3"/>
  <c r="AR551" i="3"/>
  <c r="AR779" i="3"/>
  <c r="AR109" i="3"/>
  <c r="AR301" i="3"/>
  <c r="AR618" i="3"/>
  <c r="AR586" i="3"/>
  <c r="AR31" i="3"/>
  <c r="AR315" i="3"/>
  <c r="AR364" i="3"/>
  <c r="AR400" i="3"/>
  <c r="AR492" i="3"/>
  <c r="AR234" i="3"/>
  <c r="AR432" i="3"/>
  <c r="AR885" i="3"/>
  <c r="AR945" i="3"/>
  <c r="AR630" i="3"/>
  <c r="AR372" i="3"/>
  <c r="AR1415" i="3"/>
  <c r="AR790" i="3"/>
  <c r="AR855" i="3"/>
  <c r="AR1076" i="3"/>
  <c r="AR711" i="3"/>
  <c r="AR423" i="3"/>
  <c r="AR144" i="3"/>
  <c r="AR889" i="3"/>
  <c r="AR913" i="3"/>
  <c r="AR98" i="3"/>
  <c r="AR832" i="3"/>
  <c r="AR1356" i="3"/>
  <c r="AR1389" i="3"/>
  <c r="AR103" i="3"/>
  <c r="AR186" i="3"/>
  <c r="AR339" i="3"/>
  <c r="AR409" i="3"/>
  <c r="AR357" i="3"/>
  <c r="AR641" i="3"/>
  <c r="AR250" i="3"/>
  <c r="AR451" i="3"/>
  <c r="AR731" i="3"/>
  <c r="AR1139" i="3"/>
  <c r="AR1424" i="3"/>
  <c r="AR915" i="3"/>
  <c r="AR1032" i="3"/>
  <c r="AR1052" i="3"/>
  <c r="AR1116" i="3"/>
  <c r="AR231" i="3"/>
  <c r="AR42" i="3"/>
  <c r="AR377" i="3"/>
  <c r="AR873" i="3"/>
  <c r="AR466" i="3"/>
  <c r="AR624" i="3"/>
  <c r="AR194" i="3"/>
  <c r="AR498" i="3"/>
  <c r="AR300" i="3"/>
  <c r="AR1234" i="3"/>
  <c r="AR644" i="3"/>
  <c r="AR179" i="3"/>
  <c r="AR100" i="3"/>
  <c r="AR459" i="3"/>
  <c r="AR559" i="3"/>
  <c r="AR625" i="3"/>
  <c r="AR23" i="3"/>
  <c r="AR545" i="3"/>
  <c r="AR395" i="3"/>
  <c r="AR520" i="3"/>
  <c r="AR1315" i="3"/>
  <c r="AR1108" i="3"/>
  <c r="AR920" i="3"/>
  <c r="AR211" i="3"/>
  <c r="AR632" i="3"/>
  <c r="AR1360" i="3"/>
  <c r="AR158" i="3"/>
  <c r="AR456" i="3"/>
  <c r="AR658" i="3"/>
  <c r="AR929" i="3"/>
  <c r="AR667" i="3"/>
  <c r="AR715" i="3"/>
  <c r="AR718" i="3"/>
  <c r="AR907" i="3"/>
  <c r="AR944" i="3"/>
  <c r="AR1293" i="3"/>
  <c r="AR1296" i="3"/>
  <c r="AR830" i="3"/>
  <c r="AR159" i="3"/>
  <c r="AR132" i="3"/>
  <c r="AR547" i="3"/>
  <c r="AR729" i="3"/>
  <c r="AR424" i="3"/>
  <c r="AR475" i="3"/>
  <c r="AR599" i="3"/>
  <c r="AR18" i="3"/>
  <c r="AR1463" i="3"/>
  <c r="AR824" i="3"/>
  <c r="AR936" i="3"/>
  <c r="AR47" i="3"/>
  <c r="AR223" i="3"/>
  <c r="AR95" i="3"/>
  <c r="AR282" i="3"/>
  <c r="AR129" i="3"/>
  <c r="AR272" i="3"/>
  <c r="AR102" i="3"/>
  <c r="AR17" i="3"/>
  <c r="AR172" i="3"/>
  <c r="AR383" i="3"/>
  <c r="AR686" i="3"/>
  <c r="AR848" i="3"/>
  <c r="AR1319" i="3"/>
  <c r="AR1497" i="3"/>
  <c r="AR1552" i="3"/>
  <c r="AR1260" i="3"/>
  <c r="AR1332" i="3"/>
  <c r="AR1385" i="3"/>
  <c r="AR154" i="3"/>
  <c r="AR441" i="3"/>
  <c r="AR453" i="3"/>
  <c r="AR541" i="3"/>
  <c r="AR425" i="3"/>
  <c r="AR543" i="3"/>
  <c r="AR446" i="3"/>
  <c r="AR503" i="3"/>
  <c r="AR343" i="3"/>
  <c r="AR513" i="3"/>
  <c r="AR712" i="3"/>
  <c r="AR697" i="3"/>
  <c r="AR861" i="3"/>
  <c r="AR1339" i="3"/>
  <c r="AR719" i="3"/>
  <c r="AR968" i="3"/>
  <c r="AR629" i="3"/>
  <c r="AR840" i="3"/>
  <c r="AR116" i="3"/>
  <c r="AR480" i="3"/>
  <c r="AR278" i="3"/>
  <c r="AR447" i="3"/>
  <c r="AR704" i="3"/>
  <c r="AR546" i="3"/>
  <c r="AR363" i="3"/>
  <c r="AR407" i="3"/>
  <c r="AR607" i="3"/>
  <c r="AR1399" i="3"/>
  <c r="AR1487" i="3"/>
  <c r="AR1572" i="3"/>
  <c r="AR604" i="3"/>
  <c r="AR608" i="3"/>
  <c r="AR1633" i="3"/>
  <c r="AR1627" i="3"/>
  <c r="AR1622" i="3"/>
  <c r="AR1616" i="3"/>
  <c r="AR1609" i="3"/>
  <c r="AR1598" i="3"/>
  <c r="AR1592" i="3"/>
  <c r="AR1588" i="3"/>
  <c r="AR1581" i="3"/>
  <c r="AR1576" i="3"/>
  <c r="AR1571" i="3"/>
  <c r="AR1566" i="3"/>
  <c r="AR1561" i="3"/>
  <c r="AR1556" i="3"/>
  <c r="AR1550" i="3"/>
  <c r="AR1544" i="3"/>
  <c r="AR1540" i="3"/>
  <c r="AR1534" i="3"/>
  <c r="AR1530" i="3"/>
  <c r="AR1524" i="3"/>
  <c r="AR1518" i="3"/>
  <c r="AR1513" i="3"/>
  <c r="AR1508" i="3"/>
  <c r="AR1501" i="3"/>
  <c r="AR1496" i="3"/>
  <c r="AR1491" i="3"/>
  <c r="AR1485" i="3"/>
  <c r="AR1480" i="3"/>
  <c r="AR1470" i="3"/>
  <c r="AR1465" i="3"/>
  <c r="AR1460" i="3"/>
  <c r="AR1454" i="3"/>
  <c r="AR1451" i="3"/>
  <c r="AR1444" i="3"/>
  <c r="AR1438" i="3"/>
  <c r="AR1432" i="3"/>
  <c r="AR1427" i="3"/>
  <c r="AR1421" i="3"/>
  <c r="AR1418" i="3"/>
  <c r="AR1406" i="3"/>
  <c r="AR1400" i="3"/>
  <c r="AR1396" i="3"/>
  <c r="AR1388" i="3"/>
  <c r="AR1381" i="3"/>
  <c r="AR1373" i="3"/>
  <c r="AR1364" i="3"/>
  <c r="AR1357" i="3"/>
  <c r="AR1349" i="3"/>
  <c r="AR1341" i="3"/>
  <c r="AR1333" i="3"/>
  <c r="AR1325" i="3"/>
  <c r="AR1317" i="3"/>
  <c r="AR1309" i="3"/>
  <c r="AR1300" i="3"/>
  <c r="AR1294" i="3"/>
  <c r="AR1285" i="3"/>
  <c r="AR1277" i="3"/>
  <c r="AR1261" i="3"/>
  <c r="AR1245" i="3"/>
  <c r="AR1237" i="3"/>
  <c r="AR1229" i="3"/>
  <c r="AR1221" i="3"/>
  <c r="AR1212" i="3"/>
  <c r="AR1198" i="3"/>
  <c r="AR1189" i="3"/>
  <c r="AR1182" i="3"/>
  <c r="AR1174" i="3"/>
  <c r="AR1165" i="3"/>
  <c r="AR1157" i="3"/>
  <c r="AR1149" i="3"/>
  <c r="AR1133" i="3"/>
  <c r="AR1125" i="3"/>
  <c r="AR1117" i="3"/>
  <c r="AR1109" i="3"/>
  <c r="AR1100" i="3"/>
  <c r="AR1092" i="3"/>
  <c r="AR1085" i="3"/>
  <c r="AR1077" i="3"/>
  <c r="AR1069" i="3"/>
  <c r="AR1061" i="3"/>
  <c r="AR1053" i="3"/>
  <c r="AR1046" i="3"/>
  <c r="AR1038" i="3"/>
  <c r="AR1028" i="3"/>
  <c r="AR1015" i="3"/>
  <c r="AR1006" i="3"/>
  <c r="AR997" i="3"/>
  <c r="AR989" i="3"/>
  <c r="AR980" i="3"/>
  <c r="AR973" i="3"/>
  <c r="AR963" i="3"/>
  <c r="AR943" i="3"/>
  <c r="AR922" i="3"/>
  <c r="AR900" i="3"/>
  <c r="AR879" i="3"/>
  <c r="AR859" i="3"/>
  <c r="AR836" i="3"/>
  <c r="AR815" i="3"/>
  <c r="AR735" i="3"/>
  <c r="AR691" i="3"/>
  <c r="AR613" i="3"/>
  <c r="AR388" i="3"/>
  <c r="AR173" i="3"/>
  <c r="AR1631" i="3"/>
  <c r="AR1626" i="3"/>
  <c r="AR1620" i="3"/>
  <c r="AR1614" i="3"/>
  <c r="AR1611" i="3"/>
  <c r="AR1604" i="3"/>
  <c r="AR1596" i="3"/>
  <c r="AR1593" i="3"/>
  <c r="AR1587" i="3"/>
  <c r="AR1582" i="3"/>
  <c r="AR1578" i="3"/>
  <c r="AR1560" i="3"/>
  <c r="AR1553" i="3"/>
  <c r="AR1549" i="3"/>
  <c r="AR1543" i="3"/>
  <c r="AR1538" i="3"/>
  <c r="AR1533" i="3"/>
  <c r="AR1528" i="3"/>
  <c r="AR1522" i="3"/>
  <c r="AR1512" i="3"/>
  <c r="AR1506" i="3"/>
  <c r="AR1500" i="3"/>
  <c r="AR1495" i="3"/>
  <c r="AR1484" i="3"/>
  <c r="AR1481" i="3"/>
  <c r="AR1474" i="3"/>
  <c r="AR1468" i="3"/>
  <c r="AR1464" i="3"/>
  <c r="AR1458" i="3"/>
  <c r="AR1448" i="3"/>
  <c r="AR1437" i="3"/>
  <c r="AR1426" i="3"/>
  <c r="AR1422" i="3"/>
  <c r="AR1410" i="3"/>
  <c r="AR1405" i="3"/>
  <c r="AR1401" i="3"/>
  <c r="AR1386" i="3"/>
  <c r="AR1371" i="3"/>
  <c r="AR1354" i="3"/>
  <c r="AR1346" i="3"/>
  <c r="AR1338" i="3"/>
  <c r="AR1330" i="3"/>
  <c r="AR1306" i="3"/>
  <c r="AR1298" i="3"/>
  <c r="AR1290" i="3"/>
  <c r="AR1276" i="3"/>
  <c r="AR1266" i="3"/>
  <c r="AR1250" i="3"/>
  <c r="AR1242" i="3"/>
  <c r="AR1235" i="3"/>
  <c r="AR1226" i="3"/>
  <c r="AR1186" i="3"/>
  <c r="AR1177" i="3"/>
  <c r="AR1170" i="3"/>
  <c r="AR1162" i="3"/>
  <c r="AR1154" i="3"/>
  <c r="AR1147" i="3"/>
  <c r="AR1138" i="3"/>
  <c r="AR1128" i="3"/>
  <c r="AR1098" i="3"/>
  <c r="AR1090" i="3"/>
  <c r="AR1081" i="3"/>
  <c r="AR1074" i="3"/>
  <c r="AR1066" i="3"/>
  <c r="AR1059" i="3"/>
  <c r="AR1042" i="3"/>
  <c r="AR1034" i="3"/>
  <c r="AR1018" i="3"/>
  <c r="AR1011" i="3"/>
  <c r="AR994" i="3"/>
  <c r="AR987" i="3"/>
  <c r="AR978" i="3"/>
  <c r="AR971" i="3"/>
  <c r="AR960" i="3"/>
  <c r="AR938" i="3"/>
  <c r="AR916" i="3"/>
  <c r="AR896" i="3"/>
  <c r="AR810" i="3"/>
  <c r="AR788" i="3"/>
  <c r="AR591" i="3"/>
  <c r="AR342" i="3"/>
  <c r="AR118" i="3"/>
  <c r="AR348" i="3"/>
  <c r="AR393" i="3"/>
  <c r="AR774" i="3"/>
  <c r="AR374" i="3"/>
  <c r="AR130" i="3"/>
  <c r="AR1016" i="3"/>
  <c r="AR1067" i="3"/>
  <c r="AR1351" i="3"/>
  <c r="AR883" i="3"/>
  <c r="AR115" i="3"/>
  <c r="AR122" i="3"/>
  <c r="AR410" i="3"/>
  <c r="AR580" i="3"/>
  <c r="AR905" i="3"/>
  <c r="AR72" i="3"/>
  <c r="AR534" i="3"/>
  <c r="AR755" i="3"/>
  <c r="AR203" i="3"/>
  <c r="AR812" i="3"/>
  <c r="AR1268" i="3"/>
  <c r="AR13" i="3"/>
  <c r="AR219" i="3"/>
  <c r="AR387" i="3"/>
  <c r="AR505" i="3"/>
  <c r="AR762" i="3"/>
  <c r="AR800" i="3"/>
  <c r="AR390" i="3"/>
  <c r="AR770" i="3"/>
  <c r="AR1110" i="3"/>
  <c r="AR1151" i="3"/>
  <c r="AR1278" i="3"/>
  <c r="AR750" i="3"/>
  <c r="AR751" i="3"/>
  <c r="AR947" i="3"/>
  <c r="AR73" i="3"/>
  <c r="AR442" i="3"/>
  <c r="AR106" i="3"/>
  <c r="AR252" i="3"/>
  <c r="AR530" i="3"/>
  <c r="AR552" i="3"/>
  <c r="AR550" i="3"/>
  <c r="AR1031" i="3"/>
  <c r="AR1105" i="3"/>
  <c r="AR1103" i="3"/>
  <c r="AR1140" i="3"/>
  <c r="AR45" i="3"/>
  <c r="AR99" i="3"/>
  <c r="AR396" i="3"/>
  <c r="AR156" i="3"/>
  <c r="AR198" i="3"/>
  <c r="AR468" i="3"/>
  <c r="AR892" i="3"/>
  <c r="AR566" i="3"/>
  <c r="AR640" i="3"/>
  <c r="AR508" i="3"/>
  <c r="AR1366" i="3"/>
  <c r="AR65" i="3"/>
  <c r="AR4" i="3"/>
  <c r="AR153" i="3"/>
  <c r="AR170" i="3"/>
  <c r="AR646" i="3"/>
  <c r="AR54" i="3"/>
  <c r="AR723" i="3"/>
  <c r="AR1471" i="3"/>
  <c r="AR1380" i="3"/>
  <c r="AR797" i="3"/>
  <c r="AR314" i="3"/>
  <c r="AR230" i="3"/>
  <c r="AR345" i="3"/>
  <c r="AR1143" i="3"/>
  <c r="AR1191" i="3"/>
  <c r="AR1231" i="3"/>
  <c r="AR1299" i="3"/>
  <c r="AR1352" i="3"/>
  <c r="AR1559" i="3"/>
  <c r="AR828" i="3"/>
  <c r="AR902" i="3"/>
  <c r="AR925" i="3"/>
  <c r="AR275" i="3"/>
  <c r="AR148" i="3"/>
  <c r="AR384" i="3"/>
  <c r="AR460" i="3"/>
  <c r="AR528" i="3"/>
  <c r="AR26" i="3"/>
  <c r="AR687" i="3"/>
  <c r="AR399" i="3"/>
  <c r="AR337" i="3"/>
  <c r="AR620" i="3"/>
  <c r="AR671" i="3"/>
  <c r="AR1526" i="3"/>
  <c r="AR258" i="3"/>
  <c r="AR940" i="3"/>
  <c r="AR1188" i="3"/>
  <c r="AR1336" i="3"/>
  <c r="AR814" i="3"/>
  <c r="AR846" i="3"/>
  <c r="AR192" i="3"/>
  <c r="AR303" i="3"/>
  <c r="AR10" i="3"/>
  <c r="AR90" i="3"/>
  <c r="AR60" i="3"/>
  <c r="AR284" i="3"/>
  <c r="AR585" i="3"/>
  <c r="AR321" i="3"/>
  <c r="AR752" i="3"/>
  <c r="AR477" i="3"/>
  <c r="AR1043" i="3"/>
  <c r="AR1555" i="3"/>
  <c r="AR581" i="3"/>
  <c r="AR919" i="3"/>
  <c r="AR1047" i="3"/>
  <c r="AR1152" i="3"/>
  <c r="AR1280" i="3"/>
  <c r="AR766" i="3"/>
  <c r="AR941" i="3"/>
  <c r="AR190" i="3"/>
  <c r="AR176" i="3"/>
  <c r="AR48" i="3"/>
  <c r="AR305" i="3"/>
  <c r="AR713" i="3"/>
  <c r="AR820" i="3"/>
  <c r="AR332" i="3"/>
  <c r="AR296" i="3"/>
  <c r="AR199" i="3"/>
  <c r="AR226" i="3"/>
  <c r="AR462" i="3"/>
  <c r="AR594" i="3"/>
  <c r="AR1051" i="3"/>
  <c r="AR972" i="3"/>
  <c r="AR1005" i="3"/>
  <c r="AR1232" i="3"/>
  <c r="AR899" i="3"/>
  <c r="AR55" i="3"/>
  <c r="AR360" i="3"/>
  <c r="AR149" i="3"/>
  <c r="AR598" i="3"/>
  <c r="AR280" i="3"/>
  <c r="AR517" i="3"/>
  <c r="AR734" i="3"/>
  <c r="AR574" i="3"/>
  <c r="AR811" i="3"/>
  <c r="AR764" i="3"/>
  <c r="AR930" i="3"/>
  <c r="AR1160" i="3"/>
  <c r="AR75" i="3"/>
  <c r="AR200" i="3"/>
  <c r="AR318" i="3"/>
  <c r="AR720" i="3"/>
  <c r="AR758" i="3"/>
  <c r="AR483" i="3"/>
  <c r="AR1595" i="3"/>
  <c r="AR893" i="3"/>
  <c r="AR1192" i="3"/>
  <c r="AR1348" i="3"/>
  <c r="AR215" i="3"/>
  <c r="AR255" i="3"/>
  <c r="AR326" i="3"/>
  <c r="AR512" i="3"/>
  <c r="AR316" i="3"/>
  <c r="AR908" i="3"/>
  <c r="AR66" i="3"/>
  <c r="AR1259" i="3"/>
  <c r="AR1310" i="3"/>
  <c r="AR1369" i="3"/>
  <c r="AR909" i="3"/>
  <c r="AR56" i="3"/>
  <c r="AR222" i="3"/>
  <c r="AR96" i="3"/>
  <c r="AR531" i="3"/>
  <c r="AR214" i="3"/>
  <c r="AR739" i="3"/>
  <c r="AR782" i="3"/>
  <c r="AR934" i="3"/>
  <c r="AR1523" i="3"/>
  <c r="AR878" i="3"/>
  <c r="AR38" i="3"/>
  <c r="AR43" i="3"/>
  <c r="AR251" i="3"/>
  <c r="AR35" i="3"/>
  <c r="AR324" i="3"/>
  <c r="AR138" i="3"/>
  <c r="AR196" i="3"/>
  <c r="AR385" i="3"/>
  <c r="AR537" i="3"/>
  <c r="AR837" i="3"/>
  <c r="AR429" i="3"/>
  <c r="AR709" i="3"/>
  <c r="AR166" i="3"/>
  <c r="AR184" i="3"/>
  <c r="AR1287" i="3"/>
  <c r="AR1335" i="3"/>
  <c r="AR792" i="3"/>
  <c r="AR914" i="3"/>
  <c r="AR139" i="3"/>
  <c r="AR188" i="3"/>
  <c r="AR533" i="3"/>
  <c r="AR306" i="3"/>
  <c r="AR434" i="3"/>
  <c r="AR884" i="3"/>
  <c r="AR917" i="3"/>
  <c r="AR1063" i="3"/>
  <c r="AR499" i="3"/>
  <c r="AR756" i="3"/>
  <c r="AR1097" i="3"/>
  <c r="AR1216" i="3"/>
  <c r="AR1236" i="3"/>
  <c r="AR161" i="3"/>
  <c r="AR271" i="3"/>
  <c r="AR276" i="3"/>
  <c r="AR721" i="3"/>
  <c r="AR813" i="3"/>
  <c r="AR571" i="3"/>
  <c r="AR415" i="3"/>
  <c r="AR1377" i="3"/>
  <c r="AR111" i="3"/>
  <c r="AR259" i="3"/>
  <c r="AR279" i="3"/>
  <c r="AR124" i="3"/>
  <c r="AR152" i="3"/>
  <c r="AR44" i="3"/>
  <c r="AR455" i="3"/>
  <c r="AR1535" i="3"/>
  <c r="AR185" i="3"/>
  <c r="AR366" i="3"/>
  <c r="AR325" i="3"/>
  <c r="AR621" i="3"/>
  <c r="AR681" i="3"/>
  <c r="AR193" i="3"/>
  <c r="AR741" i="3"/>
  <c r="AR767" i="3"/>
  <c r="AR242" i="3"/>
  <c r="AR1104" i="3"/>
  <c r="AR935" i="3"/>
  <c r="AR1164" i="3"/>
  <c r="AR401" i="3"/>
  <c r="AR858" i="3"/>
  <c r="AR656" i="3"/>
  <c r="AR966" i="3"/>
  <c r="AR882" i="3"/>
  <c r="AR563" i="3"/>
  <c r="AR265" i="3"/>
  <c r="AR291" i="3"/>
  <c r="AR238" i="3"/>
  <c r="AR672" i="3"/>
  <c r="AR705" i="3"/>
  <c r="AR901" i="3"/>
  <c r="AR9" i="3"/>
  <c r="AR25" i="3"/>
  <c r="AR439" i="3"/>
  <c r="AR1127" i="3"/>
  <c r="AR698" i="3"/>
  <c r="AR419" i="3"/>
  <c r="AR91" i="3"/>
  <c r="AR495" i="3"/>
  <c r="AR757" i="3"/>
  <c r="AR765" i="3"/>
  <c r="AR489" i="3"/>
  <c r="AR652" i="3"/>
  <c r="AR1431" i="3"/>
  <c r="AR863" i="3"/>
  <c r="AR22" i="3"/>
  <c r="AR402" i="3"/>
  <c r="AR564" i="3"/>
  <c r="AR769" i="3"/>
  <c r="AR877" i="3"/>
  <c r="AR953" i="3"/>
  <c r="AR582" i="3"/>
  <c r="AR578" i="3"/>
  <c r="AR526" i="3"/>
  <c r="AR1375" i="3"/>
  <c r="AR1395" i="3"/>
  <c r="AR1446" i="3"/>
  <c r="AR622" i="3"/>
  <c r="AR1228" i="3"/>
  <c r="AR1295" i="3"/>
  <c r="AR780" i="3"/>
  <c r="AR59" i="3"/>
  <c r="AR626" i="3"/>
  <c r="AR87" i="3"/>
  <c r="AR328" i="3"/>
  <c r="AR243" i="3"/>
  <c r="AR843" i="3"/>
  <c r="AR1183" i="3"/>
  <c r="AR1503" i="3"/>
  <c r="AR771" i="3"/>
  <c r="AR127" i="3"/>
  <c r="AR288" i="3"/>
  <c r="AR107" i="3"/>
  <c r="AR350" i="3"/>
  <c r="AR1014" i="3"/>
  <c r="AR1196" i="3"/>
  <c r="AR261" i="3"/>
  <c r="AR869" i="3"/>
  <c r="AR957" i="3"/>
  <c r="AR683" i="3"/>
  <c r="AR285" i="3"/>
  <c r="AR1387" i="3"/>
  <c r="AR1439" i="3"/>
  <c r="AR1443" i="3"/>
  <c r="AR897" i="3"/>
  <c r="AR535" i="3"/>
  <c r="AR804" i="3"/>
  <c r="AR894" i="3"/>
  <c r="AR5" i="3"/>
  <c r="AR431" i="3"/>
  <c r="AR217" i="3"/>
  <c r="AR336" i="3"/>
  <c r="AR361" i="3"/>
  <c r="AR942" i="3"/>
  <c r="AR673" i="3"/>
  <c r="AR981" i="3"/>
  <c r="AR1331" i="3"/>
  <c r="AR784" i="3"/>
  <c r="AR961" i="3"/>
  <c r="AR1144" i="3"/>
  <c r="AR834" i="3"/>
  <c r="AR330" i="3"/>
  <c r="AR212" i="3"/>
  <c r="AR553" i="3"/>
  <c r="AR248" i="3"/>
  <c r="AR93" i="3"/>
  <c r="AR236" i="3"/>
  <c r="AR838" i="3"/>
  <c r="AR903" i="3"/>
  <c r="AR975" i="3"/>
  <c r="AR839" i="3"/>
  <c r="AR887" i="3"/>
  <c r="AR956" i="3"/>
  <c r="AR1071" i="3"/>
  <c r="AR94" i="3"/>
  <c r="AR135" i="3"/>
  <c r="AR112" i="3"/>
  <c r="AR331" i="3"/>
  <c r="AR34" i="3"/>
  <c r="AR558" i="3"/>
  <c r="AR592" i="3"/>
  <c r="AR675" i="3"/>
  <c r="AR785" i="3"/>
  <c r="AR639" i="3"/>
  <c r="AR1019" i="3"/>
  <c r="AR984" i="3"/>
  <c r="AR1040" i="3"/>
  <c r="AR1044" i="3"/>
  <c r="AR1132" i="3"/>
  <c r="AR308" i="3"/>
  <c r="AR329" i="3"/>
  <c r="AR404" i="3"/>
  <c r="AR464" i="3"/>
  <c r="AR476" i="3"/>
  <c r="AR32" i="3"/>
  <c r="AR880" i="3"/>
  <c r="AR969" i="3"/>
  <c r="AR358" i="3"/>
  <c r="AR606" i="3"/>
  <c r="AR1048" i="3"/>
  <c r="AR1467" i="3"/>
  <c r="AR1037" i="3"/>
  <c r="AR1136" i="3"/>
  <c r="AR1275" i="3"/>
  <c r="AR888" i="3"/>
  <c r="AR207" i="3"/>
  <c r="AR286" i="3"/>
  <c r="AR373" i="3"/>
  <c r="AR386" i="3"/>
  <c r="AR696" i="3"/>
  <c r="AR786" i="3"/>
  <c r="AR140" i="3"/>
  <c r="AR470" i="3"/>
  <c r="AR881" i="3"/>
  <c r="AR145" i="3"/>
  <c r="AR1180" i="3"/>
  <c r="AR1365" i="3"/>
  <c r="AR247" i="3"/>
  <c r="AR169" i="3"/>
  <c r="AR556" i="3"/>
  <c r="AR202" i="3"/>
  <c r="AR349" i="3"/>
  <c r="AR518" i="3"/>
  <c r="AR727" i="3"/>
  <c r="AR1411" i="3"/>
  <c r="AR708" i="3"/>
  <c r="AR910" i="3"/>
  <c r="AR951" i="3"/>
  <c r="AR996" i="3"/>
  <c r="AR344" i="3"/>
  <c r="AR448" i="3"/>
  <c r="AR496" i="3"/>
  <c r="AR579" i="3"/>
  <c r="AR702" i="3"/>
  <c r="AR1219" i="3"/>
  <c r="AR1251" i="3"/>
  <c r="AR367" i="3"/>
  <c r="AR850" i="3"/>
  <c r="AR108" i="3"/>
  <c r="AR218" i="3"/>
  <c r="AR270" i="3"/>
  <c r="AR422" i="3"/>
  <c r="AR678" i="3"/>
  <c r="AR567" i="3"/>
  <c r="AR595" i="3"/>
  <c r="AR716" i="3"/>
  <c r="AR874" i="3"/>
  <c r="AR1519" i="3"/>
  <c r="AR1564" i="3"/>
  <c r="AR1084" i="3"/>
  <c r="AR722" i="3"/>
  <c r="AR867" i="3"/>
  <c r="AR263" i="3"/>
  <c r="AR536" i="3"/>
  <c r="AR209" i="3"/>
  <c r="AR229" i="3"/>
  <c r="AR417" i="3"/>
  <c r="AR379" i="3"/>
  <c r="AR773" i="3"/>
  <c r="AR616" i="3"/>
  <c r="AR986" i="3"/>
  <c r="AR1091" i="3"/>
  <c r="AR1327" i="3"/>
  <c r="AR62" i="3"/>
  <c r="AR430" i="3"/>
  <c r="AR85" i="3"/>
  <c r="AR150" i="3"/>
  <c r="AR165" i="3"/>
  <c r="AR408" i="3"/>
  <c r="AR39" i="3"/>
  <c r="AR463" i="3"/>
  <c r="AR701" i="3"/>
  <c r="AR789" i="3"/>
  <c r="AR665" i="3"/>
  <c r="AR274" i="3"/>
  <c r="AR197" i="3"/>
  <c r="AR369" i="3"/>
  <c r="AR376" i="3"/>
  <c r="AR146" i="3"/>
  <c r="AR662" i="3"/>
  <c r="AR257" i="3"/>
  <c r="AR1207" i="3"/>
  <c r="AR1303" i="3"/>
  <c r="AR529" i="3"/>
  <c r="AR1286" i="3"/>
  <c r="AR479" i="3"/>
  <c r="AR958" i="3"/>
  <c r="AR240" i="3"/>
  <c r="AR565" i="3"/>
  <c r="AR605" i="3"/>
  <c r="AR162" i="3"/>
  <c r="AR983" i="3"/>
  <c r="AR1435" i="3"/>
  <c r="AR297" i="3"/>
  <c r="AR519" i="3"/>
  <c r="AR304" i="3"/>
  <c r="AR347" i="3"/>
  <c r="AR7" i="3"/>
  <c r="AR133" i="3"/>
  <c r="AR293" i="3"/>
  <c r="AR327" i="3"/>
  <c r="AR474" i="3"/>
  <c r="AR501" i="3"/>
  <c r="AR511" i="3"/>
  <c r="AR793" i="3"/>
  <c r="AR962" i="3"/>
  <c r="AR351" i="3"/>
  <c r="AR141" i="3"/>
  <c r="AR449" i="3"/>
  <c r="AR818" i="3"/>
  <c r="AR1003" i="3"/>
  <c r="AR1545" i="3"/>
  <c r="AR235" i="3"/>
  <c r="AR292" i="3"/>
  <c r="AR225" i="3"/>
  <c r="AR596" i="3"/>
  <c r="AR1156" i="3"/>
  <c r="AR1272" i="3"/>
  <c r="AR71" i="3"/>
  <c r="AR155" i="3"/>
  <c r="AR201" i="3"/>
  <c r="AR262" i="3"/>
  <c r="AR544" i="3"/>
  <c r="AR134" i="3"/>
  <c r="AR277" i="3"/>
  <c r="AR362" i="3"/>
  <c r="AR666" i="3"/>
  <c r="AR290" i="3"/>
  <c r="AR403" i="3"/>
  <c r="AR540" i="3"/>
  <c r="AR623" i="3"/>
  <c r="AR912" i="3"/>
  <c r="AR1171" i="3"/>
  <c r="AR1271" i="3"/>
  <c r="AR1591" i="3"/>
  <c r="AR1184" i="3"/>
  <c r="AR1304" i="3"/>
  <c r="AR823" i="3"/>
  <c r="AR323" i="3"/>
  <c r="AR287" i="3"/>
  <c r="AR576" i="3"/>
  <c r="AR427" i="3"/>
  <c r="AR1068" i="3"/>
  <c r="AR871" i="3"/>
  <c r="AR123" i="3"/>
  <c r="AR175" i="3"/>
  <c r="AR228" i="3"/>
  <c r="AR294" i="3"/>
  <c r="AR264" i="3"/>
  <c r="AR40" i="3"/>
  <c r="AR97" i="3"/>
  <c r="AR647" i="3"/>
  <c r="AR584" i="3"/>
  <c r="AR1130" i="3"/>
  <c r="AR1579" i="3"/>
  <c r="AR732" i="3"/>
  <c r="AR1292" i="3"/>
  <c r="AR933" i="3"/>
  <c r="AR267" i="3"/>
  <c r="AR160" i="3"/>
  <c r="AR405" i="3"/>
  <c r="AR16" i="3"/>
  <c r="AR177" i="3"/>
  <c r="AR614" i="3"/>
  <c r="AR926" i="3"/>
  <c r="AR438" i="3"/>
  <c r="AR689" i="3"/>
  <c r="AR561" i="3"/>
  <c r="AR669" i="3"/>
  <c r="AR1060" i="3"/>
  <c r="AR819" i="3"/>
  <c r="AR142" i="3"/>
  <c r="AR182" i="3"/>
  <c r="AR777" i="3"/>
  <c r="AR805" i="3"/>
  <c r="AR842" i="3"/>
  <c r="AR481" i="3"/>
  <c r="AR651" i="3"/>
  <c r="AR663" i="3"/>
  <c r="AR939" i="3"/>
  <c r="AR1163" i="3"/>
  <c r="AR1243" i="3"/>
  <c r="AR406" i="3"/>
  <c r="AR557" i="3"/>
  <c r="AR844" i="3"/>
  <c r="AR246" i="3"/>
  <c r="AR281" i="3"/>
  <c r="AR220" i="3"/>
  <c r="AR733" i="3"/>
  <c r="AR798" i="3"/>
  <c r="AR853" i="3"/>
  <c r="AR12" i="3"/>
  <c r="AR237" i="3"/>
  <c r="AR433" i="3"/>
  <c r="AR494" i="3"/>
  <c r="AR1124" i="3"/>
  <c r="AR1625" i="3"/>
  <c r="AR89" i="3"/>
  <c r="AR1093" i="3"/>
  <c r="AR1208" i="3"/>
  <c r="AR1312" i="3"/>
  <c r="AR352" i="3"/>
  <c r="AR187" i="3"/>
  <c r="AR241" i="3"/>
  <c r="AR609" i="3"/>
  <c r="AR737" i="3"/>
  <c r="AR29" i="3"/>
  <c r="AR548" i="3"/>
  <c r="AR648" i="3"/>
  <c r="AR1072" i="3"/>
  <c r="AR1119" i="3"/>
  <c r="AR1283" i="3"/>
  <c r="AR33" i="3"/>
  <c r="AR778" i="3"/>
  <c r="AR1001" i="3"/>
  <c r="AR1021" i="3"/>
  <c r="AR1172" i="3"/>
  <c r="AR311" i="3"/>
  <c r="AR472" i="3"/>
  <c r="AR491" i="3"/>
  <c r="AR67" i="3"/>
  <c r="AR510" i="3"/>
  <c r="AR382" i="3"/>
  <c r="AR590" i="3"/>
  <c r="AR627" i="3"/>
  <c r="AR1027" i="3"/>
  <c r="AR1583" i="3"/>
  <c r="AR1344" i="3"/>
  <c r="AR693" i="3"/>
  <c r="AR759" i="3"/>
  <c r="AR299" i="3"/>
  <c r="AR538" i="3"/>
  <c r="AR659" i="3"/>
  <c r="AR791" i="3"/>
  <c r="AR1055" i="3"/>
  <c r="AR1455" i="3"/>
  <c r="AR1511" i="3"/>
  <c r="AR1204" i="3"/>
  <c r="AR1253" i="3"/>
  <c r="AR104" i="3"/>
  <c r="AR1630" i="3"/>
  <c r="AR1624" i="3"/>
  <c r="AR1617" i="3"/>
  <c r="AR1615" i="3"/>
  <c r="AR1606" i="3"/>
  <c r="AR1603" i="3"/>
  <c r="AR1597" i="3"/>
  <c r="AR1590" i="3"/>
  <c r="AR1585" i="3"/>
  <c r="AR1580" i="3"/>
  <c r="AR1574" i="3"/>
  <c r="AR1569" i="3"/>
  <c r="AR1563" i="3"/>
  <c r="AR1558" i="3"/>
  <c r="AR1554" i="3"/>
  <c r="AR1548" i="3"/>
  <c r="AR1542" i="3"/>
  <c r="AR1536" i="3"/>
  <c r="AR1532" i="3"/>
  <c r="AR1527" i="3"/>
  <c r="AR1521" i="3"/>
  <c r="AR1516" i="3"/>
  <c r="AR1510" i="3"/>
  <c r="AR1505" i="3"/>
  <c r="AR1502" i="3"/>
  <c r="AR1494" i="3"/>
  <c r="AR1489" i="3"/>
  <c r="AR1486" i="3"/>
  <c r="AR1478" i="3"/>
  <c r="AR1473" i="3"/>
  <c r="AR1469" i="3"/>
  <c r="AR1462" i="3"/>
  <c r="AR1456" i="3"/>
  <c r="AR1452" i="3"/>
  <c r="AR1447" i="3"/>
  <c r="AR1441" i="3"/>
  <c r="AR1436" i="3"/>
  <c r="AR1430" i="3"/>
  <c r="AR1425" i="3"/>
  <c r="AR1420" i="3"/>
  <c r="AR1413" i="3"/>
  <c r="AR1409" i="3"/>
  <c r="AR1404" i="3"/>
  <c r="AR1397" i="3"/>
  <c r="AR1394" i="3"/>
  <c r="AR1384" i="3"/>
  <c r="AR1376" i="3"/>
  <c r="AR1372" i="3"/>
  <c r="AR1361" i="3"/>
  <c r="AR1353" i="3"/>
  <c r="AR1345" i="3"/>
  <c r="AR1337" i="3"/>
  <c r="AR1329" i="3"/>
  <c r="AR1320" i="3"/>
  <c r="AR1313" i="3"/>
  <c r="AR1305" i="3"/>
  <c r="AR1297" i="3"/>
  <c r="AR1289" i="3"/>
  <c r="AR1282" i="3"/>
  <c r="AR1274" i="3"/>
  <c r="AR1264" i="3"/>
  <c r="AR1257" i="3"/>
  <c r="AR1249" i="3"/>
  <c r="AR1241" i="3"/>
  <c r="AR1233" i="3"/>
  <c r="AR1225" i="3"/>
  <c r="AR1218" i="3"/>
  <c r="AR1209" i="3"/>
  <c r="AR1201" i="3"/>
  <c r="AR1194" i="3"/>
  <c r="AR1185" i="3"/>
  <c r="AR1179" i="3"/>
  <c r="AR1169" i="3"/>
  <c r="AR1161" i="3"/>
  <c r="AR1153" i="3"/>
  <c r="AR1145" i="3"/>
  <c r="AR1137" i="3"/>
  <c r="AR1131" i="3"/>
  <c r="AR1121" i="3"/>
  <c r="AR1113" i="3"/>
  <c r="AR1107" i="3"/>
  <c r="AR1096" i="3"/>
  <c r="AR1089" i="3"/>
  <c r="AR1082" i="3"/>
  <c r="AR1073" i="3"/>
  <c r="AR1065" i="3"/>
  <c r="AR1057" i="3"/>
  <c r="AR1049" i="3"/>
  <c r="AR1041" i="3"/>
  <c r="AR1033" i="3"/>
  <c r="AR1025" i="3"/>
  <c r="AR1017" i="3"/>
  <c r="AR1009" i="3"/>
  <c r="AR1000" i="3"/>
  <c r="AR993" i="3"/>
  <c r="AR985" i="3"/>
  <c r="AR977" i="3"/>
  <c r="AR967" i="3"/>
  <c r="AR954" i="3"/>
  <c r="AR932" i="3"/>
  <c r="AR911" i="3"/>
  <c r="AR890" i="3"/>
  <c r="AR868" i="3"/>
  <c r="AR847" i="3"/>
  <c r="AR826" i="3"/>
  <c r="AR803" i="3"/>
  <c r="AR783" i="3"/>
  <c r="AR754" i="3"/>
  <c r="AR714" i="3"/>
  <c r="AR654" i="3"/>
  <c r="AR570" i="3"/>
  <c r="AR457" i="3"/>
  <c r="AR289" i="3"/>
  <c r="AR61" i="3"/>
  <c r="E15" i="12" a="1"/>
  <c r="E15" i="12" s="1"/>
  <c r="Y7" i="4" l="1"/>
  <c r="Y3" i="4"/>
  <c r="AA3" i="4" s="1"/>
  <c r="Z4" i="4" s="1"/>
  <c r="Y5" i="4"/>
  <c r="Y4" i="4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I3" i="3"/>
  <c r="I15" i="3"/>
  <c r="I32" i="3"/>
  <c r="I45" i="3"/>
  <c r="I11" i="3"/>
  <c r="I38" i="3"/>
  <c r="I52" i="3"/>
  <c r="I70" i="3"/>
  <c r="I89" i="3"/>
  <c r="I57" i="3"/>
  <c r="I10" i="3"/>
  <c r="I60" i="3"/>
  <c r="I96" i="3"/>
  <c r="I80" i="3"/>
  <c r="I42" i="3"/>
  <c r="I62" i="3"/>
  <c r="I63" i="3"/>
  <c r="I75" i="3"/>
  <c r="I64" i="3"/>
  <c r="I18" i="3"/>
  <c r="I91" i="3"/>
  <c r="I65" i="3"/>
  <c r="I93" i="3"/>
  <c r="I33" i="3"/>
  <c r="I71" i="3"/>
  <c r="I94" i="3"/>
  <c r="I8" i="3"/>
  <c r="I40" i="3"/>
  <c r="I16" i="3"/>
  <c r="I12" i="3"/>
  <c r="I46" i="3"/>
  <c r="I76" i="3"/>
  <c r="I44" i="3"/>
  <c r="I37" i="3"/>
  <c r="I14" i="3"/>
  <c r="I43" i="3"/>
  <c r="I66" i="3"/>
  <c r="I4" i="3"/>
  <c r="I24" i="3"/>
  <c r="I19" i="3"/>
  <c r="I25" i="3"/>
  <c r="I54" i="3"/>
  <c r="I35" i="3"/>
  <c r="I26" i="3"/>
  <c r="I58" i="3"/>
  <c r="I79" i="3"/>
  <c r="I49" i="3"/>
  <c r="I5" i="3"/>
  <c r="I72" i="3"/>
  <c r="I23" i="3"/>
  <c r="I39" i="3"/>
  <c r="I51" i="3"/>
  <c r="I27" i="3"/>
  <c r="I67" i="3"/>
  <c r="I29" i="3"/>
  <c r="I21" i="3"/>
  <c r="I7" i="3"/>
  <c r="I84" i="3"/>
  <c r="I56" i="3"/>
  <c r="I17" i="3"/>
  <c r="I81" i="3"/>
  <c r="I73" i="3"/>
  <c r="I85" i="3"/>
  <c r="I69" i="3"/>
  <c r="I41" i="3"/>
  <c r="I59" i="3"/>
  <c r="I77" i="3"/>
  <c r="I98" i="3"/>
  <c r="I78" i="3"/>
  <c r="I20" i="3"/>
  <c r="I34" i="3"/>
  <c r="I68" i="3"/>
  <c r="I88" i="3"/>
  <c r="I83" i="3"/>
  <c r="I30" i="3"/>
  <c r="I28" i="3"/>
  <c r="I48" i="3"/>
  <c r="I74" i="3"/>
  <c r="I9" i="3"/>
  <c r="I53" i="3"/>
  <c r="I90" i="3"/>
  <c r="I36" i="3"/>
  <c r="I47" i="3"/>
  <c r="I31" i="3"/>
  <c r="I50" i="3"/>
  <c r="I61" i="3"/>
  <c r="I99" i="3"/>
  <c r="I22" i="3"/>
  <c r="I13" i="3"/>
  <c r="I86" i="3"/>
  <c r="I92" i="3"/>
  <c r="I97" i="3"/>
  <c r="I82" i="3"/>
  <c r="I95" i="3"/>
  <c r="I55" i="3"/>
  <c r="I100" i="3"/>
  <c r="I6" i="3"/>
  <c r="I87" i="3"/>
  <c r="AA4" i="4" l="1"/>
  <c r="Z5" i="4" s="1"/>
  <c r="AA35" i="4"/>
  <c r="AA5" i="4"/>
  <c r="Z6" i="4" s="1"/>
  <c r="AA6" i="4" s="1"/>
  <c r="Z7" i="4" s="1"/>
  <c r="AA39" i="4" s="1"/>
  <c r="AQ586" i="3"/>
  <c r="AQ1282" i="3"/>
  <c r="AQ779" i="3"/>
  <c r="AQ1530" i="3"/>
  <c r="AQ1065" i="3"/>
  <c r="AQ109" i="3"/>
  <c r="AQ249" i="3"/>
  <c r="AQ298" i="3"/>
  <c r="AQ436" i="3"/>
  <c r="AQ1598" i="3"/>
  <c r="AQ551" i="3"/>
  <c r="AQ254" i="3"/>
  <c r="AQ301" i="3"/>
  <c r="AQ618" i="3"/>
  <c r="AQ987" i="3"/>
  <c r="AQ1213" i="3"/>
  <c r="AQ1613" i="3"/>
  <c r="AQ469" i="3"/>
  <c r="AQ710" i="3"/>
  <c r="AQ79" i="3"/>
  <c r="AQ490" i="3"/>
  <c r="AQ375" i="3"/>
  <c r="AQ1499" i="3"/>
  <c r="AQ70" i="3"/>
  <c r="AQ180" i="3"/>
  <c r="AQ728" i="3"/>
  <c r="AQ1102" i="3"/>
  <c r="AQ394" i="3"/>
  <c r="AQ1619" i="3"/>
  <c r="AQ1479" i="3"/>
  <c r="AQ676" i="3"/>
  <c r="AQ1345" i="3"/>
  <c r="AQ378" i="3"/>
  <c r="AQ955" i="3"/>
  <c r="AQ1567" i="3"/>
  <c r="AQ1441" i="3"/>
  <c r="AQ435" i="3"/>
  <c r="AQ539" i="3"/>
  <c r="AQ1220" i="3"/>
  <c r="AQ742" i="3"/>
  <c r="AQ53" i="3"/>
  <c r="AQ1492" i="3"/>
  <c r="AQ69" i="3"/>
  <c r="AQ118" i="3"/>
  <c r="AQ684" i="3"/>
  <c r="AQ1483" i="3"/>
  <c r="AQ121" i="3"/>
  <c r="AQ829" i="3"/>
  <c r="AQ664" i="3"/>
  <c r="AQ84" i="3"/>
  <c r="AQ796" i="3"/>
  <c r="AQ1391" i="3"/>
  <c r="AQ612" i="3"/>
  <c r="AQ590" i="3"/>
  <c r="AQ1344" i="3"/>
  <c r="AQ1589" i="3"/>
  <c r="AQ1583" i="3"/>
  <c r="AQ1451" i="3"/>
  <c r="AQ1235" i="3"/>
  <c r="AQ311" i="3"/>
  <c r="AQ472" i="3"/>
  <c r="AQ491" i="3"/>
  <c r="AQ693" i="3"/>
  <c r="AQ67" i="3"/>
  <c r="AQ382" i="3"/>
  <c r="AQ1302" i="3"/>
  <c r="AQ759" i="3"/>
  <c r="AQ627" i="3"/>
  <c r="AQ510" i="3"/>
  <c r="AQ1210" i="3"/>
  <c r="AQ1027" i="3"/>
  <c r="AQ733" i="3"/>
  <c r="AQ494" i="3"/>
  <c r="AQ853" i="3"/>
  <c r="AQ246" i="3"/>
  <c r="AQ281" i="3"/>
  <c r="AQ746" i="3"/>
  <c r="AQ1625" i="3"/>
  <c r="AQ12" i="3"/>
  <c r="AQ703" i="3"/>
  <c r="AQ89" i="3"/>
  <c r="AQ220" i="3"/>
  <c r="AQ1208" i="3"/>
  <c r="AQ237" i="3"/>
  <c r="AQ1624" i="3"/>
  <c r="AQ1093" i="3"/>
  <c r="AQ1124" i="3"/>
  <c r="AQ433" i="3"/>
  <c r="AQ798" i="3"/>
  <c r="AQ1312" i="3"/>
  <c r="AQ819" i="3"/>
  <c r="AQ1590" i="3"/>
  <c r="AQ405" i="3"/>
  <c r="AQ926" i="3"/>
  <c r="AQ783" i="3"/>
  <c r="AQ561" i="3"/>
  <c r="AQ438" i="3"/>
  <c r="AQ160" i="3"/>
  <c r="AQ836" i="3"/>
  <c r="AQ16" i="3"/>
  <c r="AQ514" i="3"/>
  <c r="AQ1060" i="3"/>
  <c r="AQ669" i="3"/>
  <c r="AQ267" i="3"/>
  <c r="AQ1436" i="3"/>
  <c r="AQ614" i="3"/>
  <c r="AQ689" i="3"/>
  <c r="AQ177" i="3"/>
  <c r="AQ932" i="3"/>
  <c r="AQ576" i="3"/>
  <c r="AQ1611" i="3"/>
  <c r="AQ1068" i="3"/>
  <c r="AQ323" i="3"/>
  <c r="AQ1582" i="3"/>
  <c r="AQ287" i="3"/>
  <c r="AQ1311" i="3"/>
  <c r="AQ1490" i="3"/>
  <c r="AQ427" i="3"/>
  <c r="AQ871" i="3"/>
  <c r="AQ1000" i="3"/>
  <c r="AQ225" i="3"/>
  <c r="AQ1276" i="3"/>
  <c r="AQ1122" i="3"/>
  <c r="AQ596" i="3"/>
  <c r="AQ235" i="3"/>
  <c r="AQ1156" i="3"/>
  <c r="AQ292" i="3"/>
  <c r="AQ1272" i="3"/>
  <c r="AQ162" i="3"/>
  <c r="AQ1252" i="3"/>
  <c r="AQ1270" i="3"/>
  <c r="AQ1435" i="3"/>
  <c r="AQ565" i="3"/>
  <c r="AQ240" i="3"/>
  <c r="AQ605" i="3"/>
  <c r="AQ983" i="3"/>
  <c r="AQ701" i="3"/>
  <c r="AQ39" i="3"/>
  <c r="AQ789" i="3"/>
  <c r="AQ463" i="3"/>
  <c r="AQ85" i="3"/>
  <c r="AQ165" i="3"/>
  <c r="AQ150" i="3"/>
  <c r="AQ62" i="3"/>
  <c r="AQ430" i="3"/>
  <c r="AQ408" i="3"/>
  <c r="AQ665" i="3"/>
  <c r="AQ274" i="3"/>
  <c r="AQ1217" i="3"/>
  <c r="AQ1084" i="3"/>
  <c r="AQ422" i="3"/>
  <c r="AQ815" i="3"/>
  <c r="AQ270" i="3"/>
  <c r="AQ1577" i="3"/>
  <c r="AQ678" i="3"/>
  <c r="AQ874" i="3"/>
  <c r="AQ716" i="3"/>
  <c r="AQ677" i="3"/>
  <c r="AQ1519" i="3"/>
  <c r="AQ108" i="3"/>
  <c r="AQ1420" i="3"/>
  <c r="AQ867" i="3"/>
  <c r="AQ595" i="3"/>
  <c r="AQ567" i="3"/>
  <c r="AQ722" i="3"/>
  <c r="AQ1564" i="3"/>
  <c r="AQ218" i="3"/>
  <c r="AQ556" i="3"/>
  <c r="AQ202" i="3"/>
  <c r="AQ996" i="3"/>
  <c r="AQ518" i="3"/>
  <c r="AQ724" i="3"/>
  <c r="AQ349" i="3"/>
  <c r="AQ910" i="3"/>
  <c r="AQ708" i="3"/>
  <c r="AQ613" i="3"/>
  <c r="AQ1185" i="3"/>
  <c r="AQ169" i="3"/>
  <c r="AQ1411" i="3"/>
  <c r="AQ951" i="3"/>
  <c r="AQ727" i="3"/>
  <c r="AQ247" i="3"/>
  <c r="AQ329" i="3"/>
  <c r="AQ852" i="3"/>
  <c r="AQ464" i="3"/>
  <c r="AQ32" i="3"/>
  <c r="AQ358" i="3"/>
  <c r="AQ859" i="3"/>
  <c r="AQ888" i="3"/>
  <c r="AQ969" i="3"/>
  <c r="AQ308" i="3"/>
  <c r="AQ1257" i="3"/>
  <c r="AQ476" i="3"/>
  <c r="AQ1136" i="3"/>
  <c r="AQ404" i="3"/>
  <c r="AQ1037" i="3"/>
  <c r="AQ1467" i="3"/>
  <c r="AQ880" i="3"/>
  <c r="AQ922" i="3"/>
  <c r="AQ606" i="3"/>
  <c r="AQ1048" i="3"/>
  <c r="AQ1515" i="3"/>
  <c r="AQ1275" i="3"/>
  <c r="AQ1607" i="3"/>
  <c r="AQ212" i="3"/>
  <c r="AQ839" i="3"/>
  <c r="AQ975" i="3"/>
  <c r="AQ330" i="3"/>
  <c r="AQ1070" i="3"/>
  <c r="AQ93" i="3"/>
  <c r="AQ248" i="3"/>
  <c r="AQ553" i="3"/>
  <c r="AQ838" i="3"/>
  <c r="AQ1071" i="3"/>
  <c r="AQ956" i="3"/>
  <c r="AQ236" i="3"/>
  <c r="AQ903" i="3"/>
  <c r="AQ887" i="3"/>
  <c r="AQ1597" i="3"/>
  <c r="AQ535" i="3"/>
  <c r="AQ1439" i="3"/>
  <c r="AQ1501" i="3"/>
  <c r="AQ897" i="3"/>
  <c r="AQ261" i="3"/>
  <c r="AQ285" i="3"/>
  <c r="AQ1258" i="3"/>
  <c r="AQ894" i="3"/>
  <c r="AQ1426" i="3"/>
  <c r="AQ869" i="3"/>
  <c r="AQ1620" i="3"/>
  <c r="AQ1443" i="3"/>
  <c r="AQ683" i="3"/>
  <c r="AQ1494" i="3"/>
  <c r="AQ1214" i="3"/>
  <c r="AQ1387" i="3"/>
  <c r="AQ804" i="3"/>
  <c r="AQ957" i="3"/>
  <c r="AQ87" i="3"/>
  <c r="AQ243" i="3"/>
  <c r="AQ328" i="3"/>
  <c r="AQ1503" i="3"/>
  <c r="AQ1205" i="3"/>
  <c r="AQ59" i="3"/>
  <c r="AQ1516" i="3"/>
  <c r="AQ771" i="3"/>
  <c r="AQ1183" i="3"/>
  <c r="AQ954" i="3"/>
  <c r="AQ843" i="3"/>
  <c r="AQ626" i="3"/>
  <c r="AQ1592" i="3"/>
  <c r="AQ489" i="3"/>
  <c r="AQ1173" i="3"/>
  <c r="AQ757" i="3"/>
  <c r="AQ1431" i="3"/>
  <c r="AQ652" i="3"/>
  <c r="AQ1374" i="3"/>
  <c r="AQ495" i="3"/>
  <c r="AQ91" i="3"/>
  <c r="AQ863" i="3"/>
  <c r="AQ1269" i="3"/>
  <c r="AQ1581" i="3"/>
  <c r="AQ765" i="3"/>
  <c r="AQ1510" i="3"/>
  <c r="AQ1306" i="3"/>
  <c r="AQ966" i="3"/>
  <c r="AQ831" i="3"/>
  <c r="AQ563" i="3"/>
  <c r="AQ1470" i="3"/>
  <c r="AQ882" i="3"/>
  <c r="AQ1381" i="3"/>
  <c r="AQ401" i="3"/>
  <c r="AQ1147" i="3"/>
  <c r="AQ858" i="3"/>
  <c r="AQ656" i="3"/>
  <c r="AQ1553" i="3"/>
  <c r="AQ279" i="3"/>
  <c r="AQ1284" i="3"/>
  <c r="AQ111" i="3"/>
  <c r="AQ259" i="3"/>
  <c r="AQ455" i="3"/>
  <c r="AQ1181" i="3"/>
  <c r="AQ1460" i="3"/>
  <c r="AQ1576" i="3"/>
  <c r="AQ124" i="3"/>
  <c r="AQ1362" i="3"/>
  <c r="AQ1535" i="3"/>
  <c r="AQ973" i="3"/>
  <c r="AQ1334" i="3"/>
  <c r="AQ1262" i="3"/>
  <c r="AQ152" i="3"/>
  <c r="AQ1169" i="3"/>
  <c r="AQ44" i="3"/>
  <c r="AQ1236" i="3"/>
  <c r="AQ434" i="3"/>
  <c r="AQ1063" i="3"/>
  <c r="AQ1097" i="3"/>
  <c r="AQ499" i="3"/>
  <c r="AQ533" i="3"/>
  <c r="AQ306" i="3"/>
  <c r="AQ884" i="3"/>
  <c r="AQ1150" i="3"/>
  <c r="AQ161" i="3"/>
  <c r="AQ1193" i="3"/>
  <c r="AQ188" i="3"/>
  <c r="AQ1491" i="3"/>
  <c r="AQ917" i="3"/>
  <c r="AQ756" i="3"/>
  <c r="AQ1216" i="3"/>
  <c r="AQ139" i="3"/>
  <c r="AQ1584" i="3"/>
  <c r="AQ934" i="3"/>
  <c r="AQ222" i="3"/>
  <c r="AQ782" i="3"/>
  <c r="AQ531" i="3"/>
  <c r="AQ56" i="3"/>
  <c r="AQ1166" i="3"/>
  <c r="AQ878" i="3"/>
  <c r="AQ739" i="3"/>
  <c r="AQ214" i="3"/>
  <c r="AQ794" i="3"/>
  <c r="AQ96" i="3"/>
  <c r="AQ1523" i="3"/>
  <c r="AQ1046" i="3"/>
  <c r="AQ893" i="3"/>
  <c r="AQ720" i="3"/>
  <c r="AQ1348" i="3"/>
  <c r="AQ758" i="3"/>
  <c r="AQ1551" i="3"/>
  <c r="AQ1192" i="3"/>
  <c r="AQ483" i="3"/>
  <c r="AQ318" i="3"/>
  <c r="AQ1086" i="3"/>
  <c r="AQ1142" i="3"/>
  <c r="AQ1453" i="3"/>
  <c r="AQ1291" i="3"/>
  <c r="AQ1595" i="3"/>
  <c r="AQ200" i="3"/>
  <c r="AQ75" i="3"/>
  <c r="AQ1318" i="3"/>
  <c r="AQ1274" i="3"/>
  <c r="AQ820" i="3"/>
  <c r="AQ190" i="3"/>
  <c r="AQ972" i="3"/>
  <c r="AQ176" i="3"/>
  <c r="AQ1232" i="3"/>
  <c r="AQ305" i="3"/>
  <c r="AQ1475" i="3"/>
  <c r="AQ594" i="3"/>
  <c r="AQ199" i="3"/>
  <c r="AQ1051" i="3"/>
  <c r="AQ226" i="3"/>
  <c r="AQ296" i="3"/>
  <c r="AQ232" i="3"/>
  <c r="AQ48" i="3"/>
  <c r="AQ462" i="3"/>
  <c r="AQ899" i="3"/>
  <c r="AQ1322" i="3"/>
  <c r="AQ1005" i="3"/>
  <c r="AQ713" i="3"/>
  <c r="AQ332" i="3"/>
  <c r="AQ399" i="3"/>
  <c r="AQ460" i="3"/>
  <c r="AQ620" i="3"/>
  <c r="AQ1526" i="3"/>
  <c r="AQ814" i="3"/>
  <c r="AQ528" i="3"/>
  <c r="AQ1320" i="3"/>
  <c r="AQ148" i="3"/>
  <c r="AQ26" i="3"/>
  <c r="AQ846" i="3"/>
  <c r="AQ1188" i="3"/>
  <c r="AQ687" i="3"/>
  <c r="AQ940" i="3"/>
  <c r="AQ671" i="3"/>
  <c r="AQ1336" i="3"/>
  <c r="AQ258" i="3"/>
  <c r="AQ275" i="3"/>
  <c r="AQ337" i="3"/>
  <c r="AQ384" i="3"/>
  <c r="AQ54" i="3"/>
  <c r="AQ723" i="3"/>
  <c r="AQ646" i="3"/>
  <c r="AQ1471" i="3"/>
  <c r="AQ1012" i="3"/>
  <c r="AQ1434" i="3"/>
  <c r="AQ170" i="3"/>
  <c r="AQ65" i="3"/>
  <c r="AQ797" i="3"/>
  <c r="AQ4" i="3"/>
  <c r="AQ1565" i="3"/>
  <c r="AQ1432" i="3"/>
  <c r="AQ1380" i="3"/>
  <c r="AQ153" i="3"/>
  <c r="AQ1103" i="3"/>
  <c r="AQ1031" i="3"/>
  <c r="AQ252" i="3"/>
  <c r="AQ530" i="3"/>
  <c r="AQ106" i="3"/>
  <c r="AQ1350" i="3"/>
  <c r="AQ1488" i="3"/>
  <c r="AQ943" i="3"/>
  <c r="AQ1416" i="3"/>
  <c r="AQ1406" i="3"/>
  <c r="AQ73" i="3"/>
  <c r="AQ1505" i="3"/>
  <c r="AQ1264" i="3"/>
  <c r="AQ45" i="3"/>
  <c r="AQ1140" i="3"/>
  <c r="AQ442" i="3"/>
  <c r="AQ1105" i="3"/>
  <c r="AQ552" i="3"/>
  <c r="AQ1025" i="3"/>
  <c r="AQ550" i="3"/>
  <c r="AQ905" i="3"/>
  <c r="AQ1378" i="3"/>
  <c r="AQ542" i="3"/>
  <c r="AQ755" i="3"/>
  <c r="AQ534" i="3"/>
  <c r="AQ1268" i="3"/>
  <c r="AQ410" i="3"/>
  <c r="AQ115" i="3"/>
  <c r="AQ1157" i="3"/>
  <c r="AQ203" i="3"/>
  <c r="AQ812" i="3"/>
  <c r="AQ72" i="3"/>
  <c r="AQ580" i="3"/>
  <c r="AQ122" i="3"/>
  <c r="AQ1506" i="3"/>
  <c r="AQ712" i="3"/>
  <c r="AQ861" i="3"/>
  <c r="AQ154" i="3"/>
  <c r="AQ543" i="3"/>
  <c r="AQ840" i="3"/>
  <c r="AQ1186" i="3"/>
  <c r="AQ1030" i="3"/>
  <c r="AQ503" i="3"/>
  <c r="AQ697" i="3"/>
  <c r="AQ1508" i="3"/>
  <c r="AQ425" i="3"/>
  <c r="AQ719" i="3"/>
  <c r="AQ968" i="3"/>
  <c r="AQ629" i="3"/>
  <c r="AQ513" i="3"/>
  <c r="AQ1015" i="3"/>
  <c r="AQ446" i="3"/>
  <c r="AQ343" i="3"/>
  <c r="AQ441" i="3"/>
  <c r="AQ1339" i="3"/>
  <c r="AQ453" i="3"/>
  <c r="AQ541" i="3"/>
  <c r="AQ729" i="3"/>
  <c r="AQ824" i="3"/>
  <c r="AQ906" i="3"/>
  <c r="AQ424" i="3"/>
  <c r="AQ936" i="3"/>
  <c r="AQ599" i="3"/>
  <c r="AQ132" i="3"/>
  <c r="AQ1463" i="3"/>
  <c r="AQ547" i="3"/>
  <c r="AQ18" i="3"/>
  <c r="AQ1419" i="3"/>
  <c r="AQ821" i="3"/>
  <c r="AQ475" i="3"/>
  <c r="AQ159" i="3"/>
  <c r="AQ1360" i="3"/>
  <c r="AQ1509" i="3"/>
  <c r="AQ211" i="3"/>
  <c r="AQ632" i="3"/>
  <c r="AQ896" i="3"/>
  <c r="AQ144" i="3"/>
  <c r="AQ1389" i="3"/>
  <c r="AQ832" i="3"/>
  <c r="AQ886" i="3"/>
  <c r="AQ423" i="3"/>
  <c r="AQ98" i="3"/>
  <c r="AQ960" i="3"/>
  <c r="AQ889" i="3"/>
  <c r="AQ913" i="3"/>
  <c r="AQ1059" i="3"/>
  <c r="AQ1356" i="3"/>
  <c r="AQ1317" i="3"/>
  <c r="AQ1418" i="3"/>
  <c r="AQ611" i="3"/>
  <c r="AQ1340" i="3"/>
  <c r="AQ1092" i="3"/>
  <c r="AQ340" i="3"/>
  <c r="AQ444" i="3"/>
  <c r="AQ1610" i="3"/>
  <c r="AQ1531" i="3"/>
  <c r="AQ1401" i="3"/>
  <c r="AQ555" i="3"/>
  <c r="AQ322" i="3"/>
  <c r="AQ471" i="3"/>
  <c r="AQ1330" i="3"/>
  <c r="AQ467" i="3"/>
  <c r="AQ210" i="3"/>
  <c r="AQ1544" i="3"/>
  <c r="AQ1347" i="3"/>
  <c r="AQ1594" i="3"/>
  <c r="AQ452" i="3"/>
  <c r="AQ1600" i="3"/>
  <c r="AQ1029" i="3"/>
  <c r="AQ1056" i="3"/>
  <c r="AQ1529" i="3"/>
  <c r="AQ1149" i="3"/>
  <c r="AQ833" i="3"/>
  <c r="AQ1195" i="3"/>
  <c r="AQ1363" i="3"/>
  <c r="AQ21" i="3"/>
  <c r="AQ1321" i="3"/>
  <c r="AQ1485" i="3"/>
  <c r="AQ1211" i="3"/>
  <c r="AQ1301" i="3"/>
  <c r="AQ437" i="3"/>
  <c r="AQ1628" i="3"/>
  <c r="AQ342" i="3"/>
  <c r="AQ691" i="3"/>
  <c r="AQ36" i="3"/>
  <c r="AQ694" i="3"/>
  <c r="AQ1513" i="3"/>
  <c r="AQ1240" i="3"/>
  <c r="AQ688" i="3"/>
  <c r="AQ1242" i="3"/>
  <c r="AQ1524" i="3"/>
  <c r="AQ938" i="3"/>
  <c r="AQ1438" i="3"/>
  <c r="AQ398" i="3"/>
  <c r="AQ810" i="3"/>
  <c r="AQ426" i="3"/>
  <c r="AQ1404" i="3"/>
  <c r="AQ1229" i="3"/>
  <c r="AQ208" i="3"/>
  <c r="AQ371" i="3"/>
  <c r="AQ802" i="3"/>
  <c r="AQ588" i="3"/>
  <c r="AQ679" i="3"/>
  <c r="AQ949" i="3"/>
  <c r="AQ879" i="3"/>
  <c r="AQ1223" i="3"/>
  <c r="AQ602" i="3"/>
  <c r="AQ1161" i="3"/>
  <c r="AQ1168" i="3"/>
  <c r="AQ1246" i="3"/>
  <c r="AQ1333" i="3"/>
  <c r="AQ83" i="3"/>
  <c r="AQ876" i="3"/>
  <c r="AQ569" i="3"/>
  <c r="AQ1189" i="3"/>
  <c r="AQ1425" i="3"/>
  <c r="AQ1064" i="3"/>
  <c r="AQ950" i="3"/>
  <c r="AQ389" i="3"/>
  <c r="AQ1588" i="3"/>
  <c r="AQ1178" i="3"/>
  <c r="AQ862" i="3"/>
  <c r="AQ1343" i="3"/>
  <c r="AQ1085" i="3"/>
  <c r="AQ865" i="3"/>
  <c r="AQ864" i="3"/>
  <c r="AQ353" i="3"/>
  <c r="AQ937" i="3"/>
  <c r="AQ1370" i="3"/>
  <c r="AQ900" i="3"/>
  <c r="AQ1376" i="3"/>
  <c r="AQ1288" i="3"/>
  <c r="AQ523" i="3"/>
  <c r="AQ333" i="3"/>
  <c r="AQ854" i="3"/>
  <c r="AQ341" i="3"/>
  <c r="AQ655" i="3"/>
  <c r="AQ1575" i="3"/>
  <c r="AQ1410" i="3"/>
  <c r="AQ1112" i="3"/>
  <c r="AQ744" i="3"/>
  <c r="AQ597" i="3"/>
  <c r="AQ1298" i="3"/>
  <c r="AQ923" i="3"/>
  <c r="AQ1397" i="3"/>
  <c r="AQ690" i="3"/>
  <c r="AQ1146" i="3"/>
  <c r="AQ1133" i="3"/>
  <c r="AQ870" i="3"/>
  <c r="AQ205" i="3"/>
  <c r="AQ1614" i="3"/>
  <c r="AQ1468" i="3"/>
  <c r="AQ1632" i="3"/>
  <c r="AQ1603" i="3"/>
  <c r="AQ856" i="3"/>
  <c r="AQ68" i="3"/>
  <c r="AQ1100" i="3"/>
  <c r="AQ704" i="3"/>
  <c r="AQ1399" i="3"/>
  <c r="AQ278" i="3"/>
  <c r="AQ546" i="3"/>
  <c r="AQ116" i="3"/>
  <c r="AQ604" i="3"/>
  <c r="AQ447" i="3"/>
  <c r="AQ480" i="3"/>
  <c r="AQ407" i="3"/>
  <c r="AQ363" i="3"/>
  <c r="AQ1487" i="3"/>
  <c r="AQ608" i="3"/>
  <c r="AQ1572" i="3"/>
  <c r="AQ607" i="3"/>
  <c r="AQ1569" i="3"/>
  <c r="AQ129" i="3"/>
  <c r="AQ102" i="3"/>
  <c r="AQ1571" i="3"/>
  <c r="AQ172" i="3"/>
  <c r="AQ223" i="3"/>
  <c r="AQ1061" i="3"/>
  <c r="AQ1260" i="3"/>
  <c r="AQ95" i="3"/>
  <c r="AQ1332" i="3"/>
  <c r="AQ1552" i="3"/>
  <c r="AQ1497" i="3"/>
  <c r="AQ17" i="3"/>
  <c r="AQ848" i="3"/>
  <c r="AQ1218" i="3"/>
  <c r="AQ383" i="3"/>
  <c r="AQ1385" i="3"/>
  <c r="AQ1445" i="3"/>
  <c r="AQ272" i="3"/>
  <c r="AQ47" i="3"/>
  <c r="AQ1319" i="3"/>
  <c r="AQ282" i="3"/>
  <c r="AQ686" i="3"/>
  <c r="AQ1587" i="3"/>
  <c r="AQ718" i="3"/>
  <c r="AQ658" i="3"/>
  <c r="AQ667" i="3"/>
  <c r="AQ944" i="3"/>
  <c r="AQ715" i="3"/>
  <c r="AQ1561" i="3"/>
  <c r="AQ830" i="3"/>
  <c r="AQ1293" i="3"/>
  <c r="AQ1578" i="3"/>
  <c r="AQ158" i="3"/>
  <c r="AQ907" i="3"/>
  <c r="AQ456" i="3"/>
  <c r="AQ985" i="3"/>
  <c r="AQ1631" i="3"/>
  <c r="AQ929" i="3"/>
  <c r="AQ1296" i="3"/>
  <c r="AQ545" i="3"/>
  <c r="AQ1580" i="3"/>
  <c r="AQ23" i="3"/>
  <c r="AQ1612" i="3"/>
  <c r="AQ520" i="3"/>
  <c r="AQ1604" i="3"/>
  <c r="AQ1390" i="3"/>
  <c r="AQ920" i="3"/>
  <c r="AQ100" i="3"/>
  <c r="AQ625" i="3"/>
  <c r="AQ1108" i="3"/>
  <c r="AQ395" i="3"/>
  <c r="AQ1315" i="3"/>
  <c r="AQ1089" i="3"/>
  <c r="AQ459" i="3"/>
  <c r="AQ179" i="3"/>
  <c r="AQ559" i="3"/>
  <c r="AQ186" i="3"/>
  <c r="AQ339" i="3"/>
  <c r="AQ1052" i="3"/>
  <c r="AQ357" i="3"/>
  <c r="AQ641" i="3"/>
  <c r="AQ915" i="3"/>
  <c r="AQ1116" i="3"/>
  <c r="AQ1032" i="3"/>
  <c r="AQ409" i="3"/>
  <c r="AQ1069" i="3"/>
  <c r="AQ451" i="3"/>
  <c r="AQ103" i="3"/>
  <c r="AQ250" i="3"/>
  <c r="AQ731" i="3"/>
  <c r="AQ1139" i="3"/>
  <c r="AQ1424" i="3"/>
  <c r="AQ967" i="3"/>
  <c r="AQ885" i="3"/>
  <c r="AQ400" i="3"/>
  <c r="AQ234" i="3"/>
  <c r="AQ315" i="3"/>
  <c r="AQ492" i="3"/>
  <c r="AQ630" i="3"/>
  <c r="AQ711" i="3"/>
  <c r="AQ372" i="3"/>
  <c r="AQ1415" i="3"/>
  <c r="AQ432" i="3"/>
  <c r="AQ1135" i="3"/>
  <c r="AQ790" i="3"/>
  <c r="AQ945" i="3"/>
  <c r="AQ1076" i="3"/>
  <c r="AQ1125" i="3"/>
  <c r="AQ364" i="3"/>
  <c r="AQ855" i="3"/>
  <c r="AQ31" i="3"/>
  <c r="AQ1011" i="3"/>
  <c r="AQ1230" i="3"/>
  <c r="AQ58" i="3"/>
  <c r="AQ593" i="3"/>
  <c r="AQ860" i="3"/>
  <c r="AQ1049" i="3"/>
  <c r="AQ266" i="3"/>
  <c r="AQ1200" i="3"/>
  <c r="AQ273" i="3"/>
  <c r="AQ1082" i="3"/>
  <c r="AQ168" i="3"/>
  <c r="AQ368" i="3"/>
  <c r="AQ775" i="3"/>
  <c r="AQ799" i="3"/>
  <c r="AQ11" i="3"/>
  <c r="AQ113" i="3"/>
  <c r="AQ851" i="3"/>
  <c r="AQ1354" i="3"/>
  <c r="AQ189" i="3"/>
  <c r="AQ1224" i="3"/>
  <c r="AQ49" i="3"/>
  <c r="AQ283" i="3"/>
  <c r="AQ178" i="3"/>
  <c r="AQ19" i="3"/>
  <c r="AQ46" i="3"/>
  <c r="AQ1324" i="3"/>
  <c r="AQ809" i="3"/>
  <c r="AQ1472" i="3"/>
  <c r="AQ1447" i="3"/>
  <c r="AQ1221" i="3"/>
  <c r="AQ1359" i="3"/>
  <c r="AQ1117" i="3"/>
  <c r="AQ680" i="3"/>
  <c r="AQ1328" i="3"/>
  <c r="AQ657" i="3"/>
  <c r="AQ577" i="3"/>
  <c r="AQ295" i="3"/>
  <c r="AQ849" i="3"/>
  <c r="AQ256" i="3"/>
  <c r="AQ1101" i="3"/>
  <c r="AQ1170" i="3"/>
  <c r="AQ458" i="3"/>
  <c r="AQ1549" i="3"/>
  <c r="AQ204" i="3"/>
  <c r="AQ989" i="3"/>
  <c r="AQ478" i="3"/>
  <c r="AQ1518" i="3"/>
  <c r="AQ1408" i="3"/>
  <c r="AQ747" i="3"/>
  <c r="AQ1035" i="3"/>
  <c r="AQ717" i="3"/>
  <c r="AQ988" i="3"/>
  <c r="AQ1081" i="3"/>
  <c r="AQ1038" i="3"/>
  <c r="AQ1422" i="3"/>
  <c r="AQ493" i="3"/>
  <c r="AQ167" i="3"/>
  <c r="AQ1502" i="3"/>
  <c r="AQ412" i="3"/>
  <c r="AQ1198" i="3"/>
  <c r="AQ500" i="3"/>
  <c r="AQ443" i="3"/>
  <c r="AQ735" i="3"/>
  <c r="AQ763" i="3"/>
  <c r="AQ418" i="3"/>
  <c r="AQ1547" i="3"/>
  <c r="AQ1066" i="3"/>
  <c r="AQ227" i="3"/>
  <c r="AQ845" i="3"/>
  <c r="AQ1527" i="3"/>
  <c r="AQ509" i="3"/>
  <c r="AQ745" i="3"/>
  <c r="AQ1402" i="3"/>
  <c r="AQ993" i="3"/>
  <c r="AQ421" i="3"/>
  <c r="AQ700" i="3"/>
  <c r="AQ1087" i="3"/>
  <c r="AQ245" i="3"/>
  <c r="AQ1486" i="3"/>
  <c r="AQ1481" i="3"/>
  <c r="AQ707" i="3"/>
  <c r="AQ136" i="3"/>
  <c r="AQ1212" i="3"/>
  <c r="AQ457" i="3"/>
  <c r="AQ1248" i="3"/>
  <c r="AQ963" i="3"/>
  <c r="AQ1540" i="3"/>
  <c r="AQ1261" i="3"/>
  <c r="AQ971" i="3"/>
  <c r="AQ82" i="3"/>
  <c r="AQ365" i="3"/>
  <c r="AQ642" i="3"/>
  <c r="AQ1388" i="3"/>
  <c r="AQ1444" i="3"/>
  <c r="AQ1522" i="3"/>
  <c r="AQ916" i="3"/>
  <c r="AQ835" i="3"/>
  <c r="AQ1394" i="3"/>
  <c r="AQ1543" i="3"/>
  <c r="AQ485" i="3"/>
  <c r="AQ1263" i="3"/>
  <c r="AQ872" i="3"/>
  <c r="AQ1244" i="3"/>
  <c r="AQ1539" i="3"/>
  <c r="AQ1512" i="3"/>
  <c r="AQ1009" i="3"/>
  <c r="AQ1400" i="3"/>
  <c r="AQ1137" i="3"/>
  <c r="AQ726" i="3"/>
  <c r="AQ554" i="3"/>
  <c r="AQ1033" i="3"/>
  <c r="AQ959" i="3"/>
  <c r="AQ1008" i="3"/>
  <c r="AQ1338" i="3"/>
  <c r="AQ991" i="3"/>
  <c r="AQ1437" i="3"/>
  <c r="AQ392" i="3"/>
  <c r="AQ1197" i="3"/>
  <c r="AQ1129" i="3"/>
  <c r="AQ1305" i="3"/>
  <c r="AQ164" i="3"/>
  <c r="AQ1028" i="3"/>
  <c r="AQ587" i="3"/>
  <c r="AQ633" i="3"/>
  <c r="AQ454" i="3"/>
  <c r="AQ1514" i="3"/>
  <c r="AQ1174" i="3"/>
  <c r="AQ391" i="3"/>
  <c r="AQ1605" i="3"/>
  <c r="AQ628" i="3"/>
  <c r="AQ895" i="3"/>
  <c r="AQ1477" i="3"/>
  <c r="AQ904" i="3"/>
  <c r="AQ532" i="3"/>
  <c r="AQ650" i="3"/>
  <c r="AQ749" i="3"/>
  <c r="AQ1629" i="3"/>
  <c r="AQ653" i="3"/>
  <c r="AQ1427" i="3"/>
  <c r="AQ635" i="3"/>
  <c r="AQ866" i="3"/>
  <c r="AQ1088" i="3"/>
  <c r="AQ1007" i="3"/>
  <c r="AQ1194" i="3"/>
  <c r="AQ506" i="3"/>
  <c r="AQ1182" i="3"/>
  <c r="AQ27" i="3"/>
  <c r="AQ575" i="3"/>
  <c r="AQ253" i="3"/>
  <c r="AQ397" i="3"/>
  <c r="AQ20" i="3"/>
  <c r="AQ1403" i="3"/>
  <c r="AQ1379" i="3"/>
  <c r="AQ319" i="3"/>
  <c r="AQ1099" i="3"/>
  <c r="AQ163" i="3"/>
  <c r="AQ977" i="3"/>
  <c r="AQ1448" i="3"/>
  <c r="AQ312" i="3"/>
  <c r="AQ891" i="3"/>
  <c r="AQ522" i="3"/>
  <c r="AQ1384" i="3"/>
  <c r="AQ338" i="3"/>
  <c r="AQ970" i="3"/>
  <c r="AQ1190" i="3"/>
  <c r="AQ918" i="3"/>
  <c r="AQ1429" i="3"/>
  <c r="AQ1241" i="3"/>
  <c r="AQ685" i="3"/>
  <c r="AQ126" i="3"/>
  <c r="AQ120" i="3"/>
  <c r="AQ1537" i="3"/>
  <c r="AQ525" i="3"/>
  <c r="AQ992" i="3"/>
  <c r="AQ560" i="3"/>
  <c r="AQ355" i="3"/>
  <c r="AQ1358" i="3"/>
  <c r="AQ484" i="3"/>
  <c r="AQ381" i="3"/>
  <c r="AQ388" i="3"/>
  <c r="AQ730" i="3"/>
  <c r="AQ359" i="3"/>
  <c r="AQ174" i="3"/>
  <c r="AQ795" i="3"/>
  <c r="AQ1353" i="3"/>
  <c r="AQ589" i="3"/>
  <c r="AQ1154" i="3"/>
  <c r="AQ504" i="3"/>
  <c r="AQ619" i="3"/>
  <c r="AQ487" i="3"/>
  <c r="AQ354" i="3"/>
  <c r="AQ411" i="3"/>
  <c r="AQ1627" i="3"/>
  <c r="AQ1478" i="3"/>
  <c r="AQ173" i="3"/>
  <c r="AQ1179" i="3"/>
  <c r="AQ1383" i="3"/>
  <c r="AQ1325" i="3"/>
  <c r="AQ76" i="3"/>
  <c r="AQ1440" i="3"/>
  <c r="AQ1041" i="3"/>
  <c r="AQ754" i="3"/>
  <c r="AQ1155" i="3"/>
  <c r="AQ420" i="3"/>
  <c r="AQ74" i="3"/>
  <c r="AQ808" i="3"/>
  <c r="AQ743" i="3"/>
  <c r="AQ195" i="3"/>
  <c r="AQ64" i="3"/>
  <c r="AQ1010" i="3"/>
  <c r="AQ57" i="3"/>
  <c r="AQ147" i="3"/>
  <c r="AQ1449" i="3"/>
  <c r="AQ1541" i="3"/>
  <c r="AQ1227" i="3"/>
  <c r="AQ233" i="3"/>
  <c r="AQ817" i="3"/>
  <c r="AQ1115" i="3"/>
  <c r="AQ101" i="3"/>
  <c r="AQ978" i="3"/>
  <c r="AQ1566" i="3"/>
  <c r="AQ52" i="3"/>
  <c r="AQ1341" i="3"/>
  <c r="AQ1452" i="3"/>
  <c r="AQ568" i="3"/>
  <c r="AQ24" i="3"/>
  <c r="AQ1177" i="3"/>
  <c r="AQ521" i="3"/>
  <c r="AQ1504" i="3"/>
  <c r="AQ461" i="3"/>
  <c r="AQ414" i="3"/>
  <c r="AQ660" i="3"/>
  <c r="AQ206" i="3"/>
  <c r="AQ41" i="3"/>
  <c r="AQ924" i="3"/>
  <c r="AQ440" i="3"/>
  <c r="AQ1459" i="3"/>
  <c r="AQ1346" i="3"/>
  <c r="AQ515" i="3"/>
  <c r="AQ260" i="3"/>
  <c r="AQ1563" i="3"/>
  <c r="AQ772" i="3"/>
  <c r="AQ979" i="3"/>
  <c r="AQ92" i="3"/>
  <c r="AQ1273" i="3"/>
  <c r="AQ807" i="3"/>
  <c r="AQ921" i="3"/>
  <c r="AQ524" i="3"/>
  <c r="AQ928" i="3"/>
  <c r="AQ1586" i="3"/>
  <c r="AQ615" i="3"/>
  <c r="AQ157" i="3"/>
  <c r="AQ1520" i="3"/>
  <c r="AQ1464" i="3"/>
  <c r="AQ1111" i="3"/>
  <c r="AQ1337" i="3"/>
  <c r="AQ473" i="3"/>
  <c r="AQ1255" i="3"/>
  <c r="AQ965" i="3"/>
  <c r="AQ1355" i="3"/>
  <c r="AQ649" i="3"/>
  <c r="AQ1386" i="3"/>
  <c r="AQ1094" i="3"/>
  <c r="AQ114" i="3"/>
  <c r="AQ1462" i="3"/>
  <c r="AQ516" i="3"/>
  <c r="AQ573" i="3"/>
  <c r="AQ77" i="3"/>
  <c r="AQ117" i="3"/>
  <c r="AQ1239" i="3"/>
  <c r="AQ1458" i="3"/>
  <c r="AQ931" i="3"/>
  <c r="AQ110" i="3"/>
  <c r="AQ1368" i="3"/>
  <c r="AQ591" i="3"/>
  <c r="AQ1265" i="3"/>
  <c r="AQ1560" i="3"/>
  <c r="AQ1078" i="3"/>
  <c r="AQ143" i="3"/>
  <c r="AQ1238" i="3"/>
  <c r="AQ1357" i="3"/>
  <c r="AQ636" i="3"/>
  <c r="AQ14" i="3"/>
  <c r="AQ1461" i="3"/>
  <c r="AQ413" i="3"/>
  <c r="AQ1215" i="3"/>
  <c r="AQ302" i="3"/>
  <c r="AQ645" i="3"/>
  <c r="AQ86" i="3"/>
  <c r="AQ191" i="3"/>
  <c r="AQ1573" i="3"/>
  <c r="AQ335" i="3"/>
  <c r="AQ668" i="3"/>
  <c r="AQ78" i="3"/>
  <c r="AQ1407" i="3"/>
  <c r="AQ825" i="3"/>
  <c r="AQ699" i="3"/>
  <c r="AQ51" i="3"/>
  <c r="AQ670" i="3"/>
  <c r="AQ486" i="3"/>
  <c r="AQ1175" i="3"/>
  <c r="AQ1267" i="3"/>
  <c r="AQ1083" i="3"/>
  <c r="AQ1075" i="3"/>
  <c r="AQ183" i="3"/>
  <c r="AQ661" i="3"/>
  <c r="AQ1123" i="3"/>
  <c r="AQ416" i="3"/>
  <c r="AQ1316" i="3"/>
  <c r="AQ50" i="3"/>
  <c r="AQ1307" i="3"/>
  <c r="AQ334" i="3"/>
  <c r="AQ88" i="3"/>
  <c r="AQ740" i="3"/>
  <c r="AQ736" i="3"/>
  <c r="AQ1495" i="3"/>
  <c r="AQ377" i="3"/>
  <c r="AQ42" i="3"/>
  <c r="AQ1234" i="3"/>
  <c r="AQ498" i="3"/>
  <c r="AQ873" i="3"/>
  <c r="AQ644" i="3"/>
  <c r="AQ624" i="3"/>
  <c r="AQ1372" i="3"/>
  <c r="AQ231" i="3"/>
  <c r="AQ194" i="3"/>
  <c r="AQ300" i="3"/>
  <c r="AQ1454" i="3"/>
  <c r="AQ466" i="3"/>
  <c r="AQ497" i="3"/>
  <c r="AQ105" i="3"/>
  <c r="AQ80" i="3"/>
  <c r="AQ1176" i="3"/>
  <c r="AQ309" i="3"/>
  <c r="AQ1187" i="3"/>
  <c r="AQ801" i="3"/>
  <c r="AQ1593" i="3"/>
  <c r="AQ239" i="3"/>
  <c r="AQ601" i="3"/>
  <c r="AQ527" i="3"/>
  <c r="AQ1266" i="3"/>
  <c r="AQ1285" i="3"/>
  <c r="AQ638" i="3"/>
  <c r="AQ502" i="3"/>
  <c r="AQ1058" i="3"/>
  <c r="AQ1023" i="3"/>
  <c r="AQ600" i="3"/>
  <c r="AQ1533" i="3"/>
  <c r="AQ1371" i="3"/>
  <c r="AQ216" i="3"/>
  <c r="AQ269" i="3"/>
  <c r="AQ1074" i="3"/>
  <c r="AQ1457" i="3"/>
  <c r="AQ1249" i="3"/>
  <c r="AQ562" i="3"/>
  <c r="AQ1507" i="3"/>
  <c r="AQ776" i="3"/>
  <c r="AQ119" i="3"/>
  <c r="AQ15" i="3"/>
  <c r="AQ1622" i="3"/>
  <c r="AQ1574" i="3"/>
  <c r="AQ1079" i="3"/>
  <c r="AQ1018" i="3"/>
  <c r="AQ1134" i="3"/>
  <c r="AQ898" i="3"/>
  <c r="AQ310" i="3"/>
  <c r="AQ1599" i="3"/>
  <c r="AQ128" i="3"/>
  <c r="AQ1006" i="3"/>
  <c r="AQ356" i="3"/>
  <c r="AQ572" i="3"/>
  <c r="AQ1428" i="3"/>
  <c r="AQ244" i="3"/>
  <c r="AQ1450" i="3"/>
  <c r="AQ465" i="3"/>
  <c r="AQ320" i="3"/>
  <c r="AQ999" i="3"/>
  <c r="AQ603" i="3"/>
  <c r="AQ1158" i="3"/>
  <c r="AQ181" i="3"/>
  <c r="AQ482" i="3"/>
  <c r="AQ1484" i="3"/>
  <c r="AQ725" i="3"/>
  <c r="AQ788" i="3"/>
  <c r="AQ946" i="3"/>
  <c r="AQ380" i="3"/>
  <c r="AQ692" i="3"/>
  <c r="AQ998" i="3"/>
  <c r="AQ1128" i="3"/>
  <c r="AQ450" i="3"/>
  <c r="AQ1392" i="3"/>
  <c r="AQ268" i="3"/>
  <c r="AQ1247" i="3"/>
  <c r="AQ549" i="3"/>
  <c r="AQ617" i="3"/>
  <c r="AQ1361" i="3"/>
  <c r="AQ346" i="3"/>
  <c r="AQ803" i="3"/>
  <c r="AQ137" i="3"/>
  <c r="AQ8" i="3"/>
  <c r="AQ1521" i="3"/>
  <c r="AQ1022" i="3"/>
  <c r="AQ822" i="3"/>
  <c r="AQ1024" i="3"/>
  <c r="AQ224" i="3"/>
  <c r="AQ995" i="3"/>
  <c r="AQ1297" i="3"/>
  <c r="AQ131" i="3"/>
  <c r="AQ847" i="3"/>
  <c r="AQ1482" i="3"/>
  <c r="AQ125" i="3"/>
  <c r="AQ313" i="3"/>
  <c r="AQ583" i="3"/>
  <c r="AQ1013" i="3"/>
  <c r="AQ37" i="3"/>
  <c r="AQ507" i="3"/>
  <c r="AQ1409" i="3"/>
  <c r="AQ307" i="3"/>
  <c r="AQ695" i="3"/>
  <c r="AQ1256" i="3"/>
  <c r="AQ1534" i="3"/>
  <c r="AQ6" i="3"/>
  <c r="AQ1417" i="3"/>
  <c r="AQ1609" i="3"/>
  <c r="AQ1138" i="3"/>
  <c r="AQ1237" i="3"/>
  <c r="AQ1039" i="3"/>
  <c r="AQ738" i="3"/>
  <c r="AQ748" i="3"/>
  <c r="AQ1615" i="3"/>
  <c r="AQ637" i="3"/>
  <c r="AQ753" i="3"/>
  <c r="AQ1413" i="3"/>
  <c r="AQ1045" i="3"/>
  <c r="AQ952" i="3"/>
  <c r="AQ826" i="3"/>
  <c r="AQ610" i="3"/>
  <c r="AQ151" i="3"/>
  <c r="AQ674" i="3"/>
  <c r="AQ1120" i="3"/>
  <c r="AQ1090" i="3"/>
  <c r="AQ63" i="3"/>
  <c r="AQ1148" i="3"/>
  <c r="AQ213" i="3"/>
  <c r="AQ890" i="3"/>
  <c r="AQ1167" i="3"/>
  <c r="AQ171" i="3"/>
  <c r="AQ1536" i="3"/>
  <c r="AQ445" i="3"/>
  <c r="AQ1373" i="3"/>
  <c r="AQ816" i="3"/>
  <c r="AQ857" i="3"/>
  <c r="AQ1080" i="3"/>
  <c r="AQ964" i="3"/>
  <c r="AQ1532" i="3"/>
  <c r="AQ806" i="3"/>
  <c r="AQ1077" i="3"/>
  <c r="AQ370" i="3"/>
  <c r="AQ1203" i="3"/>
  <c r="AQ1199" i="3"/>
  <c r="AQ1159" i="3"/>
  <c r="AQ81" i="3"/>
  <c r="AQ827" i="3"/>
  <c r="AQ631" i="3"/>
  <c r="AQ1585" i="3"/>
  <c r="AQ1313" i="3"/>
  <c r="AQ1621" i="3"/>
  <c r="AQ1308" i="3"/>
  <c r="AQ221" i="3"/>
  <c r="AQ1323" i="3"/>
  <c r="AQ682" i="3"/>
  <c r="AQ30" i="3"/>
  <c r="AQ781" i="3"/>
  <c r="AQ761" i="3"/>
  <c r="AQ28" i="3"/>
  <c r="AQ1349" i="3"/>
  <c r="AQ317" i="3"/>
  <c r="AQ643" i="3"/>
  <c r="AQ787" i="3"/>
  <c r="AQ976" i="3"/>
  <c r="AQ3" i="3"/>
  <c r="AQ706" i="3"/>
  <c r="AQ1469" i="3"/>
  <c r="AQ1253" i="3"/>
  <c r="AQ791" i="3"/>
  <c r="AQ104" i="3"/>
  <c r="AQ1455" i="3"/>
  <c r="AQ1511" i="3"/>
  <c r="AQ1131" i="3"/>
  <c r="AQ1233" i="3"/>
  <c r="AQ538" i="3"/>
  <c r="AQ299" i="3"/>
  <c r="AQ1204" i="3"/>
  <c r="AQ1055" i="3"/>
  <c r="AQ659" i="3"/>
  <c r="AQ1072" i="3"/>
  <c r="AQ994" i="3"/>
  <c r="AQ352" i="3"/>
  <c r="AQ187" i="3"/>
  <c r="AQ33" i="3"/>
  <c r="AQ1162" i="3"/>
  <c r="AQ609" i="3"/>
  <c r="AQ1172" i="3"/>
  <c r="AQ1283" i="3"/>
  <c r="AQ29" i="3"/>
  <c r="AQ1633" i="3"/>
  <c r="AQ875" i="3"/>
  <c r="AQ1021" i="3"/>
  <c r="AQ1001" i="3"/>
  <c r="AQ1109" i="3"/>
  <c r="AQ648" i="3"/>
  <c r="AQ1294" i="3"/>
  <c r="AQ737" i="3"/>
  <c r="AQ548" i="3"/>
  <c r="AQ241" i="3"/>
  <c r="AQ1119" i="3"/>
  <c r="AQ778" i="3"/>
  <c r="AQ182" i="3"/>
  <c r="AQ1145" i="3"/>
  <c r="AQ777" i="3"/>
  <c r="AQ842" i="3"/>
  <c r="AQ142" i="3"/>
  <c r="AQ1243" i="3"/>
  <c r="AQ805" i="3"/>
  <c r="AQ1329" i="3"/>
  <c r="AQ406" i="3"/>
  <c r="AQ948" i="3"/>
  <c r="AQ1163" i="3"/>
  <c r="AQ481" i="3"/>
  <c r="AQ663" i="3"/>
  <c r="AQ557" i="3"/>
  <c r="AQ844" i="3"/>
  <c r="AQ939" i="3"/>
  <c r="AQ651" i="3"/>
  <c r="AQ1608" i="3"/>
  <c r="AQ40" i="3"/>
  <c r="AQ294" i="3"/>
  <c r="AQ933" i="3"/>
  <c r="AQ264" i="3"/>
  <c r="AQ647" i="3"/>
  <c r="AQ1326" i="3"/>
  <c r="AQ732" i="3"/>
  <c r="AQ175" i="3"/>
  <c r="AQ1130" i="3"/>
  <c r="AQ228" i="3"/>
  <c r="AQ1292" i="3"/>
  <c r="AQ1548" i="3"/>
  <c r="AQ123" i="3"/>
  <c r="AQ97" i="3"/>
  <c r="AQ1556" i="3"/>
  <c r="AQ1442" i="3"/>
  <c r="AQ584" i="3"/>
  <c r="AQ1579" i="3"/>
  <c r="AQ290" i="3"/>
  <c r="AQ540" i="3"/>
  <c r="AQ155" i="3"/>
  <c r="AQ362" i="3"/>
  <c r="AQ544" i="3"/>
  <c r="AQ1304" i="3"/>
  <c r="AQ201" i="3"/>
  <c r="AQ823" i="3"/>
  <c r="AQ1171" i="3"/>
  <c r="AQ403" i="3"/>
  <c r="AQ1184" i="3"/>
  <c r="AQ1289" i="3"/>
  <c r="AQ262" i="3"/>
  <c r="AQ1271" i="3"/>
  <c r="AQ623" i="3"/>
  <c r="AQ277" i="3"/>
  <c r="AQ666" i="3"/>
  <c r="AQ912" i="3"/>
  <c r="AQ134" i="3"/>
  <c r="AQ1591" i="3"/>
  <c r="AQ71" i="3"/>
  <c r="AQ1570" i="3"/>
  <c r="AQ1020" i="3"/>
  <c r="AQ297" i="3"/>
  <c r="AQ293" i="3"/>
  <c r="AQ511" i="3"/>
  <c r="AQ911" i="3"/>
  <c r="AQ304" i="3"/>
  <c r="AQ501" i="3"/>
  <c r="AQ141" i="3"/>
  <c r="AQ962" i="3"/>
  <c r="AQ347" i="3"/>
  <c r="AQ818" i="3"/>
  <c r="AQ474" i="3"/>
  <c r="AQ793" i="3"/>
  <c r="AQ327" i="3"/>
  <c r="AQ1279" i="3"/>
  <c r="AQ1545" i="3"/>
  <c r="AQ449" i="3"/>
  <c r="AQ519" i="3"/>
  <c r="AQ982" i="3"/>
  <c r="AQ1003" i="3"/>
  <c r="AQ634" i="3"/>
  <c r="AQ351" i="3"/>
  <c r="AQ7" i="3"/>
  <c r="AQ133" i="3"/>
  <c r="AQ958" i="3"/>
  <c r="AQ376" i="3"/>
  <c r="AQ369" i="3"/>
  <c r="AQ662" i="3"/>
  <c r="AQ1546" i="3"/>
  <c r="AQ197" i="3"/>
  <c r="AQ1107" i="3"/>
  <c r="AQ768" i="3"/>
  <c r="AQ1207" i="3"/>
  <c r="AQ61" i="3"/>
  <c r="AQ1286" i="3"/>
  <c r="AQ146" i="3"/>
  <c r="AQ479" i="3"/>
  <c r="AQ1303" i="3"/>
  <c r="AQ257" i="3"/>
  <c r="AQ1630" i="3"/>
  <c r="AQ529" i="3"/>
  <c r="AQ209" i="3"/>
  <c r="AQ1342" i="3"/>
  <c r="AQ1091" i="3"/>
  <c r="AQ986" i="3"/>
  <c r="AQ417" i="3"/>
  <c r="AQ536" i="3"/>
  <c r="AQ379" i="3"/>
  <c r="AQ1466" i="3"/>
  <c r="AQ616" i="3"/>
  <c r="AQ773" i="3"/>
  <c r="AQ229" i="3"/>
  <c r="AQ263" i="3"/>
  <c r="AQ1327" i="3"/>
  <c r="AQ1251" i="3"/>
  <c r="AQ850" i="3"/>
  <c r="AQ367" i="3"/>
  <c r="AQ702" i="3"/>
  <c r="AQ1562" i="3"/>
  <c r="AQ1517" i="3"/>
  <c r="AQ344" i="3"/>
  <c r="AQ1219" i="3"/>
  <c r="AQ579" i="3"/>
  <c r="AQ448" i="3"/>
  <c r="AQ496" i="3"/>
  <c r="AQ1222" i="3"/>
  <c r="AQ1623" i="3"/>
  <c r="AQ386" i="3"/>
  <c r="AQ286" i="3"/>
  <c r="AQ974" i="3"/>
  <c r="AQ1554" i="3"/>
  <c r="AQ696" i="3"/>
  <c r="AQ786" i="3"/>
  <c r="AQ1206" i="3"/>
  <c r="AQ1118" i="3"/>
  <c r="AQ373" i="3"/>
  <c r="AQ145" i="3"/>
  <c r="AQ207" i="3"/>
  <c r="AQ1498" i="3"/>
  <c r="AQ1414" i="3"/>
  <c r="AQ470" i="3"/>
  <c r="AQ881" i="3"/>
  <c r="AQ140" i="3"/>
  <c r="AQ1180" i="3"/>
  <c r="AQ1365" i="3"/>
  <c r="AQ639" i="3"/>
  <c r="AQ331" i="3"/>
  <c r="AQ1132" i="3"/>
  <c r="AQ1153" i="3"/>
  <c r="AQ1044" i="3"/>
  <c r="AQ135" i="3"/>
  <c r="AQ1489" i="3"/>
  <c r="AQ94" i="3"/>
  <c r="AQ984" i="3"/>
  <c r="AQ785" i="3"/>
  <c r="AQ570" i="3"/>
  <c r="AQ1019" i="3"/>
  <c r="AQ558" i="3"/>
  <c r="AQ592" i="3"/>
  <c r="AQ1040" i="3"/>
  <c r="AQ112" i="3"/>
  <c r="AQ34" i="3"/>
  <c r="AQ675" i="3"/>
  <c r="AQ760" i="3"/>
  <c r="AQ714" i="3"/>
  <c r="AQ431" i="3"/>
  <c r="AQ784" i="3"/>
  <c r="AQ5" i="3"/>
  <c r="AQ1473" i="3"/>
  <c r="AQ217" i="3"/>
  <c r="AQ673" i="3"/>
  <c r="AQ1367" i="3"/>
  <c r="AQ981" i="3"/>
  <c r="AQ361" i="3"/>
  <c r="AQ1618" i="3"/>
  <c r="AQ1106" i="3"/>
  <c r="AQ942" i="3"/>
  <c r="AQ961" i="3"/>
  <c r="AQ1398" i="3"/>
  <c r="AQ336" i="3"/>
  <c r="AQ834" i="3"/>
  <c r="AQ1144" i="3"/>
  <c r="AQ1331" i="3"/>
  <c r="AQ1121" i="3"/>
  <c r="AQ127" i="3"/>
  <c r="AQ107" i="3"/>
  <c r="AQ980" i="3"/>
  <c r="AQ1281" i="3"/>
  <c r="AQ288" i="3"/>
  <c r="AQ1196" i="3"/>
  <c r="AQ868" i="3"/>
  <c r="AQ1617" i="3"/>
  <c r="AQ350" i="3"/>
  <c r="AQ1014" i="3"/>
  <c r="AQ997" i="3"/>
  <c r="AQ1290" i="3"/>
  <c r="AQ769" i="3"/>
  <c r="AQ22" i="3"/>
  <c r="AQ953" i="3"/>
  <c r="AQ564" i="3"/>
  <c r="AQ578" i="3"/>
  <c r="AQ1228" i="3"/>
  <c r="AQ1295" i="3"/>
  <c r="AQ402" i="3"/>
  <c r="AQ1446" i="3"/>
  <c r="AQ582" i="3"/>
  <c r="AQ1017" i="3"/>
  <c r="AQ780" i="3"/>
  <c r="AQ1395" i="3"/>
  <c r="AQ1433" i="3"/>
  <c r="AQ841" i="3"/>
  <c r="AQ1375" i="3"/>
  <c r="AQ526" i="3"/>
  <c r="AQ877" i="3"/>
  <c r="AQ622" i="3"/>
  <c r="AQ9" i="3"/>
  <c r="AQ265" i="3"/>
  <c r="AQ698" i="3"/>
  <c r="AQ238" i="3"/>
  <c r="AQ1314" i="3"/>
  <c r="AQ25" i="3"/>
  <c r="AQ901" i="3"/>
  <c r="AQ1127" i="3"/>
  <c r="AQ291" i="3"/>
  <c r="AQ419" i="3"/>
  <c r="AQ1542" i="3"/>
  <c r="AQ439" i="3"/>
  <c r="AQ1557" i="3"/>
  <c r="AQ1165" i="3"/>
  <c r="AQ672" i="3"/>
  <c r="AQ705" i="3"/>
  <c r="AQ325" i="3"/>
  <c r="AQ741" i="3"/>
  <c r="AQ1209" i="3"/>
  <c r="AQ935" i="3"/>
  <c r="AQ488" i="3"/>
  <c r="AQ1095" i="3"/>
  <c r="AQ621" i="3"/>
  <c r="AQ1550" i="3"/>
  <c r="AQ366" i="3"/>
  <c r="AQ681" i="3"/>
  <c r="AQ185" i="3"/>
  <c r="AQ1164" i="3"/>
  <c r="AQ242" i="3"/>
  <c r="AQ193" i="3"/>
  <c r="AQ1054" i="3"/>
  <c r="AQ767" i="3"/>
  <c r="AQ1104" i="3"/>
  <c r="AQ1113" i="3"/>
  <c r="AQ271" i="3"/>
  <c r="AQ721" i="3"/>
  <c r="AQ1377" i="3"/>
  <c r="AQ813" i="3"/>
  <c r="AQ1393" i="3"/>
  <c r="AQ415" i="3"/>
  <c r="AQ1364" i="3"/>
  <c r="AQ1626" i="3"/>
  <c r="AQ990" i="3"/>
  <c r="AQ1538" i="3"/>
  <c r="AQ276" i="3"/>
  <c r="AQ1053" i="3"/>
  <c r="AQ1201" i="3"/>
  <c r="AQ1616" i="3"/>
  <c r="AQ1421" i="3"/>
  <c r="AQ571" i="3"/>
  <c r="AQ196" i="3"/>
  <c r="AQ324" i="3"/>
  <c r="AQ166" i="3"/>
  <c r="AQ792" i="3"/>
  <c r="AQ1287" i="3"/>
  <c r="AQ385" i="3"/>
  <c r="AQ429" i="3"/>
  <c r="AQ1558" i="3"/>
  <c r="AQ837" i="3"/>
  <c r="AQ1057" i="3"/>
  <c r="AQ1335" i="3"/>
  <c r="AQ35" i="3"/>
  <c r="AQ251" i="3"/>
  <c r="AQ537" i="3"/>
  <c r="AQ709" i="3"/>
  <c r="AQ184" i="3"/>
  <c r="AQ914" i="3"/>
  <c r="AQ38" i="3"/>
  <c r="AQ1141" i="3"/>
  <c r="AQ43" i="3"/>
  <c r="AQ138" i="3"/>
  <c r="AQ255" i="3"/>
  <c r="AQ1596" i="3"/>
  <c r="AQ1369" i="3"/>
  <c r="AQ66" i="3"/>
  <c r="AQ316" i="3"/>
  <c r="AQ1500" i="3"/>
  <c r="AQ1098" i="3"/>
  <c r="AQ909" i="3"/>
  <c r="AQ512" i="3"/>
  <c r="AQ1430" i="3"/>
  <c r="AQ326" i="3"/>
  <c r="AQ908" i="3"/>
  <c r="AQ1226" i="3"/>
  <c r="AQ1310" i="3"/>
  <c r="AQ1002" i="3"/>
  <c r="AQ1259" i="3"/>
  <c r="AQ215" i="3"/>
  <c r="AQ1062" i="3"/>
  <c r="AQ598" i="3"/>
  <c r="AQ289" i="3"/>
  <c r="AQ280" i="3"/>
  <c r="AQ811" i="3"/>
  <c r="AQ764" i="3"/>
  <c r="AQ360" i="3"/>
  <c r="AQ574" i="3"/>
  <c r="AQ734" i="3"/>
  <c r="AQ1160" i="3"/>
  <c r="AQ517" i="3"/>
  <c r="AQ1476" i="3"/>
  <c r="AQ930" i="3"/>
  <c r="AQ55" i="3"/>
  <c r="AQ149" i="3"/>
  <c r="AQ752" i="3"/>
  <c r="AQ90" i="3"/>
  <c r="AQ941" i="3"/>
  <c r="AQ10" i="3"/>
  <c r="AQ766" i="3"/>
  <c r="AQ581" i="3"/>
  <c r="AQ1250" i="3"/>
  <c r="AQ1047" i="3"/>
  <c r="AQ927" i="3"/>
  <c r="AQ1202" i="3"/>
  <c r="AQ1043" i="3"/>
  <c r="AQ284" i="3"/>
  <c r="AQ1456" i="3"/>
  <c r="AQ477" i="3"/>
  <c r="AQ1152" i="3"/>
  <c r="AQ585" i="3"/>
  <c r="AQ192" i="3"/>
  <c r="AQ321" i="3"/>
  <c r="AQ303" i="3"/>
  <c r="AQ1555" i="3"/>
  <c r="AQ919" i="3"/>
  <c r="AQ1280" i="3"/>
  <c r="AQ60" i="3"/>
  <c r="AQ1034" i="3"/>
  <c r="AQ1606" i="3"/>
  <c r="AQ1299" i="3"/>
  <c r="AQ1042" i="3"/>
  <c r="AQ314" i="3"/>
  <c r="AQ1352" i="3"/>
  <c r="AQ828" i="3"/>
  <c r="AQ230" i="3"/>
  <c r="AQ1004" i="3"/>
  <c r="AQ925" i="3"/>
  <c r="AQ1559" i="3"/>
  <c r="AQ345" i="3"/>
  <c r="AQ654" i="3"/>
  <c r="AQ1231" i="3"/>
  <c r="AQ902" i="3"/>
  <c r="AQ1191" i="3"/>
  <c r="AQ1026" i="3"/>
  <c r="AQ1143" i="3"/>
  <c r="AQ566" i="3"/>
  <c r="AQ1528" i="3"/>
  <c r="AQ1405" i="3"/>
  <c r="AQ1474" i="3"/>
  <c r="AQ508" i="3"/>
  <c r="AQ1366" i="3"/>
  <c r="AQ1300" i="3"/>
  <c r="AQ198" i="3"/>
  <c r="AQ1114" i="3"/>
  <c r="AQ99" i="3"/>
  <c r="AQ468" i="3"/>
  <c r="AQ892" i="3"/>
  <c r="AQ1396" i="3"/>
  <c r="AQ1465" i="3"/>
  <c r="AQ396" i="3"/>
  <c r="AQ640" i="3"/>
  <c r="AQ1036" i="3"/>
  <c r="AQ156" i="3"/>
  <c r="AQ1568" i="3"/>
  <c r="AQ770" i="3"/>
  <c r="AQ751" i="3"/>
  <c r="AQ1245" i="3"/>
  <c r="AQ1277" i="3"/>
  <c r="AQ762" i="3"/>
  <c r="AQ1496" i="3"/>
  <c r="AQ1110" i="3"/>
  <c r="AQ1050" i="3"/>
  <c r="AQ505" i="3"/>
  <c r="AQ390" i="3"/>
  <c r="AQ750" i="3"/>
  <c r="AQ1423" i="3"/>
  <c r="AQ947" i="3"/>
  <c r="AQ219" i="3"/>
  <c r="AQ387" i="3"/>
  <c r="AQ1151" i="3"/>
  <c r="AQ800" i="3"/>
  <c r="AQ13" i="3"/>
  <c r="AQ1309" i="3"/>
  <c r="AQ1278" i="3"/>
  <c r="AQ1225" i="3"/>
  <c r="AQ1382" i="3"/>
  <c r="AQ374" i="3"/>
  <c r="AQ774" i="3"/>
  <c r="AQ348" i="3"/>
  <c r="AQ883" i="3"/>
  <c r="AQ1096" i="3"/>
  <c r="AQ1067" i="3"/>
  <c r="AQ1412" i="3"/>
  <c r="AQ1016" i="3"/>
  <c r="AQ1525" i="3"/>
  <c r="AQ1254" i="3"/>
  <c r="AQ393" i="3"/>
  <c r="AQ1351" i="3"/>
  <c r="AQ1126" i="3"/>
  <c r="AQ130" i="3"/>
  <c r="AQ1073" i="3"/>
  <c r="AQ428" i="3"/>
  <c r="AQ1480" i="3"/>
  <c r="AQ1493" i="3"/>
  <c r="AA14" i="4" l="1"/>
  <c r="AA7" i="4"/>
  <c r="AA28" i="4"/>
  <c r="AA30" i="4"/>
  <c r="AA32" i="4"/>
  <c r="AA24" i="4"/>
  <c r="AA19" i="4"/>
  <c r="AA38" i="4"/>
  <c r="AA25" i="4"/>
  <c r="AA40" i="4"/>
  <c r="AA36" i="4"/>
  <c r="AA34" i="4"/>
  <c r="AA11" i="4"/>
  <c r="AB11" i="4" s="1"/>
  <c r="AC11" i="4" s="1"/>
  <c r="AA20" i="4"/>
  <c r="AA31" i="4"/>
  <c r="AA15" i="4"/>
  <c r="AA16" i="4"/>
  <c r="AA26" i="4"/>
  <c r="AA37" i="4"/>
  <c r="AA21" i="4"/>
  <c r="AA12" i="4"/>
  <c r="AA27" i="4"/>
  <c r="AA22" i="4"/>
  <c r="AA33" i="4"/>
  <c r="AA17" i="4"/>
  <c r="AA23" i="4"/>
  <c r="AA18" i="4"/>
  <c r="AA29" i="4"/>
  <c r="AA13" i="4"/>
  <c r="AG8" i="3" a="1"/>
  <c r="AG8" i="3" s="1"/>
  <c r="AD11" i="4" l="1"/>
  <c r="AJ11" i="4" s="1"/>
  <c r="X12" i="4"/>
  <c r="AE11" i="4"/>
  <c r="AI11" i="4" s="1"/>
  <c r="AF11" i="4" l="1"/>
  <c r="AH11" i="4" s="1"/>
  <c r="Y12" i="4" l="1"/>
  <c r="Z12" i="4" s="1"/>
  <c r="AB12" i="4" s="1"/>
  <c r="AE12" i="4" s="1"/>
  <c r="AF12" i="4" l="1"/>
  <c r="AI12" i="4"/>
  <c r="AD12" i="4"/>
  <c r="AJ12" i="4" s="1"/>
  <c r="AC12" i="4"/>
  <c r="X13" i="4" s="1"/>
  <c r="AH12" i="4" l="1"/>
  <c r="Y13" i="4" s="1"/>
  <c r="Z13" i="4" s="1"/>
  <c r="AB13" i="4" s="1"/>
  <c r="AE13" i="4" s="1"/>
  <c r="AK11" i="4"/>
  <c r="AL11" i="4" l="1"/>
  <c r="AF13" i="4"/>
  <c r="AI13" i="4"/>
  <c r="AD13" i="4"/>
  <c r="AJ13" i="4" s="1"/>
  <c r="AC13" i="4"/>
  <c r="X14" i="4" s="1"/>
  <c r="AH13" i="4" l="1"/>
  <c r="Y14" i="4" s="1"/>
  <c r="Z14" i="4" s="1"/>
  <c r="AB14" i="4" s="1"/>
  <c r="AD14" i="4" s="1"/>
  <c r="AJ14" i="4" s="1"/>
  <c r="AK12" i="4"/>
  <c r="AL12" i="4" l="1"/>
  <c r="AC14" i="4"/>
  <c r="X15" i="4" s="1"/>
  <c r="AE14" i="4"/>
  <c r="AF14" i="4" l="1"/>
  <c r="AI14" i="4"/>
  <c r="AH14" i="4" l="1"/>
  <c r="Y15" i="4" s="1"/>
  <c r="Z15" i="4" s="1"/>
  <c r="AB15" i="4" s="1"/>
  <c r="AD15" i="4" s="1"/>
  <c r="AJ15" i="4" s="1"/>
  <c r="AK13" i="4"/>
  <c r="AL13" i="4" l="1"/>
  <c r="AC15" i="4"/>
  <c r="X16" i="4" s="1"/>
  <c r="AE15" i="4"/>
  <c r="AF15" i="4" s="1"/>
  <c r="AH15" i="4" l="1"/>
  <c r="Y16" i="4" s="1"/>
  <c r="Z16" i="4" s="1"/>
  <c r="AB16" i="4" s="1"/>
  <c r="AC16" i="4" s="1"/>
  <c r="X17" i="4" s="1"/>
  <c r="AK14" i="4"/>
  <c r="AI15" i="4"/>
  <c r="AL14" i="4" l="1"/>
  <c r="AD16" i="4"/>
  <c r="AJ16" i="4" s="1"/>
  <c r="AE16" i="4"/>
  <c r="AI16" i="4" s="1"/>
  <c r="AF16" i="4" l="1"/>
  <c r="AH16" i="4" l="1"/>
  <c r="Y17" i="4" s="1"/>
  <c r="Z17" i="4" s="1"/>
  <c r="AK15" i="4"/>
  <c r="AL15" i="4" l="1"/>
  <c r="AB17" i="4"/>
  <c r="AC17" i="4" s="1"/>
  <c r="X18" i="4" s="1"/>
  <c r="AD17" i="4" l="1"/>
  <c r="AJ17" i="4" s="1"/>
  <c r="AE17" i="4"/>
  <c r="AI17" i="4" s="1"/>
  <c r="AF17" i="4" l="1"/>
  <c r="AH17" i="4" l="1"/>
  <c r="Y18" i="4" s="1"/>
  <c r="Z18" i="4" s="1"/>
  <c r="AB18" i="4" s="1"/>
  <c r="AC18" i="4" s="1"/>
  <c r="X19" i="4" s="1"/>
  <c r="AK16" i="4"/>
  <c r="AL16" i="4" s="1"/>
  <c r="AD18" i="4" l="1"/>
  <c r="AJ18" i="4" s="1"/>
  <c r="AE18" i="4"/>
  <c r="AI18" i="4" s="1"/>
  <c r="AF18" i="4" l="1"/>
  <c r="AH18" i="4" l="1"/>
  <c r="Y19" i="4" s="1"/>
  <c r="Z19" i="4" s="1"/>
  <c r="AB19" i="4" s="1"/>
  <c r="AC19" i="4" s="1"/>
  <c r="X20" i="4" s="1"/>
  <c r="AK17" i="4"/>
  <c r="AL17" i="4" s="1"/>
  <c r="AD19" i="4" l="1"/>
  <c r="AJ19" i="4" s="1"/>
  <c r="AE19" i="4"/>
  <c r="AI19" i="4" s="1"/>
  <c r="AF19" i="4" l="1"/>
  <c r="AH19" i="4" l="1"/>
  <c r="Y20" i="4" s="1"/>
  <c r="Z20" i="4" s="1"/>
  <c r="AB20" i="4" s="1"/>
  <c r="AK18" i="4"/>
  <c r="AL18" i="4" s="1"/>
  <c r="AD20" i="4" l="1"/>
  <c r="AJ20" i="4" s="1"/>
  <c r="AE20" i="4"/>
  <c r="AC20" i="4"/>
  <c r="X21" i="4" s="1"/>
  <c r="AF20" i="4" l="1"/>
  <c r="AI20" i="4"/>
  <c r="AH20" i="4" l="1"/>
  <c r="Y21" i="4" s="1"/>
  <c r="Z21" i="4" s="1"/>
  <c r="AB21" i="4" s="1"/>
  <c r="AC21" i="4" s="1"/>
  <c r="X22" i="4" s="1"/>
  <c r="AK19" i="4"/>
  <c r="AL19" i="4" s="1"/>
  <c r="AD21" i="4" l="1"/>
  <c r="AJ21" i="4" s="1"/>
  <c r="AE21" i="4"/>
  <c r="AI21" i="4" s="1"/>
  <c r="AF21" i="4" l="1"/>
  <c r="AH21" i="4" l="1"/>
  <c r="Y22" i="4" s="1"/>
  <c r="Z22" i="4" s="1"/>
  <c r="AB22" i="4" s="1"/>
  <c r="AC22" i="4" s="1"/>
  <c r="X23" i="4" s="1"/>
  <c r="AK20" i="4"/>
  <c r="AL20" i="4" s="1"/>
  <c r="AD22" i="4" l="1"/>
  <c r="AJ22" i="4" s="1"/>
  <c r="AE22" i="4"/>
  <c r="AI22" i="4" s="1"/>
  <c r="AF22" i="4" l="1"/>
  <c r="AH22" i="4" l="1"/>
  <c r="Y23" i="4" s="1"/>
  <c r="Z23" i="4" s="1"/>
  <c r="AB23" i="4" s="1"/>
  <c r="AC23" i="4" s="1"/>
  <c r="X24" i="4" s="1"/>
  <c r="AK21" i="4"/>
  <c r="AL21" i="4" s="1"/>
  <c r="AD23" i="4" l="1"/>
  <c r="AJ23" i="4" s="1"/>
  <c r="AE23" i="4"/>
  <c r="AI23" i="4" s="1"/>
  <c r="AF23" i="4" l="1"/>
  <c r="AH23" i="4" l="1"/>
  <c r="Y24" i="4" s="1"/>
  <c r="Z24" i="4" s="1"/>
  <c r="AB24" i="4" s="1"/>
  <c r="AK22" i="4"/>
  <c r="AL22" i="4" s="1"/>
  <c r="AD24" i="4" l="1"/>
  <c r="AJ24" i="4" s="1"/>
  <c r="AE24" i="4"/>
  <c r="AI24" i="4" s="1"/>
  <c r="AC24" i="4"/>
  <c r="X25" i="4" s="1"/>
  <c r="AF24" i="4" l="1"/>
  <c r="AH24" i="4" l="1"/>
  <c r="Y25" i="4" s="1"/>
  <c r="Z25" i="4" s="1"/>
  <c r="AB25" i="4" s="1"/>
  <c r="AK23" i="4"/>
  <c r="AL23" i="4" s="1"/>
  <c r="AD25" i="4" l="1"/>
  <c r="AJ25" i="4" s="1"/>
  <c r="AE25" i="4"/>
  <c r="AI25" i="4" s="1"/>
  <c r="AC25" i="4"/>
  <c r="X26" i="4" s="1"/>
  <c r="AF25" i="4" l="1"/>
  <c r="AH25" i="4" l="1"/>
  <c r="Y26" i="4" s="1"/>
  <c r="Z26" i="4" s="1"/>
  <c r="AB26" i="4" s="1"/>
  <c r="AC26" i="4" s="1"/>
  <c r="X27" i="4" s="1"/>
  <c r="AK24" i="4"/>
  <c r="AL24" i="4" s="1"/>
  <c r="AD26" i="4" l="1"/>
  <c r="AJ26" i="4" s="1"/>
  <c r="AE26" i="4"/>
  <c r="AI26" i="4" s="1"/>
  <c r="AF26" i="4" l="1"/>
  <c r="AH26" i="4" l="1"/>
  <c r="Y27" i="4" s="1"/>
  <c r="Z27" i="4" s="1"/>
  <c r="AB27" i="4" s="1"/>
  <c r="AC27" i="4" s="1"/>
  <c r="X28" i="4" s="1"/>
  <c r="AK25" i="4"/>
  <c r="AL25" i="4" s="1"/>
  <c r="AD27" i="4" l="1"/>
  <c r="AJ27" i="4" s="1"/>
  <c r="AE27" i="4"/>
  <c r="AF27" i="4" l="1"/>
  <c r="AI27" i="4"/>
  <c r="AH27" i="4" l="1"/>
  <c r="Y28" i="4" s="1"/>
  <c r="Z28" i="4" s="1"/>
  <c r="AB28" i="4" s="1"/>
  <c r="AC28" i="4" s="1"/>
  <c r="X29" i="4" s="1"/>
  <c r="AK26" i="4"/>
  <c r="AL26" i="4" s="1"/>
  <c r="AE28" i="4" l="1"/>
  <c r="AF28" i="4" s="1"/>
  <c r="AD28" i="4"/>
  <c r="AJ28" i="4" s="1"/>
  <c r="AI28" i="4" l="1"/>
  <c r="AH28" i="4"/>
  <c r="Y29" i="4" s="1"/>
  <c r="Z29" i="4" s="1"/>
  <c r="AB29" i="4" s="1"/>
  <c r="AC29" i="4" s="1"/>
  <c r="X30" i="4" s="1"/>
  <c r="AK27" i="4"/>
  <c r="AL27" i="4" s="1"/>
  <c r="AD29" i="4" l="1"/>
  <c r="AJ29" i="4" s="1"/>
  <c r="AE29" i="4"/>
  <c r="AI29" i="4" s="1"/>
  <c r="AF29" i="4" l="1"/>
  <c r="AH29" i="4" s="1"/>
  <c r="Y30" i="4" s="1"/>
  <c r="Z30" i="4" s="1"/>
  <c r="AB30" i="4" s="1"/>
  <c r="AC30" i="4" s="1"/>
  <c r="X31" i="4" s="1"/>
  <c r="AK28" i="4" l="1"/>
  <c r="AL28" i="4" s="1"/>
  <c r="AD30" i="4"/>
  <c r="AJ30" i="4" s="1"/>
  <c r="AE30" i="4"/>
  <c r="AI30" i="4" s="1"/>
  <c r="AF30" i="4" l="1"/>
  <c r="AH30" i="4" l="1"/>
  <c r="Y31" i="4" s="1"/>
  <c r="Z31" i="4" s="1"/>
  <c r="AB31" i="4" s="1"/>
  <c r="AC31" i="4" s="1"/>
  <c r="X32" i="4" s="1"/>
  <c r="AK29" i="4"/>
  <c r="AL29" i="4" s="1"/>
  <c r="AD31" i="4" l="1"/>
  <c r="AJ31" i="4" s="1"/>
  <c r="AE31" i="4"/>
  <c r="AI31" i="4" s="1"/>
  <c r="AF31" i="4" l="1"/>
  <c r="AH31" i="4" l="1"/>
  <c r="Y32" i="4" s="1"/>
  <c r="Z32" i="4" s="1"/>
  <c r="AB32" i="4" s="1"/>
  <c r="AC32" i="4" s="1"/>
  <c r="X33" i="4" s="1"/>
  <c r="AK30" i="4"/>
  <c r="AL30" i="4" s="1"/>
  <c r="AD32" i="4" l="1"/>
  <c r="AJ32" i="4" s="1"/>
  <c r="AE32" i="4"/>
  <c r="AI32" i="4" s="1"/>
  <c r="AF32" i="4" l="1"/>
  <c r="AH32" i="4" l="1"/>
  <c r="Y33" i="4" s="1"/>
  <c r="Z33" i="4" s="1"/>
  <c r="AB33" i="4" s="1"/>
  <c r="AC33" i="4" s="1"/>
  <c r="X34" i="4" s="1"/>
  <c r="AK31" i="4"/>
  <c r="AL31" i="4" s="1"/>
  <c r="AD33" i="4" l="1"/>
  <c r="AJ33" i="4" s="1"/>
  <c r="AE33" i="4"/>
  <c r="AI33" i="4" s="1"/>
  <c r="AF33" i="4" l="1"/>
  <c r="AH33" i="4" l="1"/>
  <c r="Y34" i="4" s="1"/>
  <c r="Z34" i="4" s="1"/>
  <c r="AB34" i="4" s="1"/>
  <c r="AC34" i="4" s="1"/>
  <c r="X35" i="4" s="1"/>
  <c r="AK32" i="4"/>
  <c r="AL32" i="4" s="1"/>
  <c r="AD34" i="4" l="1"/>
  <c r="AJ34" i="4" s="1"/>
  <c r="AE34" i="4"/>
  <c r="AI34" i="4" s="1"/>
  <c r="AF34" i="4" l="1"/>
  <c r="AH34" i="4" l="1"/>
  <c r="Y35" i="4" s="1"/>
  <c r="Z35" i="4" s="1"/>
  <c r="AB35" i="4" s="1"/>
  <c r="AC35" i="4" s="1"/>
  <c r="X36" i="4" s="1"/>
  <c r="AK33" i="4"/>
  <c r="AL33" i="4" s="1"/>
  <c r="AD35" i="4" l="1"/>
  <c r="AJ35" i="4" s="1"/>
  <c r="AE35" i="4"/>
  <c r="AI35" i="4" s="1"/>
  <c r="AF35" i="4" l="1"/>
  <c r="AH35" i="4" l="1"/>
  <c r="Y36" i="4" s="1"/>
  <c r="Z36" i="4" s="1"/>
  <c r="AB36" i="4" s="1"/>
  <c r="AC36" i="4" s="1"/>
  <c r="X37" i="4" s="1"/>
  <c r="AK34" i="4"/>
  <c r="AL34" i="4" s="1"/>
  <c r="AD36" i="4" l="1"/>
  <c r="AJ36" i="4" s="1"/>
  <c r="AE36" i="4"/>
  <c r="AF36" i="4" l="1"/>
  <c r="AI36" i="4"/>
  <c r="AH36" i="4" l="1"/>
  <c r="Y37" i="4" s="1"/>
  <c r="Z37" i="4" s="1"/>
  <c r="AB37" i="4" s="1"/>
  <c r="AC37" i="4" s="1"/>
  <c r="X38" i="4" s="1"/>
  <c r="AK35" i="4"/>
  <c r="AL35" i="4" s="1"/>
  <c r="AE37" i="4" l="1"/>
  <c r="AI37" i="4" s="1"/>
  <c r="AD37" i="4"/>
  <c r="AJ37" i="4" s="1"/>
  <c r="AF37" i="4" l="1"/>
  <c r="AH37" i="4" s="1"/>
  <c r="Y38" i="4" s="1"/>
  <c r="Z38" i="4" s="1"/>
  <c r="AB38" i="4" s="1"/>
  <c r="AC38" i="4" s="1"/>
  <c r="X39" i="4" s="1"/>
  <c r="AK36" i="4" l="1"/>
  <c r="AL36" i="4" s="1"/>
  <c r="AD38" i="4"/>
  <c r="AJ38" i="4" s="1"/>
  <c r="AE38" i="4"/>
  <c r="AI38" i="4" s="1"/>
  <c r="AF38" i="4" l="1"/>
  <c r="AH38" i="4" l="1"/>
  <c r="Y39" i="4" s="1"/>
  <c r="Z39" i="4" s="1"/>
  <c r="AB39" i="4" s="1"/>
  <c r="AC39" i="4" s="1"/>
  <c r="X40" i="4" s="1"/>
  <c r="AK37" i="4"/>
  <c r="AL37" i="4" s="1"/>
  <c r="AD39" i="4" l="1"/>
  <c r="AJ39" i="4" s="1"/>
  <c r="AE39" i="4"/>
  <c r="AI39" i="4" s="1"/>
  <c r="AF39" i="4" l="1"/>
  <c r="AH39" i="4" l="1"/>
  <c r="Y40" i="4" s="1"/>
  <c r="Z40" i="4" s="1"/>
  <c r="AB40" i="4" s="1"/>
  <c r="AC40" i="4" s="1"/>
  <c r="AK38" i="4"/>
  <c r="AL38" i="4" s="1"/>
  <c r="AD40" i="4" l="1"/>
  <c r="AJ40" i="4" s="1"/>
  <c r="AJ41" i="4" s="1"/>
  <c r="D12" i="4" s="1"/>
  <c r="AE40" i="4"/>
  <c r="AI40" i="4" s="1"/>
  <c r="I7" i="4" l="1"/>
  <c r="D7" i="4"/>
  <c r="M43" i="4"/>
  <c r="AI41" i="4"/>
  <c r="C12" i="4" s="1"/>
  <c r="AL40" i="4"/>
  <c r="AF40" i="4"/>
  <c r="H7" i="4" l="1"/>
  <c r="C7" i="4"/>
  <c r="AH40" i="4"/>
  <c r="AK39" i="4"/>
  <c r="AK41" i="4" s="1"/>
  <c r="E12" i="4" s="1"/>
  <c r="J7" i="4" l="1"/>
  <c r="E7" i="4"/>
  <c r="AL39" i="4"/>
  <c r="AL41" i="4" s="1"/>
  <c r="F12" i="4" s="1"/>
  <c r="K7" i="4" l="1"/>
  <c r="F7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714847-0694-41F7-A73F-85DE33FE7476}" keepAlive="1" name="Query - Inventory2" description="Connection to the 'Inventory2' query in the workbook." type="5" refreshedVersion="6" background="1" saveData="1">
    <dbPr connection="Provider=Microsoft.Mashup.OleDb.1;Data Source=$Workbook$;Location=Inventory2;Extended Properties=&quot;&quot;" command="SELECT * FROM [Inventory2]"/>
  </connection>
  <connection id="2" xr16:uid="{1BB932B6-CF3D-4FCF-A17B-05278ED42ED8}" keepAlive="1" name="Query - RangeCriteria" description="Connection to the 'RangeCriteria' query in the workbook." type="5" refreshedVersion="0" background="1">
    <dbPr connection="Provider=Microsoft.Mashup.OleDb.1;Data Source=$Workbook$;Location=RangeCriteria;Extended Properties=&quot;&quot;" command="SELECT * FROM [RangeCriteria]"/>
  </connection>
  <connection id="3" xr16:uid="{9A22F524-1AF8-4895-A3B0-95A9FE091EA4}" keepAlive="1" name="Query - SalesCriteria" description="Connection to the 'SalesCriteria' query in the workbook." type="5" refreshedVersion="0" background="1">
    <dbPr connection="Provider=Microsoft.Mashup.OleDb.1;Data Source=$Workbook$;Location=SalesCriteria;Extended Properties=&quot;&quot;" command="SELECT * FROM [SalesCriteria]"/>
  </connection>
  <connection id="4" xr16:uid="{8E5EF561-9C97-4780-836F-4243153D581F}" keepAlive="1" name="Query - Salespeople (2)" description="Connection to the 'Salespeople (2)' query in the workbook." type="5" refreshedVersion="6" background="1" saveData="1">
    <dbPr connection="Provider=Microsoft.Mashup.OleDb.1;Data Source=$Workbook$;Location=&quot;Salespeople (2)&quot;;Extended Properties=&quot;&quot;" command="SELECT * FROM [Salespeople (2)]"/>
  </connection>
  <connection id="5" xr16:uid="{93244212-7A37-40E6-9F0D-D39BC244F36B}" keepAlive="1" name="Query - Table22" description="Connection to the 'Table22' query in the workbook." type="5" refreshedVersion="0" background="1">
    <dbPr connection="Provider=Microsoft.Mashup.OleDb.1;Data Source=$Workbook$;Location=Table22;Extended Properties=&quot;&quot;" command="SELECT * FROM [Table22]"/>
  </connection>
  <connection id="6" xr16:uid="{F9F6D343-8DC4-4B84-A83F-F8920744E71A}" keepAlive="1" name="Query - Transaction" description="Connection to the 'Transaction' query in the workbook." type="5" refreshedVersion="6" background="1" saveData="1">
    <dbPr connection="Provider=Microsoft.Mashup.OleDb.1;Data Source=$Workbook$;Location=Transaction;Extended Properties=&quot;&quot;" command="SELECT * FROM [Transaction]"/>
  </connection>
  <connection id="7" xr16:uid="{92268D13-C0FC-4C6E-8DF2-346A3AC609D9}" keepAlive="1" name="Query - Transaction (2)" description="Connection to the 'Transaction (2)' query in the workbook." type="5" refreshedVersion="6" background="1" saveData="1">
    <dbPr connection="Provider=Microsoft.Mashup.OleDb.1;Data Source=$Workbook$;Location=Transaction (2);Extended Properties=&quot;&quot;" command="SELECT * FROM [Transaction (2)]"/>
  </connection>
  <connection id="8" xr16:uid="{C99D79F1-A171-45B7-BA9A-54CD33735B0F}" keepAlive="1" name="Query - TypeCriteria" description="Connection to the 'TypeCriteria' query in the workbook." type="5" refreshedVersion="0" background="1">
    <dbPr connection="Provider=Microsoft.Mashup.OleDb.1;Data Source=$Workbook$;Location=TypeCriteria;Extended Properties=&quot;&quot;" command="SELECT * FROM [TypeCriteria]"/>
  </connection>
</connections>
</file>

<file path=xl/sharedStrings.xml><?xml version="1.0" encoding="utf-8"?>
<sst xmlns="http://schemas.openxmlformats.org/spreadsheetml/2006/main" count="3097" uniqueCount="2031">
  <si>
    <t>You have created a startup company and you are going to computerize all of your operations using Excel. You should track things like inventory, sales, sales managers, payroll, etc. This should be real-world so add whatever pieces you feel are necessary for your specific company.</t>
  </si>
  <si>
    <t>Names</t>
  </si>
  <si>
    <t>Sameer Semerkant</t>
  </si>
  <si>
    <t>Nick</t>
  </si>
  <si>
    <t>Model No.</t>
  </si>
  <si>
    <t>Look up Item In inventory</t>
  </si>
  <si>
    <t>Type</t>
  </si>
  <si>
    <t>Description</t>
  </si>
  <si>
    <t>Price</t>
  </si>
  <si>
    <t>Commision</t>
  </si>
  <si>
    <t>Size</t>
  </si>
  <si>
    <t>Qty</t>
  </si>
  <si>
    <t>Sales No.</t>
  </si>
  <si>
    <t>Sales Table</t>
  </si>
  <si>
    <t>Cust table</t>
  </si>
  <si>
    <t>Transaction Table</t>
  </si>
  <si>
    <t>Total Price</t>
  </si>
  <si>
    <t>New Customer</t>
  </si>
  <si>
    <t>First Name</t>
  </si>
  <si>
    <t>Last Name</t>
  </si>
  <si>
    <t>Phone No</t>
  </si>
  <si>
    <t>Address</t>
  </si>
  <si>
    <t>City</t>
  </si>
  <si>
    <t>State</t>
  </si>
  <si>
    <t>Email</t>
  </si>
  <si>
    <t>Customer Name</t>
  </si>
  <si>
    <t>Transaction ID</t>
  </si>
  <si>
    <t>Model No</t>
  </si>
  <si>
    <t>#</t>
  </si>
  <si>
    <t>Date Time</t>
  </si>
  <si>
    <t>Sales No</t>
  </si>
  <si>
    <t>Inventory Table</t>
  </si>
  <si>
    <t>First</t>
  </si>
  <si>
    <t>Last</t>
  </si>
  <si>
    <t>Sales</t>
  </si>
  <si>
    <t>Sales(MTD)</t>
  </si>
  <si>
    <t>Requirements</t>
  </si>
  <si>
    <t>• What-If Analysis</t>
  </si>
  <si>
    <t>• Incorporate a Monte Carlo analysis within your design.</t>
  </si>
  <si>
    <t>• Use arrays somewhere within your design.</t>
  </si>
  <si>
    <t>• 3D formulas</t>
  </si>
  <si>
    <t>• A minimum of 5 worksheets are required. If you use multiple files (not required), the</t>
  </si>
  <si>
    <t>• Use of a macro is optional, but will earn extra credit. It must be a useful part of the project, not</t>
  </si>
  <si>
    <t>simply a macro just for the sake of making a macro. Using a self-written macro will earn much</t>
  </si>
  <si>
    <t>more credit than a recorded macro.</t>
  </si>
  <si>
    <t>Text Functions</t>
  </si>
  <si>
    <t>Charts</t>
  </si>
  <si>
    <t>DropDown</t>
  </si>
  <si>
    <t>Drop Down W/ Charts</t>
  </si>
  <si>
    <t xml:space="preserve">Counting /summing </t>
  </si>
  <si>
    <t>Lookup function</t>
  </si>
  <si>
    <t>Conditional Formatting</t>
  </si>
  <si>
    <t>x</t>
  </si>
  <si>
    <t>recorded macro for making sales/exchange/return</t>
  </si>
  <si>
    <t>store performance</t>
  </si>
  <si>
    <t>sales person performance</t>
  </si>
  <si>
    <t>Every page</t>
  </si>
  <si>
    <t>Sales manager page to highlight best performing sales people</t>
  </si>
  <si>
    <t>Inventory Search</t>
  </si>
  <si>
    <t>Sales Manager</t>
  </si>
  <si>
    <t>Store Performance</t>
  </si>
  <si>
    <t>inventory prediction</t>
  </si>
  <si>
    <t>https://www.youtube.com/watch?v=I23Cy8FkMLY</t>
  </si>
  <si>
    <t>https://www.youtube.com/watch?v=OF4v69n55z8</t>
  </si>
  <si>
    <t>Category</t>
  </si>
  <si>
    <t>Total Inventory</t>
  </si>
  <si>
    <t>Sale Price</t>
  </si>
  <si>
    <t>Sale End Date</t>
  </si>
  <si>
    <t>SCOTCH</t>
  </si>
  <si>
    <t>Forager's Keep 26 Year Old Single Malt Scotch Whisky</t>
  </si>
  <si>
    <t>750ML</t>
  </si>
  <si>
    <t>CORDIALS</t>
  </si>
  <si>
    <t>Luxardo Maraschino Liqueur</t>
  </si>
  <si>
    <t>Kahlua Cinnamon Spice Liqueur</t>
  </si>
  <si>
    <t>BEER</t>
  </si>
  <si>
    <t>Green Flash Le Freak - 4 Pack</t>
  </si>
  <si>
    <t>12.0Z</t>
  </si>
  <si>
    <t>Ass Kisser Double IPA - 12 Pack</t>
  </si>
  <si>
    <t>OTHER WINE</t>
  </si>
  <si>
    <t>Patricius Reserve Dry Furmint</t>
  </si>
  <si>
    <t>AMERICAN BLUSH/ROSE</t>
  </si>
  <si>
    <t>CLOS DU BOIS ROSE</t>
  </si>
  <si>
    <t>ITALY</t>
  </si>
  <si>
    <t>Conti Beretta Estate Bottled Friuli Grave Pinot Grigio</t>
  </si>
  <si>
    <t>1.5L</t>
  </si>
  <si>
    <t>RUM</t>
  </si>
  <si>
    <t>Cruzan 9 Spiced Rum</t>
  </si>
  <si>
    <t>AMERICAN RED</t>
  </si>
  <si>
    <t>Clos du Bois Hand Selected Lots Shiraz</t>
  </si>
  <si>
    <t>Roco Marsh Estate Vineyard Pinot Noir</t>
  </si>
  <si>
    <t>VODKA</t>
  </si>
  <si>
    <t>Smirnoff Mango Vodka</t>
  </si>
  <si>
    <t>CHAMPAGNE/SPARKLING</t>
  </si>
  <si>
    <t>Freixenet Blanc de Blancs Brut Cava Blend</t>
  </si>
  <si>
    <t>Tomasello Winery Blueberry Wine Red Blend</t>
  </si>
  <si>
    <t>500ML</t>
  </si>
  <si>
    <t>Takara Can Chu Hi JPop Grapefruit - 6 Pack</t>
  </si>
  <si>
    <t>La Catrina Cabernet Sauvignon</t>
  </si>
  <si>
    <t>He'Brew Genesis Dry Hopped Session Ale - 6 Pack</t>
  </si>
  <si>
    <t>Schlafly Oktoberfest - 6 Pack</t>
  </si>
  <si>
    <t>Beerlao Dark Lager - 6 Pack</t>
  </si>
  <si>
    <t>Hitachino Nest Red Rice Ale - 6 Pack</t>
  </si>
  <si>
    <t>11.2Z</t>
  </si>
  <si>
    <t>Piera Martellozzo Blu Giovello Moscato Puglia IGT Muscat</t>
  </si>
  <si>
    <t>Troegs LaGrave - 4 Pack</t>
  </si>
  <si>
    <t>12.7Z</t>
  </si>
  <si>
    <t>Rex Goliath Free Range Giant 47 Pound Rooster Merlot</t>
  </si>
  <si>
    <t>Gulden Draak 9000 Quadruple - 4 Pack</t>
  </si>
  <si>
    <t>SPAIN/PORTUGAL</t>
  </si>
  <si>
    <t>Castillo de Maluenda Vinas Viejas Punto y Coma Garnacha</t>
  </si>
  <si>
    <t>Four Seasons Collection Late Harvest White Moscato Dessert Muscat</t>
  </si>
  <si>
    <t>Agricola Punica Barrua Isola Dei Nuraghi IGT Carignan</t>
  </si>
  <si>
    <t>CiROC Red Berry Vodka</t>
  </si>
  <si>
    <t>375ML</t>
  </si>
  <si>
    <t>AMERICAN WHITE</t>
  </si>
  <si>
    <t>Walter Hansel Winery The Estate Vineyards Chardonnay</t>
  </si>
  <si>
    <t>Hum Botanical Spirit Liqueur</t>
  </si>
  <si>
    <t>Brasserie de Silly Saison - 4 Pack</t>
  </si>
  <si>
    <t>UINTA PALE ALE NR - 6 Pack</t>
  </si>
  <si>
    <t>Francis Ford Coppola Sofia Brut Rose Pinot Noir</t>
  </si>
  <si>
    <t>Troegenator Double Bock Can - 12 Pack</t>
  </si>
  <si>
    <t>Cuvaison Pinot Noir</t>
  </si>
  <si>
    <t>Brunellesco Delle Venezie IGT Pinot Grigio</t>
  </si>
  <si>
    <t>Maui Brewing Big Swell IPA - 6 Pack</t>
  </si>
  <si>
    <t>Grand Marnier Cuvee 1880 Liqueur</t>
  </si>
  <si>
    <t>Efe Raki Black Triple Distilled Liqueur</t>
  </si>
  <si>
    <t>Miller Lite Can - 24 Pack</t>
  </si>
  <si>
    <t>16.0Z</t>
  </si>
  <si>
    <t>Brinley Gold Shipwreck Mango Rum</t>
  </si>
  <si>
    <t>ARGENTINA</t>
  </si>
  <si>
    <t>Finca Las Moras Barrel Select Cabernet Sauvignon</t>
  </si>
  <si>
    <t>Saracina Unoaked Chardonnay</t>
  </si>
  <si>
    <t>Matchbook The Arsonist Bordeaux Blend</t>
  </si>
  <si>
    <t>Roy Pitz Sour Hound - 6 Pack</t>
  </si>
  <si>
    <t>FRANCE</t>
  </si>
  <si>
    <t>LA CHASSE PRETIGE CDR</t>
  </si>
  <si>
    <t>IL Tramonto Amaretto Liqueur</t>
  </si>
  <si>
    <t>Compass Box Orangerie Scotch Whisky</t>
  </si>
  <si>
    <t>Matchbook Rose Estate Bottled Tempranillo</t>
  </si>
  <si>
    <t>Adelsheim Ribbon Springs Auxerrois</t>
  </si>
  <si>
    <t>AMERICAN TABLE</t>
  </si>
  <si>
    <t>Francis Ford Coppola Diamond Collection Black Label Pavilion Chardonnay</t>
  </si>
  <si>
    <t>Marchesi di Barolo Ruvei Barbera d'Alba</t>
  </si>
  <si>
    <t>ICEHOUSE 4/6 LNNR - 24 Pack</t>
  </si>
  <si>
    <t>Shipyard Summer Ale - 6 Pack</t>
  </si>
  <si>
    <t>GIN</t>
  </si>
  <si>
    <t>Prairie Organic Gin</t>
  </si>
  <si>
    <t>District Made Vodka</t>
  </si>
  <si>
    <t>BOURBON/RYE</t>
  </si>
  <si>
    <t>Old Forester 1897 Bottled in Bond Kentucky Straight Bourbon Whisky</t>
  </si>
  <si>
    <t>PInnacle Chocolate Whipped Vodka</t>
  </si>
  <si>
    <t>Pucker Cherry Tease Vodka</t>
  </si>
  <si>
    <t>Wild Turkey 101 Kentucky Straight Bourbon Whiskey</t>
  </si>
  <si>
    <t>1L</t>
  </si>
  <si>
    <t>KOSHER</t>
  </si>
  <si>
    <t>Baron Herzog Jeunesse Chardonnay</t>
  </si>
  <si>
    <t>Flo Merlot</t>
  </si>
  <si>
    <t>Pinnacle Cherry Whipped Vodka</t>
  </si>
  <si>
    <t>GERMANY</t>
  </si>
  <si>
    <t>Oh Be Joyful Sweet Deutscher Qualitatswein Dornfelder</t>
  </si>
  <si>
    <t>Moorhouse's English Owd Ale - 4 Pack</t>
  </si>
  <si>
    <t>16.9Z</t>
  </si>
  <si>
    <t>Familia Dante Twelve Months Oak Aged Toscana IGT Sangiovese</t>
  </si>
  <si>
    <t>Uinta Ready Set Gose - 6 Pack</t>
  </si>
  <si>
    <t>Arbor Mist Blackberry Merlot</t>
  </si>
  <si>
    <t>Lagunitas Super Cluster Can - 6 Pack</t>
  </si>
  <si>
    <t>Twenty Grand Peach Vodka</t>
  </si>
  <si>
    <t>Sugar Island Spiced Rum</t>
  </si>
  <si>
    <t>Red Horse Beer - 6 Pack</t>
  </si>
  <si>
    <t>Bully Hill Vineyards Love My Goat Baco Noir</t>
  </si>
  <si>
    <t>CHILE</t>
  </si>
  <si>
    <t>TerraNoble Reserva La Higuera Vineyard Carmenere</t>
  </si>
  <si>
    <t>Quinta de Soalheiro Soalheiro Alvarinho</t>
  </si>
  <si>
    <t>Belhaven Scottish Stout - 4 Pack</t>
  </si>
  <si>
    <t>CANADIAN/BLENDED WHISKEY</t>
  </si>
  <si>
    <t>Label 5 Classic Black Blended Scotch Whisky</t>
  </si>
  <si>
    <t>Pearl Wedding Cake Vodka</t>
  </si>
  <si>
    <t>Glenkinchie Distillers Edition Single Malt Scotch Whisky</t>
  </si>
  <si>
    <t>Waterbrook Cabernet Sauvignon</t>
  </si>
  <si>
    <t>Ermita de Petrer Tinto Organic Alicante</t>
  </si>
  <si>
    <t>The Eyrie Vineyards Pinot Gris</t>
  </si>
  <si>
    <t>Sixpoint Resin - 6 Pack</t>
  </si>
  <si>
    <t>SCHLAFLY STOUT BOUT SAMPLER   2/12 - 12 Pack</t>
  </si>
  <si>
    <t>CH TOUR D'AURON</t>
  </si>
  <si>
    <t>Smirnoff Kissed Caramel Vodka</t>
  </si>
  <si>
    <t>Sea Ridge Cabernet Sauvignon</t>
  </si>
  <si>
    <t>Stonewall American Rum</t>
  </si>
  <si>
    <t>Kurant 1852 Crystal Limited Edition Vodka</t>
  </si>
  <si>
    <t>UV Blue Raspberry Vodka</t>
  </si>
  <si>
    <t>Carlo Rossi Moscato Sangria Muscat Blanc a Petits Grains</t>
  </si>
  <si>
    <t>Kuromatsu Hakushika Chokara Extra Dry Sake</t>
  </si>
  <si>
    <t>300ML</t>
  </si>
  <si>
    <t>Evolution Craft Stalker Hefeweizen - 6 Pack</t>
  </si>
  <si>
    <t>Beringer Vineyards Stone Cellars Shiraz</t>
  </si>
  <si>
    <t>Ommegang Hennepin - 4 Pack</t>
  </si>
  <si>
    <t>Wychwood Hobgoblin</t>
  </si>
  <si>
    <t>Stags' Leap Winery Cabernet Sauvignon</t>
  </si>
  <si>
    <t>Shiner Sea Salt &amp; Lime - 6 Pack</t>
  </si>
  <si>
    <t>Zip code</t>
  </si>
  <si>
    <t>Social Security</t>
  </si>
  <si>
    <t>Jones</t>
  </si>
  <si>
    <t>Daniel</t>
  </si>
  <si>
    <t>Smith</t>
  </si>
  <si>
    <t>Mary</t>
  </si>
  <si>
    <t>Brown</t>
  </si>
  <si>
    <t>Ali</t>
  </si>
  <si>
    <t>Moore</t>
  </si>
  <si>
    <t>Nial</t>
  </si>
  <si>
    <t>Williams</t>
  </si>
  <si>
    <t>Andrea</t>
  </si>
  <si>
    <t>Taylor</t>
  </si>
  <si>
    <t>Sophia</t>
  </si>
  <si>
    <t>Miller</t>
  </si>
  <si>
    <t>Jack</t>
  </si>
  <si>
    <t>Wilson</t>
  </si>
  <si>
    <t>Olivia</t>
  </si>
  <si>
    <t>Thompson</t>
  </si>
  <si>
    <t>Liam</t>
  </si>
  <si>
    <t>Phillips</t>
  </si>
  <si>
    <t>Harry</t>
  </si>
  <si>
    <t>Bell</t>
  </si>
  <si>
    <t>Zyan</t>
  </si>
  <si>
    <t>766-57-1720</t>
  </si>
  <si>
    <t>545-51-1526</t>
  </si>
  <si>
    <t>394-29-9533</t>
  </si>
  <si>
    <t>159-29-5325</t>
  </si>
  <si>
    <t>469-48-9613</t>
  </si>
  <si>
    <t>405-20-9787</t>
  </si>
  <si>
    <t>814-60-6782</t>
  </si>
  <si>
    <t>938-82-1439</t>
  </si>
  <si>
    <t>840-58-7153</t>
  </si>
  <si>
    <t>482-86-4651</t>
  </si>
  <si>
    <t>189-60-2526</t>
  </si>
  <si>
    <t>New York</t>
  </si>
  <si>
    <t>NY</t>
  </si>
  <si>
    <t>Percent</t>
  </si>
  <si>
    <t>Commission Table</t>
  </si>
  <si>
    <t>(718)711-5502</t>
  </si>
  <si>
    <t>(718)727-1674</t>
  </si>
  <si>
    <t>(718)587-3340</t>
  </si>
  <si>
    <t>(718)208-6048</t>
  </si>
  <si>
    <t>(718)470-6519</t>
  </si>
  <si>
    <t>(718)427-8878</t>
  </si>
  <si>
    <t>(718)891-1463</t>
  </si>
  <si>
    <t>(718)822-2291</t>
  </si>
  <si>
    <t>(718)853-9943</t>
  </si>
  <si>
    <t>(718)327-5953</t>
  </si>
  <si>
    <t>(718)488-9714</t>
  </si>
  <si>
    <t>Y</t>
  </si>
  <si>
    <t>N</t>
  </si>
  <si>
    <t>Add Customer Button - add cust info to table and fills in info in pos section</t>
  </si>
  <si>
    <t>Ideas</t>
  </si>
  <si>
    <t>Clarke</t>
  </si>
  <si>
    <t>Joe</t>
  </si>
  <si>
    <t>Jonas</t>
  </si>
  <si>
    <t>Hunter</t>
  </si>
  <si>
    <t>Kevin</t>
  </si>
  <si>
    <t>Gordon</t>
  </si>
  <si>
    <t>Selena</t>
  </si>
  <si>
    <t>Wheeler</t>
  </si>
  <si>
    <t>Kim</t>
  </si>
  <si>
    <t>Black</t>
  </si>
  <si>
    <t>Henry</t>
  </si>
  <si>
    <t>Lane</t>
  </si>
  <si>
    <t>Robertson</t>
  </si>
  <si>
    <t>Lily</t>
  </si>
  <si>
    <t>Luna</t>
  </si>
  <si>
    <t>Sam</t>
  </si>
  <si>
    <t>Lanister</t>
  </si>
  <si>
    <t>Jaime</t>
  </si>
  <si>
    <t>Tyrell</t>
  </si>
  <si>
    <t>Emma</t>
  </si>
  <si>
    <t>Baratheon</t>
  </si>
  <si>
    <t>Noah</t>
  </si>
  <si>
    <t>Stark</t>
  </si>
  <si>
    <t>Ava</t>
  </si>
  <si>
    <t>Snow</t>
  </si>
  <si>
    <t>Britany</t>
  </si>
  <si>
    <t>Bailey</t>
  </si>
  <si>
    <t>Ashley</t>
  </si>
  <si>
    <t>Simpson</t>
  </si>
  <si>
    <t>Aiden</t>
  </si>
  <si>
    <t>Lincoln</t>
  </si>
  <si>
    <t>Miranda</t>
  </si>
  <si>
    <t>Flander</t>
  </si>
  <si>
    <t>Isabella</t>
  </si>
  <si>
    <t>Lee</t>
  </si>
  <si>
    <t>Caden</t>
  </si>
  <si>
    <t>Patel</t>
  </si>
  <si>
    <t>Mohammad</t>
  </si>
  <si>
    <t>Cooper</t>
  </si>
  <si>
    <t>Rashid</t>
  </si>
  <si>
    <t>(347)317-9507</t>
  </si>
  <si>
    <t>(347)247-8014</t>
  </si>
  <si>
    <t>(347)167-3468</t>
  </si>
  <si>
    <t>(347)612-3651</t>
  </si>
  <si>
    <t>(347)399-4531</t>
  </si>
  <si>
    <t>(347)231-9660</t>
  </si>
  <si>
    <t>(347)562-7363</t>
  </si>
  <si>
    <t>(347)580-2810</t>
  </si>
  <si>
    <t>(347)530-5005</t>
  </si>
  <si>
    <t>(347)136-8717</t>
  </si>
  <si>
    <t>(347)848-1835</t>
  </si>
  <si>
    <t>(347)951-9804</t>
  </si>
  <si>
    <t>(347)385-6354</t>
  </si>
  <si>
    <t>(347)113-4653</t>
  </si>
  <si>
    <t>(347)686-7384</t>
  </si>
  <si>
    <t>(347)900-2636</t>
  </si>
  <si>
    <t>(347)115-6403</t>
  </si>
  <si>
    <t>(347)634-6539</t>
  </si>
  <si>
    <t>(347)619-8435</t>
  </si>
  <si>
    <t>(347)585-4137</t>
  </si>
  <si>
    <t>(347)843-8518</t>
  </si>
  <si>
    <t>(347)302-2959</t>
  </si>
  <si>
    <t>Transaction No.</t>
  </si>
  <si>
    <t>Cust No.</t>
  </si>
  <si>
    <t>Time</t>
  </si>
  <si>
    <t>17:59:34</t>
  </si>
  <si>
    <t>19:26:59</t>
  </si>
  <si>
    <t>19:13:28</t>
  </si>
  <si>
    <t>14:03:23</t>
  </si>
  <si>
    <t>11:57:34</t>
  </si>
  <si>
    <t>18:55:49</t>
  </si>
  <si>
    <t>17:54:25</t>
  </si>
  <si>
    <t>12:49:36</t>
  </si>
  <si>
    <t>12:35:54</t>
  </si>
  <si>
    <t>19:09:00</t>
  </si>
  <si>
    <t>09:32:11</t>
  </si>
  <si>
    <t>18:15:15</t>
  </si>
  <si>
    <t>14:47:18</t>
  </si>
  <si>
    <t>08:35:17</t>
  </si>
  <si>
    <t>18:01:48</t>
  </si>
  <si>
    <t>18:14:57</t>
  </si>
  <si>
    <t>18:07:45</t>
  </si>
  <si>
    <t>13:53:46</t>
  </si>
  <si>
    <t>10:40:53</t>
  </si>
  <si>
    <t>08:15:06</t>
  </si>
  <si>
    <t>09:39:25</t>
  </si>
  <si>
    <t>16:05:50</t>
  </si>
  <si>
    <t>16:39:04</t>
  </si>
  <si>
    <t>15:26:16</t>
  </si>
  <si>
    <t>13:11:20</t>
  </si>
  <si>
    <t>17:52:23</t>
  </si>
  <si>
    <t>19:35:27</t>
  </si>
  <si>
    <t>08:10:35</t>
  </si>
  <si>
    <t>11:02:25</t>
  </si>
  <si>
    <t>14:36:42</t>
  </si>
  <si>
    <t>16:05:49</t>
  </si>
  <si>
    <t>18:52:25</t>
  </si>
  <si>
    <t>12:16:34</t>
  </si>
  <si>
    <t>10:58:40</t>
  </si>
  <si>
    <t>11:29:48</t>
  </si>
  <si>
    <t>11:00:21</t>
  </si>
  <si>
    <t>08:06:43</t>
  </si>
  <si>
    <t>17:50:01</t>
  </si>
  <si>
    <t>11:09:09</t>
  </si>
  <si>
    <t>09:01:40</t>
  </si>
  <si>
    <t>08:42:09</t>
  </si>
  <si>
    <t>13:19:47</t>
  </si>
  <si>
    <t>11:49:26</t>
  </si>
  <si>
    <t>16:22:05</t>
  </si>
  <si>
    <t>10:27:26</t>
  </si>
  <si>
    <t>08:04:18</t>
  </si>
  <si>
    <t>18:58:28</t>
  </si>
  <si>
    <t>16:24:30</t>
  </si>
  <si>
    <t>16:47:15</t>
  </si>
  <si>
    <t>09:34:21</t>
  </si>
  <si>
    <t>12:36:05</t>
  </si>
  <si>
    <t>16:15:58</t>
  </si>
  <si>
    <t>16:03:39</t>
  </si>
  <si>
    <t>13:37:47</t>
  </si>
  <si>
    <t>17:35:09</t>
  </si>
  <si>
    <t>16:59:36</t>
  </si>
  <si>
    <t>13:46:30</t>
  </si>
  <si>
    <t>15:23:30</t>
  </si>
  <si>
    <t>19:33:31</t>
  </si>
  <si>
    <t>08:33:56</t>
  </si>
  <si>
    <t>13:13:54</t>
  </si>
  <si>
    <t>18:20:47</t>
  </si>
  <si>
    <t>09:43:37</t>
  </si>
  <si>
    <t>19:14:13</t>
  </si>
  <si>
    <t>16:47:02</t>
  </si>
  <si>
    <t>14:22:02</t>
  </si>
  <si>
    <t>17:45:06</t>
  </si>
  <si>
    <t>11:18:10</t>
  </si>
  <si>
    <t>19:01:18</t>
  </si>
  <si>
    <t>15:25:32</t>
  </si>
  <si>
    <t>11:33:32</t>
  </si>
  <si>
    <t>15:25:57</t>
  </si>
  <si>
    <t>11:26:02</t>
  </si>
  <si>
    <t>15:24:02</t>
  </si>
  <si>
    <t>17:53:19</t>
  </si>
  <si>
    <t>18:27:01</t>
  </si>
  <si>
    <t>11:33:35</t>
  </si>
  <si>
    <t>11:47:59</t>
  </si>
  <si>
    <t>15:58:47</t>
  </si>
  <si>
    <t>10:11:38</t>
  </si>
  <si>
    <t>11:11:51</t>
  </si>
  <si>
    <t>13:46:12</t>
  </si>
  <si>
    <t>10:23:17</t>
  </si>
  <si>
    <t>11:04:10</t>
  </si>
  <si>
    <t>08:59:02</t>
  </si>
  <si>
    <t>19:41:01</t>
  </si>
  <si>
    <t>12:26:31</t>
  </si>
  <si>
    <t>16:58:55</t>
  </si>
  <si>
    <t>14:35:34</t>
  </si>
  <si>
    <t>08:40:12</t>
  </si>
  <si>
    <t>09:18:54</t>
  </si>
  <si>
    <t>12:29:53</t>
  </si>
  <si>
    <t>08:25:23</t>
  </si>
  <si>
    <t>17:02:06</t>
  </si>
  <si>
    <t>15:31:42</t>
  </si>
  <si>
    <t>17:52:08</t>
  </si>
  <si>
    <t>19:59:36</t>
  </si>
  <si>
    <t>11:51:10</t>
  </si>
  <si>
    <t>08:24:28</t>
  </si>
  <si>
    <t>16:11:37</t>
  </si>
  <si>
    <t>17:47:59</t>
  </si>
  <si>
    <t>18:04:20</t>
  </si>
  <si>
    <t>16:29:36</t>
  </si>
  <si>
    <t>15:11:58</t>
  </si>
  <si>
    <t>14:15:26</t>
  </si>
  <si>
    <t>13:44:40</t>
  </si>
  <si>
    <t>14:05:33</t>
  </si>
  <si>
    <t>11:14:31</t>
  </si>
  <si>
    <t>11:56:59</t>
  </si>
  <si>
    <t>08:48:10</t>
  </si>
  <si>
    <t>16:35:26</t>
  </si>
  <si>
    <t>08:39:58</t>
  </si>
  <si>
    <t>09:55:51</t>
  </si>
  <si>
    <t>12:58:48</t>
  </si>
  <si>
    <t>11:38:57</t>
  </si>
  <si>
    <t>17:30:51</t>
  </si>
  <si>
    <t>17:30:10</t>
  </si>
  <si>
    <t>19:04:51</t>
  </si>
  <si>
    <t>19:48:52</t>
  </si>
  <si>
    <t>19:59:27</t>
  </si>
  <si>
    <t>14:44:38</t>
  </si>
  <si>
    <t>16:21:58</t>
  </si>
  <si>
    <t>17:18:50</t>
  </si>
  <si>
    <t>11:14:07</t>
  </si>
  <si>
    <t>18:56:58</t>
  </si>
  <si>
    <t>09:04:10</t>
  </si>
  <si>
    <t>13:49:28</t>
  </si>
  <si>
    <t>16:04:54</t>
  </si>
  <si>
    <t>17:58:33</t>
  </si>
  <si>
    <t>12:17:25</t>
  </si>
  <si>
    <t>12:45:59</t>
  </si>
  <si>
    <t>19:59:23</t>
  </si>
  <si>
    <t>16:36:35</t>
  </si>
  <si>
    <t>12:50:54</t>
  </si>
  <si>
    <t>11:18:44</t>
  </si>
  <si>
    <t>17:51:59</t>
  </si>
  <si>
    <t>19:12:38</t>
  </si>
  <si>
    <t>19:13:27</t>
  </si>
  <si>
    <t>19:05:04</t>
  </si>
  <si>
    <t>19:16:18</t>
  </si>
  <si>
    <t>18:09:47</t>
  </si>
  <si>
    <t>14:17:51</t>
  </si>
  <si>
    <t>13:22:40</t>
  </si>
  <si>
    <t>09:10:29</t>
  </si>
  <si>
    <t>16:13:11</t>
  </si>
  <si>
    <t>08:51:07</t>
  </si>
  <si>
    <t>09:24:30</t>
  </si>
  <si>
    <t>17:19:45</t>
  </si>
  <si>
    <t>19:26:37</t>
  </si>
  <si>
    <t>15:07:15</t>
  </si>
  <si>
    <t>19:16:41</t>
  </si>
  <si>
    <t>18:16:23</t>
  </si>
  <si>
    <t>11:58:31</t>
  </si>
  <si>
    <t>11:34:24</t>
  </si>
  <si>
    <t>10:28:14</t>
  </si>
  <si>
    <t>13:41:32</t>
  </si>
  <si>
    <t>18:35:51</t>
  </si>
  <si>
    <t>10:41:12</t>
  </si>
  <si>
    <t>16:53:49</t>
  </si>
  <si>
    <t>08:43:27</t>
  </si>
  <si>
    <t>19:26:01</t>
  </si>
  <si>
    <t>08:21:03</t>
  </si>
  <si>
    <t>11:24:32</t>
  </si>
  <si>
    <t>17:29:31</t>
  </si>
  <si>
    <t>11:55:35</t>
  </si>
  <si>
    <t>16:04:12</t>
  </si>
  <si>
    <t>14:38:14</t>
  </si>
  <si>
    <t>13:47:52</t>
  </si>
  <si>
    <t>14:43:25</t>
  </si>
  <si>
    <t>13:25:59</t>
  </si>
  <si>
    <t>17:02:03</t>
  </si>
  <si>
    <t>12:06:26</t>
  </si>
  <si>
    <t>19:42:47</t>
  </si>
  <si>
    <t>12:04:18</t>
  </si>
  <si>
    <t>18:21:16</t>
  </si>
  <si>
    <t>09:39:37</t>
  </si>
  <si>
    <t>08:28:59</t>
  </si>
  <si>
    <t>13:49:59</t>
  </si>
  <si>
    <t>11:04:07</t>
  </si>
  <si>
    <t>15:20:40</t>
  </si>
  <si>
    <t>18:38:26</t>
  </si>
  <si>
    <t>17:30:07</t>
  </si>
  <si>
    <t>17:33:52</t>
  </si>
  <si>
    <t>16:31:17</t>
  </si>
  <si>
    <t>19:37:20</t>
  </si>
  <si>
    <t>14:31:31</t>
  </si>
  <si>
    <t>12:27:35</t>
  </si>
  <si>
    <t>18:31:54</t>
  </si>
  <si>
    <t>16:53:10</t>
  </si>
  <si>
    <t>14:40:55</t>
  </si>
  <si>
    <t>13:33:15</t>
  </si>
  <si>
    <t>16:57:15</t>
  </si>
  <si>
    <t>09:22:15</t>
  </si>
  <si>
    <t>13:45:44</t>
  </si>
  <si>
    <t>17:40:32</t>
  </si>
  <si>
    <t>16:41:31</t>
  </si>
  <si>
    <t>16:06:49</t>
  </si>
  <si>
    <t>08:03:13</t>
  </si>
  <si>
    <t>14:27:45</t>
  </si>
  <si>
    <t>14:19:50</t>
  </si>
  <si>
    <t>13:57:56</t>
  </si>
  <si>
    <t>12:29:02</t>
  </si>
  <si>
    <t>15:49:59</t>
  </si>
  <si>
    <t>08:39:31</t>
  </si>
  <si>
    <t>19:51:28</t>
  </si>
  <si>
    <t>10:49:56</t>
  </si>
  <si>
    <t>09:51:33</t>
  </si>
  <si>
    <t>08:09:06</t>
  </si>
  <si>
    <t>15:32:50</t>
  </si>
  <si>
    <t>14:54:43</t>
  </si>
  <si>
    <t>16:08:58</t>
  </si>
  <si>
    <t>10:44:47</t>
  </si>
  <si>
    <t>19:50:39</t>
  </si>
  <si>
    <t>12:10:53</t>
  </si>
  <si>
    <t>15:30:00</t>
  </si>
  <si>
    <t>19:51:35</t>
  </si>
  <si>
    <t>19:14:58</t>
  </si>
  <si>
    <t>17:37:24</t>
  </si>
  <si>
    <t>19:04:59</t>
  </si>
  <si>
    <t>10:38:49</t>
  </si>
  <si>
    <t>16:52:13</t>
  </si>
  <si>
    <t>08:30:13</t>
  </si>
  <si>
    <t>13:18:54</t>
  </si>
  <si>
    <t>13:33:59</t>
  </si>
  <si>
    <t>08:43:16</t>
  </si>
  <si>
    <t>11:20:00</t>
  </si>
  <si>
    <t>11:44:49</t>
  </si>
  <si>
    <t>09:12:51</t>
  </si>
  <si>
    <t>08:14:14</t>
  </si>
  <si>
    <t>19:02:51</t>
  </si>
  <si>
    <t>16:52:20</t>
  </si>
  <si>
    <t>09:36:49</t>
  </si>
  <si>
    <t>09:09:43</t>
  </si>
  <si>
    <t>08:06:16</t>
  </si>
  <si>
    <t>12:22:24</t>
  </si>
  <si>
    <t>15:58:13</t>
  </si>
  <si>
    <t>16:31:49</t>
  </si>
  <si>
    <t>13:52:52</t>
  </si>
  <si>
    <t>10:27:15</t>
  </si>
  <si>
    <t>14:37:36</t>
  </si>
  <si>
    <t>18:09:46</t>
  </si>
  <si>
    <t>13:44:26</t>
  </si>
  <si>
    <t>14:00:20</t>
  </si>
  <si>
    <t>10:12:19</t>
  </si>
  <si>
    <t>19:45:19</t>
  </si>
  <si>
    <t>12:22:40</t>
  </si>
  <si>
    <t>17:30:01</t>
  </si>
  <si>
    <t>19:04:57</t>
  </si>
  <si>
    <t>19:10:52</t>
  </si>
  <si>
    <t>17:43:00</t>
  </si>
  <si>
    <t>18:34:22</t>
  </si>
  <si>
    <t>15:11:09</t>
  </si>
  <si>
    <t>15:22:38</t>
  </si>
  <si>
    <t>18:09:26</t>
  </si>
  <si>
    <t>17:22:11</t>
  </si>
  <si>
    <t>18:29:57</t>
  </si>
  <si>
    <t>17:28:11</t>
  </si>
  <si>
    <t>17:21:05</t>
  </si>
  <si>
    <t>12:29:00</t>
  </si>
  <si>
    <t>17:01:51</t>
  </si>
  <si>
    <t>08:44:19</t>
  </si>
  <si>
    <t>15:49:35</t>
  </si>
  <si>
    <t>13:08:37</t>
  </si>
  <si>
    <t>16:15:50</t>
  </si>
  <si>
    <t>17:15:18</t>
  </si>
  <si>
    <t>16:46:32</t>
  </si>
  <si>
    <t>15:13:05</t>
  </si>
  <si>
    <t>12:04:03</t>
  </si>
  <si>
    <t>17:19:50</t>
  </si>
  <si>
    <t>18:37:04</t>
  </si>
  <si>
    <t>18:36:49</t>
  </si>
  <si>
    <t>16:49:23</t>
  </si>
  <si>
    <t>12:33:58</t>
  </si>
  <si>
    <t>09:01:43</t>
  </si>
  <si>
    <t>11:32:57</t>
  </si>
  <si>
    <t>13:56:14</t>
  </si>
  <si>
    <t>10:24:06</t>
  </si>
  <si>
    <t>19:11:13</t>
  </si>
  <si>
    <t>12:03:55</t>
  </si>
  <si>
    <t>09:47:56</t>
  </si>
  <si>
    <t>09:29:37</t>
  </si>
  <si>
    <t>11:34:47</t>
  </si>
  <si>
    <t>14:42:20</t>
  </si>
  <si>
    <t>10:23:40</t>
  </si>
  <si>
    <t>14:35:58</t>
  </si>
  <si>
    <t>13:04:46</t>
  </si>
  <si>
    <t>15:12:12</t>
  </si>
  <si>
    <t>10:06:30</t>
  </si>
  <si>
    <t>18:43:58</t>
  </si>
  <si>
    <t>12:17:48</t>
  </si>
  <si>
    <t>13:54:14</t>
  </si>
  <si>
    <t>08:43:26</t>
  </si>
  <si>
    <t>15:48:17</t>
  </si>
  <si>
    <t>09:12:08</t>
  </si>
  <si>
    <t>14:59:23</t>
  </si>
  <si>
    <t>10:56:57</t>
  </si>
  <si>
    <t>10:44:29</t>
  </si>
  <si>
    <t>16:38:04</t>
  </si>
  <si>
    <t>13:17:39</t>
  </si>
  <si>
    <t>14:21:19</t>
  </si>
  <si>
    <t>18:34:27</t>
  </si>
  <si>
    <t>11:02:35</t>
  </si>
  <si>
    <t>09:26:09</t>
  </si>
  <si>
    <t>19:35:28</t>
  </si>
  <si>
    <t>15:12:44</t>
  </si>
  <si>
    <t>12:53:54</t>
  </si>
  <si>
    <t>08:50:21</t>
  </si>
  <si>
    <t>13:39:01</t>
  </si>
  <si>
    <t>09:51:51</t>
  </si>
  <si>
    <t>11:21:39</t>
  </si>
  <si>
    <t>08:33:19</t>
  </si>
  <si>
    <t>14:48:35</t>
  </si>
  <si>
    <t>12:27:24</t>
  </si>
  <si>
    <t>17:02:01</t>
  </si>
  <si>
    <t>19:47:51</t>
  </si>
  <si>
    <t>08:15:22</t>
  </si>
  <si>
    <t>10:30:42</t>
  </si>
  <si>
    <t>13:32:54</t>
  </si>
  <si>
    <t>19:55:16</t>
  </si>
  <si>
    <t>10:35:03</t>
  </si>
  <si>
    <t>15:00:09</t>
  </si>
  <si>
    <t>16:51:35</t>
  </si>
  <si>
    <t>08:55:04</t>
  </si>
  <si>
    <t>12:36:06</t>
  </si>
  <si>
    <t>13:44:36</t>
  </si>
  <si>
    <t>15:48:49</t>
  </si>
  <si>
    <t>12:38:40</t>
  </si>
  <si>
    <t>15:38:57</t>
  </si>
  <si>
    <t>08:54:07</t>
  </si>
  <si>
    <t>11:41:32</t>
  </si>
  <si>
    <t>17:23:33</t>
  </si>
  <si>
    <t>13:57:25</t>
  </si>
  <si>
    <t>10:56:51</t>
  </si>
  <si>
    <t>14:10:33</t>
  </si>
  <si>
    <t>08:31:14</t>
  </si>
  <si>
    <t>10:16:22</t>
  </si>
  <si>
    <t>19:21:40</t>
  </si>
  <si>
    <t>14:44:42</t>
  </si>
  <si>
    <t>18:58:41</t>
  </si>
  <si>
    <t>12:04:32</t>
  </si>
  <si>
    <t>14:40:23</t>
  </si>
  <si>
    <t>18:21:14</t>
  </si>
  <si>
    <t>18:26:04</t>
  </si>
  <si>
    <t>10:00:03</t>
  </si>
  <si>
    <t>10:02:58</t>
  </si>
  <si>
    <t>12:36:03</t>
  </si>
  <si>
    <t>11:18:18</t>
  </si>
  <si>
    <t>13:54:49</t>
  </si>
  <si>
    <t>18:28:18</t>
  </si>
  <si>
    <t>18:00:22</t>
  </si>
  <si>
    <t>13:49:03</t>
  </si>
  <si>
    <t>08:55:38</t>
  </si>
  <si>
    <t>08:42:42</t>
  </si>
  <si>
    <t>13:34:42</t>
  </si>
  <si>
    <t>16:56:51</t>
  </si>
  <si>
    <t>14:47:20</t>
  </si>
  <si>
    <t>11:25:43</t>
  </si>
  <si>
    <t>19:27:14</t>
  </si>
  <si>
    <t>08:18:59</t>
  </si>
  <si>
    <t>18:44:08</t>
  </si>
  <si>
    <t>11:30:46</t>
  </si>
  <si>
    <t>19:02:52</t>
  </si>
  <si>
    <t>10:10:28</t>
  </si>
  <si>
    <t>17:37:45</t>
  </si>
  <si>
    <t>10:48:07</t>
  </si>
  <si>
    <t>08:47:27</t>
  </si>
  <si>
    <t>13:20:07</t>
  </si>
  <si>
    <t>15:52:56</t>
  </si>
  <si>
    <t>16:05:11</t>
  </si>
  <si>
    <t>11:04:43</t>
  </si>
  <si>
    <t>15:36:49</t>
  </si>
  <si>
    <t>17:14:12</t>
  </si>
  <si>
    <t>15:28:21</t>
  </si>
  <si>
    <t>19:21:30</t>
  </si>
  <si>
    <t>19:19:56</t>
  </si>
  <si>
    <t>14:56:23</t>
  </si>
  <si>
    <t>09:28:05</t>
  </si>
  <si>
    <t>18:59:13</t>
  </si>
  <si>
    <t>11:17:16</t>
  </si>
  <si>
    <t>17:07:24</t>
  </si>
  <si>
    <t>16:27:17</t>
  </si>
  <si>
    <t>08:41:03</t>
  </si>
  <si>
    <t>17:19:56</t>
  </si>
  <si>
    <t>14:24:14</t>
  </si>
  <si>
    <t>16:47:18</t>
  </si>
  <si>
    <t>19:05:06</t>
  </si>
  <si>
    <t>09:30:45</t>
  </si>
  <si>
    <t>19:23:47</t>
  </si>
  <si>
    <t>11:20:54</t>
  </si>
  <si>
    <t>14:08:00</t>
  </si>
  <si>
    <t>17:39:55</t>
  </si>
  <si>
    <t>11:16:42</t>
  </si>
  <si>
    <t>13:58:42</t>
  </si>
  <si>
    <t>17:55:11</t>
  </si>
  <si>
    <t>16:05:28</t>
  </si>
  <si>
    <t>17:25:55</t>
  </si>
  <si>
    <t>12:43:12</t>
  </si>
  <si>
    <t>19:58:26</t>
  </si>
  <si>
    <t>17:38:41</t>
  </si>
  <si>
    <t>13:54:29</t>
  </si>
  <si>
    <t>11:18:05</t>
  </si>
  <si>
    <t>10:23:50</t>
  </si>
  <si>
    <t>16:39:13</t>
  </si>
  <si>
    <t>19:02:57</t>
  </si>
  <si>
    <t>12:23:43</t>
  </si>
  <si>
    <t>16:04:38</t>
  </si>
  <si>
    <t>19:28:21</t>
  </si>
  <si>
    <t>09:18:48</t>
  </si>
  <si>
    <t>12:28:35</t>
  </si>
  <si>
    <t>17:39:15</t>
  </si>
  <si>
    <t>13:42:09</t>
  </si>
  <si>
    <t>17:32:07</t>
  </si>
  <si>
    <t>19:25:38</t>
  </si>
  <si>
    <t>08:59:52</t>
  </si>
  <si>
    <t>15:16:45</t>
  </si>
  <si>
    <t>17:11:57</t>
  </si>
  <si>
    <t>16:04:22</t>
  </si>
  <si>
    <t>18:32:42</t>
  </si>
  <si>
    <t>16:11:02</t>
  </si>
  <si>
    <t>13:39:05</t>
  </si>
  <si>
    <t>16:09:10</t>
  </si>
  <si>
    <t>16:32:58</t>
  </si>
  <si>
    <t>18:44:02</t>
  </si>
  <si>
    <t>18:32:01</t>
  </si>
  <si>
    <t>11:24:01</t>
  </si>
  <si>
    <t>13:38:22</t>
  </si>
  <si>
    <t>10:04:12</t>
  </si>
  <si>
    <t>10:09:43</t>
  </si>
  <si>
    <t>08:08:08</t>
  </si>
  <si>
    <t>10:29:07</t>
  </si>
  <si>
    <t>12:42:04</t>
  </si>
  <si>
    <t>17:08:11</t>
  </si>
  <si>
    <t>17:54:05</t>
  </si>
  <si>
    <t>17:36:04</t>
  </si>
  <si>
    <t>08:16:51</t>
  </si>
  <si>
    <t>11:34:53</t>
  </si>
  <si>
    <t>13:24:09</t>
  </si>
  <si>
    <t>11:17:19</t>
  </si>
  <si>
    <t>19:14:39</t>
  </si>
  <si>
    <t>11:42:13</t>
  </si>
  <si>
    <t>09:55:38</t>
  </si>
  <si>
    <t>15:12:39</t>
  </si>
  <si>
    <t>19:20:30</t>
  </si>
  <si>
    <t>18:39:34</t>
  </si>
  <si>
    <t>13:25:14</t>
  </si>
  <si>
    <t>10:43:25</t>
  </si>
  <si>
    <t>11:01:21</t>
  </si>
  <si>
    <t>13:09:40</t>
  </si>
  <si>
    <t>08:05:36</t>
  </si>
  <si>
    <t>08:52:34</t>
  </si>
  <si>
    <t>08:09:04</t>
  </si>
  <si>
    <t>08:16:12</t>
  </si>
  <si>
    <t>12:50:23</t>
  </si>
  <si>
    <t>08:07:45</t>
  </si>
  <si>
    <t>18:22:30</t>
  </si>
  <si>
    <t>13:50:37</t>
  </si>
  <si>
    <t>10:29:46</t>
  </si>
  <si>
    <t>13:20:19</t>
  </si>
  <si>
    <t>09:50:49</t>
  </si>
  <si>
    <t>19:00:41</t>
  </si>
  <si>
    <t>11:03:13</t>
  </si>
  <si>
    <t>15:11:20</t>
  </si>
  <si>
    <t>14:04:08</t>
  </si>
  <si>
    <t>12:39:31</t>
  </si>
  <si>
    <t>10:45:02</t>
  </si>
  <si>
    <t>15:38:19</t>
  </si>
  <si>
    <t>18:45:16</t>
  </si>
  <si>
    <t>19:43:39</t>
  </si>
  <si>
    <t>11:23:02</t>
  </si>
  <si>
    <t>15:31:30</t>
  </si>
  <si>
    <t>16:29:26</t>
  </si>
  <si>
    <t>16:12:39</t>
  </si>
  <si>
    <t>15:34:49</t>
  </si>
  <si>
    <t>09:49:37</t>
  </si>
  <si>
    <t>08:19:15</t>
  </si>
  <si>
    <t>18:10:23</t>
  </si>
  <si>
    <t>11:47:34</t>
  </si>
  <si>
    <t>09:59:37</t>
  </si>
  <si>
    <t>09:02:52</t>
  </si>
  <si>
    <t>18:18:43</t>
  </si>
  <si>
    <t>16:15:40</t>
  </si>
  <si>
    <t>09:32:14</t>
  </si>
  <si>
    <t>08:35:59</t>
  </si>
  <si>
    <t>10:41:22</t>
  </si>
  <si>
    <t>09:24:49</t>
  </si>
  <si>
    <t>09:31:49</t>
  </si>
  <si>
    <t>16:56:57</t>
  </si>
  <si>
    <t>13:57:19</t>
  </si>
  <si>
    <t>12:10:54</t>
  </si>
  <si>
    <t>14:21:21</t>
  </si>
  <si>
    <t>17:31:51</t>
  </si>
  <si>
    <t>19:38:13</t>
  </si>
  <si>
    <t>10:45:27</t>
  </si>
  <si>
    <t>09:55:54</t>
  </si>
  <si>
    <t>11:35:27</t>
  </si>
  <si>
    <t>18:29:21</t>
  </si>
  <si>
    <t>10:54:30</t>
  </si>
  <si>
    <t>11:01:26</t>
  </si>
  <si>
    <t>19:46:16</t>
  </si>
  <si>
    <t>10:29:41</t>
  </si>
  <si>
    <t>09:12:40</t>
  </si>
  <si>
    <t>17:25:20</t>
  </si>
  <si>
    <t>10:34:15</t>
  </si>
  <si>
    <t>18:42:45</t>
  </si>
  <si>
    <t>08:33:32</t>
  </si>
  <si>
    <t>13:31:01</t>
  </si>
  <si>
    <t>12:07:27</t>
  </si>
  <si>
    <t>18:46:08</t>
  </si>
  <si>
    <t>10:52:46</t>
  </si>
  <si>
    <t>18:04:48</t>
  </si>
  <si>
    <t>09:21:55</t>
  </si>
  <si>
    <t>19:38:02</t>
  </si>
  <si>
    <t>19:08:57</t>
  </si>
  <si>
    <t>09:23:16</t>
  </si>
  <si>
    <t>13:26:09</t>
  </si>
  <si>
    <t>09:06:19</t>
  </si>
  <si>
    <t>18:41:42</t>
  </si>
  <si>
    <t>15:36:15</t>
  </si>
  <si>
    <t>09:32:18</t>
  </si>
  <si>
    <t>08:51:37</t>
  </si>
  <si>
    <t>14:03:27</t>
  </si>
  <si>
    <t>19:53:52</t>
  </si>
  <si>
    <t>08:46:44</t>
  </si>
  <si>
    <t>08:27:40</t>
  </si>
  <si>
    <t>18:34:25</t>
  </si>
  <si>
    <t>15:51:27</t>
  </si>
  <si>
    <t>15:05:01</t>
  </si>
  <si>
    <t>16:36:37</t>
  </si>
  <si>
    <t>10:48:34</t>
  </si>
  <si>
    <t>15:58:32</t>
  </si>
  <si>
    <t>10:48:30</t>
  </si>
  <si>
    <t>10:28:01</t>
  </si>
  <si>
    <t>13:49:41</t>
  </si>
  <si>
    <t>16:50:02</t>
  </si>
  <si>
    <t>14:41:00</t>
  </si>
  <si>
    <t>15:50:50</t>
  </si>
  <si>
    <t>09:08:35</t>
  </si>
  <si>
    <t>14:32:47</t>
  </si>
  <si>
    <t>11:51:59</t>
  </si>
  <si>
    <t>12:17:41</t>
  </si>
  <si>
    <t>09:44:08</t>
  </si>
  <si>
    <t>18:10:35</t>
  </si>
  <si>
    <t>18:25:43</t>
  </si>
  <si>
    <t>10:50:09</t>
  </si>
  <si>
    <t>09:48:54</t>
  </si>
  <si>
    <t>09:23:44</t>
  </si>
  <si>
    <t>16:35:23</t>
  </si>
  <si>
    <t>13:22:55</t>
  </si>
  <si>
    <t>12:41:36</t>
  </si>
  <si>
    <t>11:32:19</t>
  </si>
  <si>
    <t>19:29:37</t>
  </si>
  <si>
    <t>14:11:29</t>
  </si>
  <si>
    <t>16:33:49</t>
  </si>
  <si>
    <t>16:50:42</t>
  </si>
  <si>
    <t>12:08:30</t>
  </si>
  <si>
    <t>17:12:12</t>
  </si>
  <si>
    <t>11:38:43</t>
  </si>
  <si>
    <t>16:14:26</t>
  </si>
  <si>
    <t>17:57:20</t>
  </si>
  <si>
    <t>10:47:20</t>
  </si>
  <si>
    <t>10:37:15</t>
  </si>
  <si>
    <t>11:51:32</t>
  </si>
  <si>
    <t>12:06:07</t>
  </si>
  <si>
    <t>10:17:30</t>
  </si>
  <si>
    <t>18:20:53</t>
  </si>
  <si>
    <t>10:01:54</t>
  </si>
  <si>
    <t>16:30:57</t>
  </si>
  <si>
    <t>09:28:41</t>
  </si>
  <si>
    <t>19:06:15</t>
  </si>
  <si>
    <t>15:11:39</t>
  </si>
  <si>
    <t>09:05:08</t>
  </si>
  <si>
    <t>12:36:23</t>
  </si>
  <si>
    <t>10:00:38</t>
  </si>
  <si>
    <t>09:01:14</t>
  </si>
  <si>
    <t>12:09:40</t>
  </si>
  <si>
    <t>11:02:09</t>
  </si>
  <si>
    <t>08:36:54</t>
  </si>
  <si>
    <t>10:38:46</t>
  </si>
  <si>
    <t>14:31:48</t>
  </si>
  <si>
    <t>08:44:34</t>
  </si>
  <si>
    <t>19:31:14</t>
  </si>
  <si>
    <t>09:56:40</t>
  </si>
  <si>
    <t>12:40:56</t>
  </si>
  <si>
    <t>10:33:31</t>
  </si>
  <si>
    <t>11:44:26</t>
  </si>
  <si>
    <t>11:48:49</t>
  </si>
  <si>
    <t>12:09:17</t>
  </si>
  <si>
    <t>11:20:23</t>
  </si>
  <si>
    <t>14:58:10</t>
  </si>
  <si>
    <t>08:19:18</t>
  </si>
  <si>
    <t>19:06:51</t>
  </si>
  <si>
    <t>12:28:40</t>
  </si>
  <si>
    <t>19:40:44</t>
  </si>
  <si>
    <t>08:28:17</t>
  </si>
  <si>
    <t>19:00:10</t>
  </si>
  <si>
    <t>17:08:29</t>
  </si>
  <si>
    <t>11:11:43</t>
  </si>
  <si>
    <t>16:05:43</t>
  </si>
  <si>
    <t>12:20:58</t>
  </si>
  <si>
    <t>12:36:59</t>
  </si>
  <si>
    <t>10:42:51</t>
  </si>
  <si>
    <t>19:35:18</t>
  </si>
  <si>
    <t>18:09:08</t>
  </si>
  <si>
    <t>14:34:29</t>
  </si>
  <si>
    <t>17:11:31</t>
  </si>
  <si>
    <t>11:16:19</t>
  </si>
  <si>
    <t>19:25:53</t>
  </si>
  <si>
    <t>09:31:32</t>
  </si>
  <si>
    <t>14:24:09</t>
  </si>
  <si>
    <t>17:52:29</t>
  </si>
  <si>
    <t>18:38:57</t>
  </si>
  <si>
    <t>16:57:14</t>
  </si>
  <si>
    <t>10:27:45</t>
  </si>
  <si>
    <t>14:13:47</t>
  </si>
  <si>
    <t>11:07:54</t>
  </si>
  <si>
    <t>08:32:00</t>
  </si>
  <si>
    <t>12:49:37</t>
  </si>
  <si>
    <t>10:27:42</t>
  </si>
  <si>
    <t>16:22:14</t>
  </si>
  <si>
    <t>14:05:34</t>
  </si>
  <si>
    <t>08:22:08</t>
  </si>
  <si>
    <t>15:53:13</t>
  </si>
  <si>
    <t>17:11:58</t>
  </si>
  <si>
    <t>09:40:18</t>
  </si>
  <si>
    <t>14:53:31</t>
  </si>
  <si>
    <t>19:41:42</t>
  </si>
  <si>
    <t>08:02:57</t>
  </si>
  <si>
    <t>12:34:28</t>
  </si>
  <si>
    <t>19:41:52</t>
  </si>
  <si>
    <t>08:05:56</t>
  </si>
  <si>
    <t>16:31:28</t>
  </si>
  <si>
    <t>08:15:36</t>
  </si>
  <si>
    <t>18:55:29</t>
  </si>
  <si>
    <t>11:48:33</t>
  </si>
  <si>
    <t>18:49:12</t>
  </si>
  <si>
    <t>19:42:29</t>
  </si>
  <si>
    <t>18:21:12</t>
  </si>
  <si>
    <t>12:07:15</t>
  </si>
  <si>
    <t>17:45:13</t>
  </si>
  <si>
    <t>12:58:19</t>
  </si>
  <si>
    <t>17:33:05</t>
  </si>
  <si>
    <t>17:21:24</t>
  </si>
  <si>
    <t>09:54:17</t>
  </si>
  <si>
    <t>15:26:45</t>
  </si>
  <si>
    <t>13:08:59</t>
  </si>
  <si>
    <t>13:41:53</t>
  </si>
  <si>
    <t>17:04:00</t>
  </si>
  <si>
    <t>08:15:59</t>
  </si>
  <si>
    <t>10:46:05</t>
  </si>
  <si>
    <t>13:44:39</t>
  </si>
  <si>
    <t>08:34:27</t>
  </si>
  <si>
    <t>14:56:06</t>
  </si>
  <si>
    <t>14:28:19</t>
  </si>
  <si>
    <t>11:50:12</t>
  </si>
  <si>
    <t>19:35:41</t>
  </si>
  <si>
    <t>09:46:07</t>
  </si>
  <si>
    <t>19:01:29</t>
  </si>
  <si>
    <t>18:53:55</t>
  </si>
  <si>
    <t>14:19:45</t>
  </si>
  <si>
    <t>11:38:50</t>
  </si>
  <si>
    <t>14:25:35</t>
  </si>
  <si>
    <t>16:38:23</t>
  </si>
  <si>
    <t>15:01:23</t>
  </si>
  <si>
    <t>16:07:21</t>
  </si>
  <si>
    <t>10:27:49</t>
  </si>
  <si>
    <t>17:16:21</t>
  </si>
  <si>
    <t>09:18:44</t>
  </si>
  <si>
    <t>17:22:21</t>
  </si>
  <si>
    <t>19:08:38</t>
  </si>
  <si>
    <t>12:42:40</t>
  </si>
  <si>
    <t>09:02:14</t>
  </si>
  <si>
    <t>16:23:08</t>
  </si>
  <si>
    <t>10:38:09</t>
  </si>
  <si>
    <t>14:21:47</t>
  </si>
  <si>
    <t>18:14:05</t>
  </si>
  <si>
    <t>18:43:51</t>
  </si>
  <si>
    <t>17:24:00</t>
  </si>
  <si>
    <t>12:34:23</t>
  </si>
  <si>
    <t>08:40:48</t>
  </si>
  <si>
    <t>09:25:07</t>
  </si>
  <si>
    <t>15:00:19</t>
  </si>
  <si>
    <t>12:14:48</t>
  </si>
  <si>
    <t>16:27:19</t>
  </si>
  <si>
    <t>19:16:42</t>
  </si>
  <si>
    <t>09:06:10</t>
  </si>
  <si>
    <t>16:16:21</t>
  </si>
  <si>
    <t>14:15:17</t>
  </si>
  <si>
    <t>09:52:00</t>
  </si>
  <si>
    <t>15:53:12</t>
  </si>
  <si>
    <t>12:14:26</t>
  </si>
  <si>
    <t>16:44:04</t>
  </si>
  <si>
    <t>16:44:49</t>
  </si>
  <si>
    <t>16:07:14</t>
  </si>
  <si>
    <t>10:30:53</t>
  </si>
  <si>
    <t>12:26:06</t>
  </si>
  <si>
    <t>17:47:16</t>
  </si>
  <si>
    <t>13:42:01</t>
  </si>
  <si>
    <t>15:32:17</t>
  </si>
  <si>
    <t>09:11:07</t>
  </si>
  <si>
    <t>15:14:49</t>
  </si>
  <si>
    <t>15:01:50</t>
  </si>
  <si>
    <t>17:02:02</t>
  </si>
  <si>
    <t>14:18:56</t>
  </si>
  <si>
    <t>16:45:47</t>
  </si>
  <si>
    <t>09:55:57</t>
  </si>
  <si>
    <t>17:09:14</t>
  </si>
  <si>
    <t>13:08:40</t>
  </si>
  <si>
    <t>11:53:04</t>
  </si>
  <si>
    <t>11:02:55</t>
  </si>
  <si>
    <t>15:31:06</t>
  </si>
  <si>
    <t>08:43:32</t>
  </si>
  <si>
    <t>08:59:38</t>
  </si>
  <si>
    <t>14:28:32</t>
  </si>
  <si>
    <t>13:05:43</t>
  </si>
  <si>
    <t>14:16:51</t>
  </si>
  <si>
    <t>10:07:53</t>
  </si>
  <si>
    <t>18:28:35</t>
  </si>
  <si>
    <t>15:30:55</t>
  </si>
  <si>
    <t>18:55:13</t>
  </si>
  <si>
    <t>19:32:10</t>
  </si>
  <si>
    <t>14:48:09</t>
  </si>
  <si>
    <t>18:00:47</t>
  </si>
  <si>
    <t>18:39:28</t>
  </si>
  <si>
    <t>09:08:58</t>
  </si>
  <si>
    <t>08:11:58</t>
  </si>
  <si>
    <t>16:37:04</t>
  </si>
  <si>
    <t>17:00:59</t>
  </si>
  <si>
    <t>10:09:51</t>
  </si>
  <si>
    <t>14:52:59</t>
  </si>
  <si>
    <t>12:11:15</t>
  </si>
  <si>
    <t>16:09:09</t>
  </si>
  <si>
    <t>10:59:35</t>
  </si>
  <si>
    <t>08:40:52</t>
  </si>
  <si>
    <t>09:19:55</t>
  </si>
  <si>
    <t>12:56:20</t>
  </si>
  <si>
    <t>12:57:48</t>
  </si>
  <si>
    <t>10:44:16</t>
  </si>
  <si>
    <t>08:01:01</t>
  </si>
  <si>
    <t>11:17:51</t>
  </si>
  <si>
    <t>15:03:55</t>
  </si>
  <si>
    <t>15:09:48</t>
  </si>
  <si>
    <t>15:19:27</t>
  </si>
  <si>
    <t>19:56:13</t>
  </si>
  <si>
    <t>09:30:00</t>
  </si>
  <si>
    <t>08:50:26</t>
  </si>
  <si>
    <t>11:10:58</t>
  </si>
  <si>
    <t>18:12:55</t>
  </si>
  <si>
    <t>08:46:04</t>
  </si>
  <si>
    <t>10:05:09</t>
  </si>
  <si>
    <t>11:21:52</t>
  </si>
  <si>
    <t>12:02:35</t>
  </si>
  <si>
    <t>09:34:04</t>
  </si>
  <si>
    <t>09:28:36</t>
  </si>
  <si>
    <t>19:13:29</t>
  </si>
  <si>
    <t>17:49:04</t>
  </si>
  <si>
    <t>15:28:25</t>
  </si>
  <si>
    <t>11:22:42</t>
  </si>
  <si>
    <t>17:25:33</t>
  </si>
  <si>
    <t>15:32:10</t>
  </si>
  <si>
    <t>09:13:25</t>
  </si>
  <si>
    <t>08:04:30</t>
  </si>
  <si>
    <t>16:29:31</t>
  </si>
  <si>
    <t>09:51:31</t>
  </si>
  <si>
    <t>08:19:30</t>
  </si>
  <si>
    <t>16:06:12</t>
  </si>
  <si>
    <t>13:02:04</t>
  </si>
  <si>
    <t>19:26:46</t>
  </si>
  <si>
    <t>11:13:10</t>
  </si>
  <si>
    <t>12:33:37</t>
  </si>
  <si>
    <t>14:57:31</t>
  </si>
  <si>
    <t>13:42:24</t>
  </si>
  <si>
    <t>16:06:07</t>
  </si>
  <si>
    <t>14:49:56</t>
  </si>
  <si>
    <t>13:53:43</t>
  </si>
  <si>
    <t>09:19:44</t>
  </si>
  <si>
    <t>18:10:39</t>
  </si>
  <si>
    <t>17:19:30</t>
  </si>
  <si>
    <t>15:37:20</t>
  </si>
  <si>
    <t>15:55:34</t>
  </si>
  <si>
    <t>16:40:52</t>
  </si>
  <si>
    <t>11:21:55</t>
  </si>
  <si>
    <t>09:21:38</t>
  </si>
  <si>
    <t>09:15:18</t>
  </si>
  <si>
    <t>11:47:16</t>
  </si>
  <si>
    <t>12:39:46</t>
  </si>
  <si>
    <t>17:15:08</t>
  </si>
  <si>
    <t>11:08:29</t>
  </si>
  <si>
    <t>19:42:36</t>
  </si>
  <si>
    <t>08:59:10</t>
  </si>
  <si>
    <t>15:15:16</t>
  </si>
  <si>
    <t>15:34:10</t>
  </si>
  <si>
    <t>09:42:33</t>
  </si>
  <si>
    <t>12:21:34</t>
  </si>
  <si>
    <t>13:20:20</t>
  </si>
  <si>
    <t>10:30:55</t>
  </si>
  <si>
    <t>19:47:20</t>
  </si>
  <si>
    <t>14:53:49</t>
  </si>
  <si>
    <t>17:29:03</t>
  </si>
  <si>
    <t>12:43:50</t>
  </si>
  <si>
    <t>17:47:34</t>
  </si>
  <si>
    <t>17:06:54</t>
  </si>
  <si>
    <t>17:18:21</t>
  </si>
  <si>
    <t>13:32:43</t>
  </si>
  <si>
    <t>08:54:29</t>
  </si>
  <si>
    <t>13:57:36</t>
  </si>
  <si>
    <t>16:58:21</t>
  </si>
  <si>
    <t>18:42:53</t>
  </si>
  <si>
    <t>18:18:45</t>
  </si>
  <si>
    <t>11:28:24</t>
  </si>
  <si>
    <t>18:38:00</t>
  </si>
  <si>
    <t>09:59:47</t>
  </si>
  <si>
    <t>11:07:11</t>
  </si>
  <si>
    <t>16:26:57</t>
  </si>
  <si>
    <t>19:37:46</t>
  </si>
  <si>
    <t>16:58:27</t>
  </si>
  <si>
    <t>19:33:50</t>
  </si>
  <si>
    <t>11:52:33</t>
  </si>
  <si>
    <t>09:23:45</t>
  </si>
  <si>
    <t>13:36:42</t>
  </si>
  <si>
    <t>16:19:32</t>
  </si>
  <si>
    <t>12:49:25</t>
  </si>
  <si>
    <t>11:05:28</t>
  </si>
  <si>
    <t>12:35:52</t>
  </si>
  <si>
    <t>14:33:26</t>
  </si>
  <si>
    <t>09:02:34</t>
  </si>
  <si>
    <t>17:15:36</t>
  </si>
  <si>
    <t>19:15:13</t>
  </si>
  <si>
    <t>11:34:32</t>
  </si>
  <si>
    <t>13:30:50</t>
  </si>
  <si>
    <t>14:07:53</t>
  </si>
  <si>
    <t>16:38:09</t>
  </si>
  <si>
    <t>17:33:32</t>
  </si>
  <si>
    <t>17:11:05</t>
  </si>
  <si>
    <t>11:41:46</t>
  </si>
  <si>
    <t>10:52:56</t>
  </si>
  <si>
    <t>08:16:38</t>
  </si>
  <si>
    <t>08:59:30</t>
  </si>
  <si>
    <t>17:32:19</t>
  </si>
  <si>
    <t>13:26:26</t>
  </si>
  <si>
    <t>09:31:20</t>
  </si>
  <si>
    <t>18:35:12</t>
  </si>
  <si>
    <t>09:41:26</t>
  </si>
  <si>
    <t>18:37:14</t>
  </si>
  <si>
    <t>13:49:29</t>
  </si>
  <si>
    <t>14:35:53</t>
  </si>
  <si>
    <t>14:37:30</t>
  </si>
  <si>
    <t>16:42:15</t>
  </si>
  <si>
    <t>10:09:09</t>
  </si>
  <si>
    <t>17:07:55</t>
  </si>
  <si>
    <t>14:28:30</t>
  </si>
  <si>
    <t>16:18:17</t>
  </si>
  <si>
    <t>13:40:45</t>
  </si>
  <si>
    <t>11:58:19</t>
  </si>
  <si>
    <t>12:14:11</t>
  </si>
  <si>
    <t>10:39:20</t>
  </si>
  <si>
    <t>13:13:43</t>
  </si>
  <si>
    <t>10:01:49</t>
  </si>
  <si>
    <t>17:46:05</t>
  </si>
  <si>
    <t>12:38:11</t>
  </si>
  <si>
    <t>14:50:08</t>
  </si>
  <si>
    <t>09:32:08</t>
  </si>
  <si>
    <t>17:58:56</t>
  </si>
  <si>
    <t>19:46:53</t>
  </si>
  <si>
    <t>10:33:25</t>
  </si>
  <si>
    <t>16:08:09</t>
  </si>
  <si>
    <t>08:21:19</t>
  </si>
  <si>
    <t>18:46:04</t>
  </si>
  <si>
    <t>11:00:16</t>
  </si>
  <si>
    <t>17:22:41</t>
  </si>
  <si>
    <t>14:03:29</t>
  </si>
  <si>
    <t>19:54:28</t>
  </si>
  <si>
    <t>13:56:15</t>
  </si>
  <si>
    <t>19:54:16</t>
  </si>
  <si>
    <t>08:00:01</t>
  </si>
  <si>
    <t>13:29:21</t>
  </si>
  <si>
    <t>14:04:00</t>
  </si>
  <si>
    <t>18:30:51</t>
  </si>
  <si>
    <t>18:12:23</t>
  </si>
  <si>
    <t>13:46:06</t>
  </si>
  <si>
    <t>18:05:09</t>
  </si>
  <si>
    <t>09:48:32</t>
  </si>
  <si>
    <t>10:05:50</t>
  </si>
  <si>
    <t>11:40:42</t>
  </si>
  <si>
    <t>15:08:34</t>
  </si>
  <si>
    <t>14:13:09</t>
  </si>
  <si>
    <t>18:28:57</t>
  </si>
  <si>
    <t>11:53:03</t>
  </si>
  <si>
    <t>10:26:38</t>
  </si>
  <si>
    <t>09:54:09</t>
  </si>
  <si>
    <t>14:55:47</t>
  </si>
  <si>
    <t>15:45:02</t>
  </si>
  <si>
    <t>11:39:13</t>
  </si>
  <si>
    <t>16:58:11</t>
  </si>
  <si>
    <t>18:03:43</t>
  </si>
  <si>
    <t>11:00:02</t>
  </si>
  <si>
    <t>11:10:07</t>
  </si>
  <si>
    <t>17:03:52</t>
  </si>
  <si>
    <t>12:06:19</t>
  </si>
  <si>
    <t>18:45:50</t>
  </si>
  <si>
    <t>10:38:52</t>
  </si>
  <si>
    <t>12:01:30</t>
  </si>
  <si>
    <t>17:26:09</t>
  </si>
  <si>
    <t>11:52:22</t>
  </si>
  <si>
    <t>17:54:37</t>
  </si>
  <si>
    <t>13:38:02</t>
  </si>
  <si>
    <t>14:20:44</t>
  </si>
  <si>
    <t>13:20:51</t>
  </si>
  <si>
    <t>09:50:59</t>
  </si>
  <si>
    <t>11:24:25</t>
  </si>
  <si>
    <t>11:30:10</t>
  </si>
  <si>
    <t>09:14:07</t>
  </si>
  <si>
    <t>19:07:29</t>
  </si>
  <si>
    <t>10:31:33</t>
  </si>
  <si>
    <t>12:11:22</t>
  </si>
  <si>
    <t>14:42:15</t>
  </si>
  <si>
    <t>16:36:01</t>
  </si>
  <si>
    <t>16:05:24</t>
  </si>
  <si>
    <t>18:23:09</t>
  </si>
  <si>
    <t>16:45:15</t>
  </si>
  <si>
    <t>13:00:26</t>
  </si>
  <si>
    <t>13:43:54</t>
  </si>
  <si>
    <t>19:03:23</t>
  </si>
  <si>
    <t>19:31:19</t>
  </si>
  <si>
    <t>15:41:16</t>
  </si>
  <si>
    <t>11:06:00</t>
  </si>
  <si>
    <t>16:48:38</t>
  </si>
  <si>
    <t>13:29:47</t>
  </si>
  <si>
    <t>14:53:00</t>
  </si>
  <si>
    <t>09:03:29</t>
  </si>
  <si>
    <t>09:07:55</t>
  </si>
  <si>
    <t>18:53:03</t>
  </si>
  <si>
    <t>14:18:58</t>
  </si>
  <si>
    <t>18:41:20</t>
  </si>
  <si>
    <t>16:45:35</t>
  </si>
  <si>
    <t>14:49:35</t>
  </si>
  <si>
    <t>08:26:04</t>
  </si>
  <si>
    <t>17:25:57</t>
  </si>
  <si>
    <t>15:34:21</t>
  </si>
  <si>
    <t>12:14:16</t>
  </si>
  <si>
    <t>14:42:54</t>
  </si>
  <si>
    <t>12:34:12</t>
  </si>
  <si>
    <t>12:09:21</t>
  </si>
  <si>
    <t>17:09:13</t>
  </si>
  <si>
    <t>09:50:19</t>
  </si>
  <si>
    <t>19:14:43</t>
  </si>
  <si>
    <t>14:59:53</t>
  </si>
  <si>
    <t>10:07:01</t>
  </si>
  <si>
    <t>15:11:00</t>
  </si>
  <si>
    <t>17:48:04</t>
  </si>
  <si>
    <t>09:10:07</t>
  </si>
  <si>
    <t>08:49:55</t>
  </si>
  <si>
    <t>14:01:46</t>
  </si>
  <si>
    <t>18:05:21</t>
  </si>
  <si>
    <t>19:24:31</t>
  </si>
  <si>
    <t>10:56:08</t>
  </si>
  <si>
    <t>08:26:27</t>
  </si>
  <si>
    <t>15:35:39</t>
  </si>
  <si>
    <t>15:16:42</t>
  </si>
  <si>
    <t>09:38:25</t>
  </si>
  <si>
    <t>13:14:19</t>
  </si>
  <si>
    <t>10:43:08</t>
  </si>
  <si>
    <t>11:54:19</t>
  </si>
  <si>
    <t>16:00:48</t>
  </si>
  <si>
    <t>16:55:12</t>
  </si>
  <si>
    <t>19:23:59</t>
  </si>
  <si>
    <t>14:12:35</t>
  </si>
  <si>
    <t>13:41:07</t>
  </si>
  <si>
    <t>08:34:07</t>
  </si>
  <si>
    <t>19:16:08</t>
  </si>
  <si>
    <t>12:12:19</t>
  </si>
  <si>
    <t>08:41:59</t>
  </si>
  <si>
    <t>19:49:56</t>
  </si>
  <si>
    <t>16:28:14</t>
  </si>
  <si>
    <t>19:10:30</t>
  </si>
  <si>
    <t>11:24:52</t>
  </si>
  <si>
    <t>17:27:42</t>
  </si>
  <si>
    <t>16:10:16</t>
  </si>
  <si>
    <t>18:13:33</t>
  </si>
  <si>
    <t>16:15:54</t>
  </si>
  <si>
    <t>17:35:14</t>
  </si>
  <si>
    <t>17:48:51</t>
  </si>
  <si>
    <t>19:20:56</t>
  </si>
  <si>
    <t>16:08:06</t>
  </si>
  <si>
    <t>15:10:13</t>
  </si>
  <si>
    <t>18:41:13</t>
  </si>
  <si>
    <t>17:45:40</t>
  </si>
  <si>
    <t>10:56:59</t>
  </si>
  <si>
    <t>12:37:01</t>
  </si>
  <si>
    <t>17:10:07</t>
  </si>
  <si>
    <t>08:52:26</t>
  </si>
  <si>
    <t>12:17:04</t>
  </si>
  <si>
    <t>16:22:28</t>
  </si>
  <si>
    <t>12:42:17</t>
  </si>
  <si>
    <t>09:57:08</t>
  </si>
  <si>
    <t>11:36:37</t>
  </si>
  <si>
    <t>10:12:53</t>
  </si>
  <si>
    <t>19:33:58</t>
  </si>
  <si>
    <t>16:45:23</t>
  </si>
  <si>
    <t>11:00:57</t>
  </si>
  <si>
    <t>11:09:19</t>
  </si>
  <si>
    <t>12:33:13</t>
  </si>
  <si>
    <t>16:14:01</t>
  </si>
  <si>
    <t>15:06:01</t>
  </si>
  <si>
    <t>10:43:28</t>
  </si>
  <si>
    <t>14:49:24</t>
  </si>
  <si>
    <t>19:41:02</t>
  </si>
  <si>
    <t>16:28:54</t>
  </si>
  <si>
    <t>10:51:27</t>
  </si>
  <si>
    <t>16:27:55</t>
  </si>
  <si>
    <t>18:52:34</t>
  </si>
  <si>
    <t>13:50:04</t>
  </si>
  <si>
    <t>08:05:15</t>
  </si>
  <si>
    <t>08:58:47</t>
  </si>
  <si>
    <t>12:06:48</t>
  </si>
  <si>
    <t>09:21:35</t>
  </si>
  <si>
    <t>18:02:19</t>
  </si>
  <si>
    <t>10:36:48</t>
  </si>
  <si>
    <t>12:45:53</t>
  </si>
  <si>
    <t>15:44:10</t>
  </si>
  <si>
    <t>18:40:36</t>
  </si>
  <si>
    <t>11:03:47</t>
  </si>
  <si>
    <t>18:19:40</t>
  </si>
  <si>
    <t>16:01:57</t>
  </si>
  <si>
    <t>09:09:25</t>
  </si>
  <si>
    <t>11:44:37</t>
  </si>
  <si>
    <t>14:37:19</t>
  </si>
  <si>
    <t>14:45:05</t>
  </si>
  <si>
    <t>11:49:46</t>
  </si>
  <si>
    <t>17:05:21</t>
  </si>
  <si>
    <t>13:13:18</t>
  </si>
  <si>
    <t>10:57:35</t>
  </si>
  <si>
    <t>18:29:06</t>
  </si>
  <si>
    <t>15:21:49</t>
  </si>
  <si>
    <t>13:44:23</t>
  </si>
  <si>
    <t>09:09:40</t>
  </si>
  <si>
    <t>10:04:26</t>
  </si>
  <si>
    <t>18:54:09</t>
  </si>
  <si>
    <t>10:42:43</t>
  </si>
  <si>
    <t>13:13:27</t>
  </si>
  <si>
    <t>14:44:24</t>
  </si>
  <si>
    <t>11:32:05</t>
  </si>
  <si>
    <t>18:45:56</t>
  </si>
  <si>
    <t>08:56:58</t>
  </si>
  <si>
    <t>09:21:52</t>
  </si>
  <si>
    <t>18:18:20</t>
  </si>
  <si>
    <t>14:07:22</t>
  </si>
  <si>
    <t>10:58:56</t>
  </si>
  <si>
    <t>19:09:57</t>
  </si>
  <si>
    <t>18:20:04</t>
  </si>
  <si>
    <t>12:18:43</t>
  </si>
  <si>
    <t>09:35:41</t>
  </si>
  <si>
    <t>08:11:06</t>
  </si>
  <si>
    <t>15:45:20</t>
  </si>
  <si>
    <t>16:02:32</t>
  </si>
  <si>
    <t>11:39:19</t>
  </si>
  <si>
    <t>13:00:13</t>
  </si>
  <si>
    <t>09:15:14</t>
  </si>
  <si>
    <t>15:32:45</t>
  </si>
  <si>
    <t>18:44:11</t>
  </si>
  <si>
    <t>12:09:38</t>
  </si>
  <si>
    <t>14:16:16</t>
  </si>
  <si>
    <t>18:05:28</t>
  </si>
  <si>
    <t>13:05:44</t>
  </si>
  <si>
    <t>18:09:00</t>
  </si>
  <si>
    <t>14:37:12</t>
  </si>
  <si>
    <t>13:25:57</t>
  </si>
  <si>
    <t>18:09:25</t>
  </si>
  <si>
    <t>09:57:35</t>
  </si>
  <si>
    <t>08:49:35</t>
  </si>
  <si>
    <t>08:06:28</t>
  </si>
  <si>
    <t>15:19:49</t>
  </si>
  <si>
    <t>12:26:11</t>
  </si>
  <si>
    <t>10:44:13</t>
  </si>
  <si>
    <t>09:48:21</t>
  </si>
  <si>
    <t>13:40:11</t>
  </si>
  <si>
    <t>16:46:03</t>
  </si>
  <si>
    <t>18:08:22</t>
  </si>
  <si>
    <t>15:16:19</t>
  </si>
  <si>
    <t>14:36:07</t>
  </si>
  <si>
    <t>10:20:15</t>
  </si>
  <si>
    <t>10:52:41</t>
  </si>
  <si>
    <t>19:01:53</t>
  </si>
  <si>
    <t>13:16:29</t>
  </si>
  <si>
    <t>14:39:56</t>
  </si>
  <si>
    <t>12:04:33</t>
  </si>
  <si>
    <t>16:03:25</t>
  </si>
  <si>
    <t>09:28:38</t>
  </si>
  <si>
    <t>08:21:28</t>
  </si>
  <si>
    <t>13:56:48</t>
  </si>
  <si>
    <t>12:02:11</t>
  </si>
  <si>
    <t>13:51:58</t>
  </si>
  <si>
    <t>11:43:39</t>
  </si>
  <si>
    <t>19:14:12</t>
  </si>
  <si>
    <t>11:51:44</t>
  </si>
  <si>
    <t>17:13:53</t>
  </si>
  <si>
    <t>11:23:35</t>
  </si>
  <si>
    <t>19:39:44</t>
  </si>
  <si>
    <t>10:15:52</t>
  </si>
  <si>
    <t>10:28:58</t>
  </si>
  <si>
    <t>19:37:27</t>
  </si>
  <si>
    <t>15:40:27</t>
  </si>
  <si>
    <t>12:58:51</t>
  </si>
  <si>
    <t>12:54:06</t>
  </si>
  <si>
    <t>18:55:07</t>
  </si>
  <si>
    <t>11:33:17</t>
  </si>
  <si>
    <t>17:01:06</t>
  </si>
  <si>
    <t>14:13:32</t>
  </si>
  <si>
    <t>12:43:27</t>
  </si>
  <si>
    <t>09:32:48</t>
  </si>
  <si>
    <t>15:17:48</t>
  </si>
  <si>
    <t>18:34:55</t>
  </si>
  <si>
    <t>16:13:50</t>
  </si>
  <si>
    <t>08:24:31</t>
  </si>
  <si>
    <t>12:25:40</t>
  </si>
  <si>
    <t>16:18:51</t>
  </si>
  <si>
    <t>08:24:33</t>
  </si>
  <si>
    <t>14:36:47</t>
  </si>
  <si>
    <t>15:06:46</t>
  </si>
  <si>
    <t>14:16:01</t>
  </si>
  <si>
    <t>09:20:22</t>
  </si>
  <si>
    <t>16:09:14</t>
  </si>
  <si>
    <t>12:31:13</t>
  </si>
  <si>
    <t>17:10:57</t>
  </si>
  <si>
    <t>08:24:18</t>
  </si>
  <si>
    <t>13:58:10</t>
  </si>
  <si>
    <t>16:35:12</t>
  </si>
  <si>
    <t>10:42:59</t>
  </si>
  <si>
    <t>16:02:08</t>
  </si>
  <si>
    <t>17:11:51</t>
  </si>
  <si>
    <t>19:36:28</t>
  </si>
  <si>
    <t>13:27:25</t>
  </si>
  <si>
    <t>11:16:59</t>
  </si>
  <si>
    <t>15:50:59</t>
  </si>
  <si>
    <t>19:52:23</t>
  </si>
  <si>
    <t>19:22:14</t>
  </si>
  <si>
    <t>18:13:52</t>
  </si>
  <si>
    <t>09:37:52</t>
  </si>
  <si>
    <t>08:44:01</t>
  </si>
  <si>
    <t>17:06:40</t>
  </si>
  <si>
    <t>15:53:36</t>
  </si>
  <si>
    <t>17:07:51</t>
  </si>
  <si>
    <t>13:43:22</t>
  </si>
  <si>
    <t>19:06:10</t>
  </si>
  <si>
    <t>13:23:55</t>
  </si>
  <si>
    <t>10:29:06</t>
  </si>
  <si>
    <t>10:01:00</t>
  </si>
  <si>
    <t>15:03:16</t>
  </si>
  <si>
    <t>14:14:06</t>
  </si>
  <si>
    <t>15:20:32</t>
  </si>
  <si>
    <t>13:12:39</t>
  </si>
  <si>
    <t>19:56:59</t>
  </si>
  <si>
    <t>09:02:39</t>
  </si>
  <si>
    <t>08:35:03</t>
  </si>
  <si>
    <t>13:46:10</t>
  </si>
  <si>
    <t>09:00:58</t>
  </si>
  <si>
    <t>08:28:38</t>
  </si>
  <si>
    <t>16:17:58</t>
  </si>
  <si>
    <t>12:30:40</t>
  </si>
  <si>
    <t>11:13:22</t>
  </si>
  <si>
    <t>14:54:28</t>
  </si>
  <si>
    <t>14:41:47</t>
  </si>
  <si>
    <t>09:09:57</t>
  </si>
  <si>
    <t>10:29:53</t>
  </si>
  <si>
    <t>12:06:11</t>
  </si>
  <si>
    <t>09:13:14</t>
  </si>
  <si>
    <t>09:43:05</t>
  </si>
  <si>
    <t>15:53:19</t>
  </si>
  <si>
    <t>17:14:41</t>
  </si>
  <si>
    <t>17:57:58</t>
  </si>
  <si>
    <t>18:05:35</t>
  </si>
  <si>
    <t>13:05:22</t>
  </si>
  <si>
    <t>09:42:23</t>
  </si>
  <si>
    <t>16:21:29</t>
  </si>
  <si>
    <t>10:10:53</t>
  </si>
  <si>
    <t>08:35:46</t>
  </si>
  <si>
    <t>18:28:49</t>
  </si>
  <si>
    <t>14:34:41</t>
  </si>
  <si>
    <t>15:06:38</t>
  </si>
  <si>
    <t>08:14:56</t>
  </si>
  <si>
    <t>08:05:43</t>
  </si>
  <si>
    <t>19:21:44</t>
  </si>
  <si>
    <t>08:44:23</t>
  </si>
  <si>
    <t>08:36:03</t>
  </si>
  <si>
    <t>15:18:23</t>
  </si>
  <si>
    <t>13:12:30</t>
  </si>
  <si>
    <t>19:13:41</t>
  </si>
  <si>
    <t>18:54:22</t>
  </si>
  <si>
    <t>17:52:09</t>
  </si>
  <si>
    <t>08:54:34</t>
  </si>
  <si>
    <t>17:51:21</t>
  </si>
  <si>
    <t>18:53:18</t>
  </si>
  <si>
    <t>13:46:01</t>
  </si>
  <si>
    <t>19:05:08</t>
  </si>
  <si>
    <t>19:57:31</t>
  </si>
  <si>
    <t>09:28:24</t>
  </si>
  <si>
    <t>16:08:54</t>
  </si>
  <si>
    <t>16:03:52</t>
  </si>
  <si>
    <t>09:28:52</t>
  </si>
  <si>
    <t>08:53:42</t>
  </si>
  <si>
    <t>10:59:27</t>
  </si>
  <si>
    <t>17:54:14</t>
  </si>
  <si>
    <t>16:44:13</t>
  </si>
  <si>
    <t>08:35:00</t>
  </si>
  <si>
    <t>15:59:31</t>
  </si>
  <si>
    <t>14:55:07</t>
  </si>
  <si>
    <t>10:46:20</t>
  </si>
  <si>
    <t>09:23:50</t>
  </si>
  <si>
    <t>11:09:16</t>
  </si>
  <si>
    <t>12:19:15</t>
  </si>
  <si>
    <t>14:47:48</t>
  </si>
  <si>
    <t>12:58:05</t>
  </si>
  <si>
    <t>10:25:35</t>
  </si>
  <si>
    <t>18:32:57</t>
  </si>
  <si>
    <t>15:46:59</t>
  </si>
  <si>
    <t>11:24:57</t>
  </si>
  <si>
    <t>08:57:28</t>
  </si>
  <si>
    <t>18:54:26</t>
  </si>
  <si>
    <t>11:03:32</t>
  </si>
  <si>
    <t>11:40:58</t>
  </si>
  <si>
    <t>15:06:08</t>
  </si>
  <si>
    <t>09:05:41</t>
  </si>
  <si>
    <t>09:37:41</t>
  </si>
  <si>
    <t>16:44:12</t>
  </si>
  <si>
    <t>15:39:43</t>
  </si>
  <si>
    <t>16:33:09</t>
  </si>
  <si>
    <t>13:39:42</t>
  </si>
  <si>
    <t>10:28:12</t>
  </si>
  <si>
    <t>08:28:45</t>
  </si>
  <si>
    <t>09:30:35</t>
  </si>
  <si>
    <t>09:44:13</t>
  </si>
  <si>
    <t>10:42:58</t>
  </si>
  <si>
    <t>14:01:09</t>
  </si>
  <si>
    <t>12:15:24</t>
  </si>
  <si>
    <t>08:53:34</t>
  </si>
  <si>
    <t>14:14:45</t>
  </si>
  <si>
    <t>10:13:00</t>
  </si>
  <si>
    <t>19:34:57</t>
  </si>
  <si>
    <t>19:25:52</t>
  </si>
  <si>
    <t>14:28:12</t>
  </si>
  <si>
    <t>11:56:00</t>
  </si>
  <si>
    <t>19:40:01</t>
  </si>
  <si>
    <t>10:38:04</t>
  </si>
  <si>
    <t>11:46:13</t>
  </si>
  <si>
    <t>14:06:32</t>
  </si>
  <si>
    <t>13:35:25</t>
  </si>
  <si>
    <t>15:59:04</t>
  </si>
  <si>
    <t>11:36:43</t>
  </si>
  <si>
    <t>11:55:17</t>
  </si>
  <si>
    <t>14:31:55</t>
  </si>
  <si>
    <t>09:56:47</t>
  </si>
  <si>
    <t>17:25:52</t>
  </si>
  <si>
    <t>15:33:33</t>
  </si>
  <si>
    <t>09:47:41</t>
  </si>
  <si>
    <t>11:20:25</t>
  </si>
  <si>
    <t>08:26:29</t>
  </si>
  <si>
    <t>17:01:22</t>
  </si>
  <si>
    <t>17:13:26</t>
  </si>
  <si>
    <t>10:14:05</t>
  </si>
  <si>
    <t>17:15:17</t>
  </si>
  <si>
    <t>09:14:44</t>
  </si>
  <si>
    <t>17:45:53</t>
  </si>
  <si>
    <t>13:14:15</t>
  </si>
  <si>
    <t>11:06:26</t>
  </si>
  <si>
    <t>14:59:27</t>
  </si>
  <si>
    <t>13:58:53</t>
  </si>
  <si>
    <t>14:05:11</t>
  </si>
  <si>
    <t>09:01:06</t>
  </si>
  <si>
    <t>16:35:33</t>
  </si>
  <si>
    <t>16:15:36</t>
  </si>
  <si>
    <t>18:23:34</t>
  </si>
  <si>
    <t>08:49:14</t>
  </si>
  <si>
    <t>13:14:46</t>
  </si>
  <si>
    <t>10:14:20</t>
  </si>
  <si>
    <t>15:33:36</t>
  </si>
  <si>
    <t>11:55:41</t>
  </si>
  <si>
    <t>12:31:19</t>
  </si>
  <si>
    <t>12:09:59</t>
  </si>
  <si>
    <t>10:17:18</t>
  </si>
  <si>
    <t>14:36:15</t>
  </si>
  <si>
    <t>16:37:51</t>
  </si>
  <si>
    <t>11:11:08</t>
  </si>
  <si>
    <t>15:11:45</t>
  </si>
  <si>
    <t>13:50:41</t>
  </si>
  <si>
    <t>14:04:23</t>
  </si>
  <si>
    <t>14:23:18</t>
  </si>
  <si>
    <t>11:33:40</t>
  </si>
  <si>
    <t>11:01:16</t>
  </si>
  <si>
    <t>17:19:11</t>
  </si>
  <si>
    <t>14:52:00</t>
  </si>
  <si>
    <t>17:37:03</t>
  </si>
  <si>
    <t>08:10:42</t>
  </si>
  <si>
    <t>08:49:44</t>
  </si>
  <si>
    <t>19:33:55</t>
  </si>
  <si>
    <t>10:20:52</t>
  </si>
  <si>
    <t>14:15:40</t>
  </si>
  <si>
    <t>15:45:55</t>
  </si>
  <si>
    <t>17:13:01</t>
  </si>
  <si>
    <t>19:32:47</t>
  </si>
  <si>
    <t>18:56:36</t>
  </si>
  <si>
    <t>11:09:35</t>
  </si>
  <si>
    <t>15:27:45</t>
  </si>
  <si>
    <t>16:14:11</t>
  </si>
  <si>
    <t>19:37:50</t>
  </si>
  <si>
    <t>17:32:44</t>
  </si>
  <si>
    <t>14:29:03</t>
  </si>
  <si>
    <t>13:51:19</t>
  </si>
  <si>
    <t>13:37:04</t>
  </si>
  <si>
    <t>08:51:46</t>
  </si>
  <si>
    <t>10:38:27</t>
  </si>
  <si>
    <t>12:47:28</t>
  </si>
  <si>
    <t>19:17:20</t>
  </si>
  <si>
    <t>17:35:58</t>
  </si>
  <si>
    <t>17:04:07</t>
  </si>
  <si>
    <t>13:12:10</t>
  </si>
  <si>
    <t>17:42:49</t>
  </si>
  <si>
    <t>19:14:06</t>
  </si>
  <si>
    <t>11:00:37</t>
  </si>
  <si>
    <t>19:52:02</t>
  </si>
  <si>
    <t>18:06:37</t>
  </si>
  <si>
    <t>13:11:31</t>
  </si>
  <si>
    <t>16:49:33</t>
  </si>
  <si>
    <t>14:48:37</t>
  </si>
  <si>
    <t>08:01:45</t>
  </si>
  <si>
    <t>12:32:05</t>
  </si>
  <si>
    <t>09:37:47</t>
  </si>
  <si>
    <t>16:18:15</t>
  </si>
  <si>
    <t>09:26:46</t>
  </si>
  <si>
    <t>17:07:42</t>
  </si>
  <si>
    <t>14:51:22</t>
  </si>
  <si>
    <t>11:41:35</t>
  </si>
  <si>
    <t>15:18:37</t>
  </si>
  <si>
    <t>13:02:57</t>
  </si>
  <si>
    <t>13:22:13</t>
  </si>
  <si>
    <t>13:35:22</t>
  </si>
  <si>
    <t>17:11:01</t>
  </si>
  <si>
    <t>19:20:13</t>
  </si>
  <si>
    <t>15:55:54</t>
  </si>
  <si>
    <t>10:12:03</t>
  </si>
  <si>
    <t>14:41:55</t>
  </si>
  <si>
    <t>09:17:35</t>
  </si>
  <si>
    <t>10:40:17</t>
  </si>
  <si>
    <t>08:26:07</t>
  </si>
  <si>
    <t>10:17:01</t>
  </si>
  <si>
    <t>10:52:47</t>
  </si>
  <si>
    <t>12:11:28</t>
  </si>
  <si>
    <t>19:39:16</t>
  </si>
  <si>
    <t>08:51:29</t>
  </si>
  <si>
    <t>18:08:12</t>
  </si>
  <si>
    <t>15:27:54</t>
  </si>
  <si>
    <t>12:45:05</t>
  </si>
  <si>
    <t>11:26:52</t>
  </si>
  <si>
    <t>17:56:51</t>
  </si>
  <si>
    <t>09:15:34</t>
  </si>
  <si>
    <t>13:45:20</t>
  </si>
  <si>
    <t>08:49:10</t>
  </si>
  <si>
    <t>19:50:17</t>
  </si>
  <si>
    <t>10:13:33</t>
  </si>
  <si>
    <t>14:10:14</t>
  </si>
  <si>
    <t>12:21:26</t>
  </si>
  <si>
    <t>09:06:15</t>
  </si>
  <si>
    <t>15:44:46</t>
  </si>
  <si>
    <t>19:56:58</t>
  </si>
  <si>
    <t>15:11:01</t>
  </si>
  <si>
    <t>12:00:34</t>
  </si>
  <si>
    <t>10:35:34</t>
  </si>
  <si>
    <t>13:18:40</t>
  </si>
  <si>
    <t>17:25:43</t>
  </si>
  <si>
    <t>13:23:42</t>
  </si>
  <si>
    <t>11:03:23</t>
  </si>
  <si>
    <t>12:33:14</t>
  </si>
  <si>
    <t>11:17:46</t>
  </si>
  <si>
    <t>17:02:57</t>
  </si>
  <si>
    <t>15:14:33</t>
  </si>
  <si>
    <t>11:53:26</t>
  </si>
  <si>
    <t>15:31:07</t>
  </si>
  <si>
    <t>09:31:14</t>
  </si>
  <si>
    <t>13:44:28</t>
  </si>
  <si>
    <t>18:39:07</t>
  </si>
  <si>
    <t>17:15:15</t>
  </si>
  <si>
    <t>18:55:48</t>
  </si>
  <si>
    <t>11:15:03</t>
  </si>
  <si>
    <t>14:20:37</t>
  </si>
  <si>
    <t>09:18:50</t>
  </si>
  <si>
    <t>12:20:06</t>
  </si>
  <si>
    <t>09:46:46</t>
  </si>
  <si>
    <t>18:24:58</t>
  </si>
  <si>
    <t>16:19:10</t>
  </si>
  <si>
    <t>09:44:04</t>
  </si>
  <si>
    <t>13:48:12</t>
  </si>
  <si>
    <t>08:51:33</t>
  </si>
  <si>
    <t>16:21:31</t>
  </si>
  <si>
    <t>16:00:49</t>
  </si>
  <si>
    <t>13:47:44</t>
  </si>
  <si>
    <t>14:16:34</t>
  </si>
  <si>
    <t>19:01:43</t>
  </si>
  <si>
    <t>09:42:54</t>
  </si>
  <si>
    <t>15:44:01</t>
  </si>
  <si>
    <t>17:59:48</t>
  </si>
  <si>
    <t>14:02:06</t>
  </si>
  <si>
    <t>11:43:28</t>
  </si>
  <si>
    <t>09:50:47</t>
  </si>
  <si>
    <t>12:45:42</t>
  </si>
  <si>
    <t>19:42:38</t>
  </si>
  <si>
    <t>16:41:10</t>
  </si>
  <si>
    <t>19:10:47</t>
  </si>
  <si>
    <t>12:25:51</t>
  </si>
  <si>
    <t>13:47:29</t>
  </si>
  <si>
    <t>13:05:37</t>
  </si>
  <si>
    <t>09:38:23</t>
  </si>
  <si>
    <t>17:14:08</t>
  </si>
  <si>
    <t>08:12:17</t>
  </si>
  <si>
    <t>14:49:43</t>
  </si>
  <si>
    <t>19:09:50</t>
  </si>
  <si>
    <t>18:48:55</t>
  </si>
  <si>
    <t>19:12:41</t>
  </si>
  <si>
    <t>16:02:05</t>
  </si>
  <si>
    <t>16:40:01</t>
  </si>
  <si>
    <t>13:33:35</t>
  </si>
  <si>
    <t>13:28:15</t>
  </si>
  <si>
    <t>15:17:50</t>
  </si>
  <si>
    <t>09:04:22</t>
  </si>
  <si>
    <t>13:29:19</t>
  </si>
  <si>
    <t>08:35:20</t>
  </si>
  <si>
    <t>19:48:00</t>
  </si>
  <si>
    <t>14:01:17</t>
  </si>
  <si>
    <t>15:18:43</t>
  </si>
  <si>
    <t>08:10:13</t>
  </si>
  <si>
    <t>16:25:27</t>
  </si>
  <si>
    <t>19:56:19</t>
  </si>
  <si>
    <t>16:39:31</t>
  </si>
  <si>
    <t>18:11:37</t>
  </si>
  <si>
    <t>18:28:43</t>
  </si>
  <si>
    <t>15:22:47</t>
  </si>
  <si>
    <t>12:37:31</t>
  </si>
  <si>
    <t>18:18:37</t>
  </si>
  <si>
    <t>10:20:33</t>
  </si>
  <si>
    <t>19:27:39</t>
  </si>
  <si>
    <t>14:01:18</t>
  </si>
  <si>
    <t>11:04:40</t>
  </si>
  <si>
    <t>14:10:52</t>
  </si>
  <si>
    <t>16:54:05</t>
  </si>
  <si>
    <t>12:55:29</t>
  </si>
  <si>
    <t>08:58:14</t>
  </si>
  <si>
    <t>09:42:51</t>
  </si>
  <si>
    <t>15:48:32</t>
  </si>
  <si>
    <t>10:59:03</t>
  </si>
  <si>
    <t>19:50:01</t>
  </si>
  <si>
    <t>12:32:59</t>
  </si>
  <si>
    <t>10:31:12</t>
  </si>
  <si>
    <t>10:48:01</t>
  </si>
  <si>
    <t>08:31:48</t>
  </si>
  <si>
    <t>16:20:21</t>
  </si>
  <si>
    <t>19:27:04</t>
  </si>
  <si>
    <t>13:27:11</t>
  </si>
  <si>
    <t>19:02:03</t>
  </si>
  <si>
    <t>17:30:37</t>
  </si>
  <si>
    <t>10:00:28</t>
  </si>
  <si>
    <t>10:01:32</t>
  </si>
  <si>
    <t>19:51:44</t>
  </si>
  <si>
    <t>12:37:15</t>
  </si>
  <si>
    <t>16:59:32</t>
  </si>
  <si>
    <t>11:44:13</t>
  </si>
  <si>
    <t>13:17:11</t>
  </si>
  <si>
    <t>08:43:34</t>
  </si>
  <si>
    <t>11:37:26</t>
  </si>
  <si>
    <t>15:47:55</t>
  </si>
  <si>
    <t>19:34:20</t>
  </si>
  <si>
    <t>19:14:14</t>
  </si>
  <si>
    <t>15:14:58</t>
  </si>
  <si>
    <t>16:24:06</t>
  </si>
  <si>
    <t>09:21:56</t>
  </si>
  <si>
    <t>17:48:18</t>
  </si>
  <si>
    <t>18:21:32</t>
  </si>
  <si>
    <t>11:02:36</t>
  </si>
  <si>
    <t>19:34:52</t>
  </si>
  <si>
    <t>19:09:15</t>
  </si>
  <si>
    <t>17:47:38</t>
  </si>
  <si>
    <t>09:41:21</t>
  </si>
  <si>
    <t>11:56:39</t>
  </si>
  <si>
    <t>16:33:33</t>
  </si>
  <si>
    <t>13:13:56</t>
  </si>
  <si>
    <t>14:45:34</t>
  </si>
  <si>
    <t>19:10:18</t>
  </si>
  <si>
    <t>19:22:29</t>
  </si>
  <si>
    <t>13:44:21</t>
  </si>
  <si>
    <t>14:29:34</t>
  </si>
  <si>
    <t>15:23:55</t>
  </si>
  <si>
    <t>11:54:42</t>
  </si>
  <si>
    <t>08:48:33</t>
  </si>
  <si>
    <t>15:57:46</t>
  </si>
  <si>
    <t>08:01:20</t>
  </si>
  <si>
    <t>13:12:52</t>
  </si>
  <si>
    <t>14:21:27</t>
  </si>
  <si>
    <t>11:00:24</t>
  </si>
  <si>
    <t>12:44:57</t>
  </si>
  <si>
    <t>10:45:23</t>
  </si>
  <si>
    <t>13:28:17</t>
  </si>
  <si>
    <t>15:08:22</t>
  </si>
  <si>
    <t>15:55:04</t>
  </si>
  <si>
    <t>09:29:14</t>
  </si>
  <si>
    <t>19:43:58</t>
  </si>
  <si>
    <t>16:37:41</t>
  </si>
  <si>
    <t>09:24:02</t>
  </si>
  <si>
    <t>19:02:20</t>
  </si>
  <si>
    <t>16:57:27</t>
  </si>
  <si>
    <t>16:39:32</t>
  </si>
  <si>
    <t>14:46:11</t>
  </si>
  <si>
    <t>12:34:56</t>
  </si>
  <si>
    <t>08:10:00</t>
  </si>
  <si>
    <t>10:40:12</t>
  </si>
  <si>
    <t>09:39:35</t>
  </si>
  <si>
    <t>11:59:40</t>
  </si>
  <si>
    <t>16:29:29</t>
  </si>
  <si>
    <t>12:18:21</t>
  </si>
  <si>
    <t>13:56:08</t>
  </si>
  <si>
    <t>11:19:33</t>
  </si>
  <si>
    <t>13:30:39</t>
  </si>
  <si>
    <t>12:26:33</t>
  </si>
  <si>
    <t>19:17:23</t>
  </si>
  <si>
    <t>15:59:16</t>
  </si>
  <si>
    <t>08:57:31</t>
  </si>
  <si>
    <t>15:06:39</t>
  </si>
  <si>
    <t>15:26:37</t>
  </si>
  <si>
    <t>18:14:20</t>
  </si>
  <si>
    <t>10:49:14</t>
  </si>
  <si>
    <t>11:48:52</t>
  </si>
  <si>
    <t>18:48:10</t>
  </si>
  <si>
    <t>08:33:04</t>
  </si>
  <si>
    <t>19:06:55</t>
  </si>
  <si>
    <t>19:52:26</t>
  </si>
  <si>
    <t>16:09:58</t>
  </si>
  <si>
    <t>14:33:39</t>
  </si>
  <si>
    <t>16:04:49</t>
  </si>
  <si>
    <t>17:29:07</t>
  </si>
  <si>
    <t>18:50:31</t>
  </si>
  <si>
    <t>18:43:10</t>
  </si>
  <si>
    <t>13:53:47</t>
  </si>
  <si>
    <t>10:00:45</t>
  </si>
  <si>
    <t>19:55:21</t>
  </si>
  <si>
    <t>16:16:50</t>
  </si>
  <si>
    <t>11:46:16</t>
  </si>
  <si>
    <t>14:56:28</t>
  </si>
  <si>
    <t>16:26:24</t>
  </si>
  <si>
    <t>17:25:56</t>
  </si>
  <si>
    <t>11:34:31</t>
  </si>
  <si>
    <t>14:10:55</t>
  </si>
  <si>
    <t>18:34:50</t>
  </si>
  <si>
    <t>15:36:28</t>
  </si>
  <si>
    <t>18:30:02</t>
  </si>
  <si>
    <t>08:37:53</t>
  </si>
  <si>
    <t>19:51:42</t>
  </si>
  <si>
    <t>14:05:31</t>
  </si>
  <si>
    <t>11:20:33</t>
  </si>
  <si>
    <t>11:34:25</t>
  </si>
  <si>
    <t>18:22:16</t>
  </si>
  <si>
    <t>18:08:55</t>
  </si>
  <si>
    <t>10:23:56</t>
  </si>
  <si>
    <t>18:32:32</t>
  </si>
  <si>
    <t>14:30:03</t>
  </si>
  <si>
    <t>16:06:14</t>
  </si>
  <si>
    <t>12:37:59</t>
  </si>
  <si>
    <t>13:25:08</t>
  </si>
  <si>
    <t>09:38:51</t>
  </si>
  <si>
    <t>11:09:41</t>
  </si>
  <si>
    <t>12:01:51</t>
  </si>
  <si>
    <t>09:12:07</t>
  </si>
  <si>
    <t>10:04:05</t>
  </si>
  <si>
    <t>10:22:59</t>
  </si>
  <si>
    <t>09:53:25</t>
  </si>
  <si>
    <t>17:48:27</t>
  </si>
  <si>
    <t>18:46:59</t>
  </si>
  <si>
    <t>11:03:18</t>
  </si>
  <si>
    <t>14:31:53</t>
  </si>
  <si>
    <t>13:31:55</t>
  </si>
  <si>
    <t>10:18:37</t>
  </si>
  <si>
    <t>10:27:37</t>
  </si>
  <si>
    <t>18:22:43</t>
  </si>
  <si>
    <t>15:08:56</t>
  </si>
  <si>
    <t>15:56:13</t>
  </si>
  <si>
    <t>18:18:31</t>
  </si>
  <si>
    <t>15:23:27</t>
  </si>
  <si>
    <t>15:06:18</t>
  </si>
  <si>
    <t>17:16:09</t>
  </si>
  <si>
    <t>17:26:29</t>
  </si>
  <si>
    <t>19:45:57</t>
  </si>
  <si>
    <t>09:38:30</t>
  </si>
  <si>
    <t>08:12:35</t>
  </si>
  <si>
    <t>17:29:48</t>
  </si>
  <si>
    <t>18:23:51</t>
  </si>
  <si>
    <t>14:00:40</t>
  </si>
  <si>
    <t>19:21:19</t>
  </si>
  <si>
    <t>10:04:49</t>
  </si>
  <si>
    <t>14:44:52</t>
  </si>
  <si>
    <t>14:16:50</t>
  </si>
  <si>
    <t>14:35:25</t>
  </si>
  <si>
    <t>14:32:22</t>
  </si>
  <si>
    <t>13:07:49</t>
  </si>
  <si>
    <t>14:56:24</t>
  </si>
  <si>
    <t>11:39:42</t>
  </si>
  <si>
    <t>14:15:41</t>
  </si>
  <si>
    <t>Click One of the following buttons</t>
  </si>
  <si>
    <t>Create a Sale</t>
  </si>
  <si>
    <t>Total</t>
  </si>
  <si>
    <t>Pages</t>
  </si>
  <si>
    <t>Inventory</t>
  </si>
  <si>
    <t>Sales --Store Performance</t>
  </si>
  <si>
    <t>Data</t>
  </si>
  <si>
    <t>Done</t>
  </si>
  <si>
    <t>https://www.youtube.com/watch?v=9JTLJ1XjOJc</t>
  </si>
  <si>
    <t>https://www.youtube.com/watch?v=gK2yBpiITvI</t>
  </si>
  <si>
    <t>https://www.youtube.com/watch?v=jCUPBv9mAAg</t>
  </si>
  <si>
    <t>Sales Commmission</t>
  </si>
  <si>
    <t>pete</t>
  </si>
  <si>
    <t>Monkey</t>
  </si>
  <si>
    <t>(347)291-5626</t>
  </si>
  <si>
    <t>pete.monkey@gmail.com</t>
  </si>
  <si>
    <t>Sameer</t>
  </si>
  <si>
    <t>Semerkant</t>
  </si>
  <si>
    <t>(718)456-6789</t>
  </si>
  <si>
    <t>Sameer.semerkant@gmail.com</t>
  </si>
  <si>
    <t>30 Broadway</t>
  </si>
  <si>
    <t>100 Lexington Ave</t>
  </si>
  <si>
    <t>200 Candy ln</t>
  </si>
  <si>
    <t>16 Crazy Rd</t>
  </si>
  <si>
    <t>175 16th Ave</t>
  </si>
  <si>
    <t>123 ABC Crt</t>
  </si>
  <si>
    <t>324 Park Ave</t>
  </si>
  <si>
    <t>234 Madison Ave</t>
  </si>
  <si>
    <t>850 7th Ave</t>
  </si>
  <si>
    <t>900 96th st</t>
  </si>
  <si>
    <t>96 15th Ave</t>
  </si>
  <si>
    <t>Phone</t>
  </si>
  <si>
    <t>Joe.Clarke@gmail.com</t>
  </si>
  <si>
    <t>Nick.Jonas@gmail.com</t>
  </si>
  <si>
    <t>Kevin.Hunter@gmail.com</t>
  </si>
  <si>
    <t>Selena.Gordon@gmail.com</t>
  </si>
  <si>
    <t>Kim.Wheeler@gmail.com</t>
  </si>
  <si>
    <t>Henry.Black@gmail.com</t>
  </si>
  <si>
    <t>Harry.Lane@gmail.com</t>
  </si>
  <si>
    <t>Lily.Robertson@gmail.com</t>
  </si>
  <si>
    <t>Sam.Luna@gmail.com</t>
  </si>
  <si>
    <t>Jaime.Lanister@gmail.com</t>
  </si>
  <si>
    <t>Emma.Tyrell@gmail.com</t>
  </si>
  <si>
    <t>Noah.Baratheon@gmail.com</t>
  </si>
  <si>
    <t>Ava.Stark@gmail.com</t>
  </si>
  <si>
    <t>Britany.Snow@gmail.com</t>
  </si>
  <si>
    <t>Ashley.Bailey@gmail.com</t>
  </si>
  <si>
    <t>Aiden.Simpson@gmail.com</t>
  </si>
  <si>
    <t>Miranda.Lincoln@gmail.com</t>
  </si>
  <si>
    <t>Isabella.Flander@gmail.com</t>
  </si>
  <si>
    <t>Caden.Lee@gmail.com</t>
  </si>
  <si>
    <t>Mohammad.Patel@gmail.com</t>
  </si>
  <si>
    <t>Rashid.Cooper@gmail.com</t>
  </si>
  <si>
    <t>Kant</t>
  </si>
  <si>
    <t>(718)235-6783</t>
  </si>
  <si>
    <t>mary.kant@gmail.com</t>
  </si>
  <si>
    <t>Jackie</t>
  </si>
  <si>
    <t>Francis</t>
  </si>
  <si>
    <t>(516)456-1234</t>
  </si>
  <si>
    <t>Jackie.Francis@gmail.com</t>
  </si>
  <si>
    <t>Highest Price</t>
  </si>
  <si>
    <t>Main Menu</t>
  </si>
  <si>
    <t xml:space="preserve"> </t>
  </si>
  <si>
    <t>Existing Customers - Look Up Phone Number</t>
  </si>
  <si>
    <t>Sales Price</t>
  </si>
  <si>
    <t/>
  </si>
  <si>
    <t>https://www.youtube.com/watch?v=7qSQGh6hewM</t>
  </si>
  <si>
    <t>Date</t>
  </si>
  <si>
    <t>Britany Snow</t>
  </si>
  <si>
    <t>Sales Number</t>
  </si>
  <si>
    <t>Estimated 6 Months Sales Total</t>
  </si>
  <si>
    <t>Estimated Average Commission Rate</t>
  </si>
  <si>
    <t>Estimated Gross Commission</t>
  </si>
  <si>
    <t>Commission Estimate - June to November</t>
  </si>
  <si>
    <t>Sales(YTD)</t>
  </si>
  <si>
    <t>Total Commissions (MTD)</t>
  </si>
  <si>
    <t>Conti</t>
  </si>
  <si>
    <t>Nick.Conti@gmail.com</t>
  </si>
  <si>
    <t>Monkey pete</t>
  </si>
  <si>
    <t>Performance</t>
  </si>
  <si>
    <t>Month</t>
  </si>
  <si>
    <t>Year</t>
  </si>
  <si>
    <t>Product Name</t>
  </si>
  <si>
    <t>Sold</t>
  </si>
  <si>
    <t>Frequency</t>
  </si>
  <si>
    <t>Sold in One transaction</t>
  </si>
  <si>
    <t>Probability</t>
  </si>
  <si>
    <t>Monte Carlo Simulation</t>
  </si>
  <si>
    <t>Lower Rand</t>
  </si>
  <si>
    <t>Upper Rand</t>
  </si>
  <si>
    <t>Demand</t>
  </si>
  <si>
    <t>End Inv</t>
  </si>
  <si>
    <t>Add Inv</t>
  </si>
  <si>
    <t>Beg Inv</t>
  </si>
  <si>
    <t>Demand Filled</t>
  </si>
  <si>
    <t>Avail. Inv</t>
  </si>
  <si>
    <t>Stock Out</t>
  </si>
  <si>
    <t xml:space="preserve">End Inv + ordering </t>
  </si>
  <si>
    <t>Place Order</t>
  </si>
  <si>
    <t>Lead Time</t>
  </si>
  <si>
    <t>Arrive on Day</t>
  </si>
  <si>
    <t>Order Quantity</t>
  </si>
  <si>
    <t>Reorder Point</t>
  </si>
  <si>
    <t>Day</t>
  </si>
  <si>
    <t xml:space="preserve">Holding Cost </t>
  </si>
  <si>
    <t>Stock out Cost</t>
  </si>
  <si>
    <t>Order Cost</t>
  </si>
  <si>
    <t>Total Cost</t>
  </si>
  <si>
    <t>Run</t>
  </si>
  <si>
    <t>Averages</t>
  </si>
  <si>
    <t>Std dev</t>
  </si>
  <si>
    <t>Nicholas Conti</t>
  </si>
  <si>
    <t>Sams Liquor Store</t>
  </si>
  <si>
    <t>Naeem Semerkant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</si>
</sst>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%"/>
    <numFmt numFmtId="165" formatCode="mm/dd/yy;@"/>
    <numFmt numFmtId="166" formatCode="[$-F400]h:mm:ss\ AM/PM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26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28"/>
      <color rgb="FF0070C0"/>
      <name val="Century Gothic"/>
      <family val="2"/>
    </font>
    <font>
      <sz val="11"/>
      <color rgb="FF000000"/>
      <name val="Century Gothic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1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5" fillId="0" borderId="0" applyNumberFormat="0" applyFill="0" applyBorder="0" applyAlignment="0" applyProtection="0"/>
    <xf numFmtId="0" fontId="8" fillId="0" borderId="0"/>
    <xf numFmtId="0" fontId="10" fillId="6" borderId="0">
      <alignment vertical="top" wrapText="1"/>
    </xf>
    <xf numFmtId="0" fontId="9" fillId="6" borderId="0">
      <alignment vertical="top" wrapText="1"/>
    </xf>
    <xf numFmtId="0" fontId="10" fillId="6" borderId="0">
      <alignment vertical="top" wrapText="1"/>
    </xf>
    <xf numFmtId="0" fontId="8" fillId="0" borderId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/>
    <xf numFmtId="9" fontId="0" fillId="0" borderId="0" xfId="2" applyFont="1"/>
    <xf numFmtId="44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" fontId="0" fillId="0" borderId="0" xfId="0" applyNumberFormat="1"/>
    <xf numFmtId="0" fontId="0" fillId="0" borderId="0" xfId="0" applyAlignment="1">
      <alignment vertical="center"/>
    </xf>
    <xf numFmtId="0" fontId="0" fillId="0" borderId="0" xfId="0" applyFill="1"/>
    <xf numFmtId="0" fontId="0" fillId="0" borderId="0" xfId="0" applyFill="1" applyAlignment="1">
      <alignment horizontal="center"/>
    </xf>
    <xf numFmtId="16" fontId="0" fillId="0" borderId="0" xfId="0" applyNumberFormat="1"/>
    <xf numFmtId="0" fontId="0" fillId="0" borderId="2" xfId="0" applyFont="1" applyBorder="1"/>
    <xf numFmtId="0" fontId="0" fillId="4" borderId="3" xfId="0" applyFont="1" applyFill="1" applyBorder="1"/>
    <xf numFmtId="0" fontId="0" fillId="0" borderId="3" xfId="0" applyFont="1" applyBorder="1"/>
    <xf numFmtId="0" fontId="5" fillId="0" borderId="0" xfId="5"/>
    <xf numFmtId="0" fontId="0" fillId="0" borderId="0" xfId="0" applyAlignment="1">
      <alignment wrapText="1"/>
    </xf>
    <xf numFmtId="0" fontId="0" fillId="0" borderId="0" xfId="0" applyNumberFormat="1"/>
    <xf numFmtId="44" fontId="0" fillId="0" borderId="0" xfId="1" applyFont="1" applyAlignment="1"/>
    <xf numFmtId="0" fontId="0" fillId="0" borderId="0" xfId="1" applyNumberFormat="1" applyFont="1"/>
    <xf numFmtId="14" fontId="0" fillId="0" borderId="0" xfId="0" applyNumberFormat="1" applyAlignment="1">
      <alignment horizontal="center"/>
    </xf>
    <xf numFmtId="18" fontId="0" fillId="0" borderId="0" xfId="0" applyNumberFormat="1" applyAlignment="1">
      <alignment horizontal="center"/>
    </xf>
    <xf numFmtId="44" fontId="0" fillId="0" borderId="0" xfId="1" applyNumberFormat="1" applyFont="1"/>
    <xf numFmtId="0" fontId="0" fillId="0" borderId="0" xfId="0"/>
    <xf numFmtId="44" fontId="0" fillId="5" borderId="0" xfId="0" applyNumberFormat="1" applyFill="1"/>
    <xf numFmtId="164" fontId="0" fillId="5" borderId="0" xfId="0" applyNumberFormat="1" applyFill="1"/>
    <xf numFmtId="44" fontId="0" fillId="5" borderId="0" xfId="1" applyFont="1" applyFill="1"/>
    <xf numFmtId="14" fontId="0" fillId="0" borderId="0" xfId="0" applyNumberFormat="1"/>
    <xf numFmtId="165" fontId="0" fillId="0" borderId="0" xfId="0" applyNumberFormat="1"/>
    <xf numFmtId="166" fontId="0" fillId="0" borderId="0" xfId="0" applyNumberFormat="1"/>
    <xf numFmtId="44" fontId="11" fillId="0" borderId="0" xfId="1" applyFont="1"/>
    <xf numFmtId="44" fontId="11" fillId="0" borderId="0" xfId="1" applyFont="1" applyAlignment="1"/>
    <xf numFmtId="0" fontId="6" fillId="7" borderId="0" xfId="0" applyFont="1" applyFill="1" applyAlignment="1">
      <alignment vertical="top"/>
    </xf>
    <xf numFmtId="0" fontId="6" fillId="7" borderId="0" xfId="0" applyFont="1" applyFill="1" applyAlignment="1">
      <alignment horizontal="center" vertical="top"/>
    </xf>
    <xf numFmtId="0" fontId="4" fillId="3" borderId="1" xfId="4" applyFont="1" applyAlignment="1">
      <alignment horizontal="center" wrapText="1"/>
    </xf>
    <xf numFmtId="0" fontId="7" fillId="2" borderId="0" xfId="5" applyFont="1" applyFill="1" applyAlignment="1">
      <alignment horizontal="center" vertical="center"/>
    </xf>
    <xf numFmtId="0" fontId="2" fillId="2" borderId="0" xfId="3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0" fontId="6" fillId="0" borderId="0" xfId="0" applyFont="1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0" fillId="0" borderId="0" xfId="0" applyAlignment="1">
      <alignment horizontal="left" vertical="top" wrapText="1"/>
    </xf>
    <xf numFmtId="0" fontId="13" fillId="7" borderId="0" xfId="0" applyFont="1" applyFill="1" applyAlignment="1">
      <alignment horizontal="center" vertical="center"/>
    </xf>
  </cellXfs>
  <cellStyles count="11">
    <cellStyle name="Currency" xfId="1" builtinId="4"/>
    <cellStyle name="Good" xfId="3" builtinId="26"/>
    <cellStyle name="Hyperlink" xfId="5" builtinId="8"/>
    <cellStyle name="Input" xfId="4" builtinId="20"/>
    <cellStyle name="Normal" xfId="0" builtinId="0"/>
    <cellStyle name="Normal 2" xfId="6" xr:uid="{512677A1-B4CE-46A7-8543-C23F7DA664A5}"/>
    <cellStyle name="Normal 2 2" xfId="10" xr:uid="{3AC37156-B877-492A-BF32-B0E9A419097F}"/>
    <cellStyle name="Percent" xfId="2" builtinId="5"/>
    <cellStyle name="Project Header" xfId="7" xr:uid="{568BC877-4165-4640-A7D0-A26ADC771366}"/>
    <cellStyle name="Student Name" xfId="8" xr:uid="{B11C573E-7026-4E36-9F38-5CA5E70EDBD9}"/>
    <cellStyle name="Submission" xfId="9" xr:uid="{1EF9D396-C919-4CED-9D72-9C06BF55EE36}"/>
  </cellStyles>
  <dxfs count="39">
    <dxf>
      <alignment horizontal="center" vertical="bottom" textRotation="0" wrapText="0" indent="0" justifyLastLine="0" shrinkToFit="0" readingOrder="0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m/dd/yy;@"/>
    </dxf>
    <dxf>
      <numFmt numFmtId="34" formatCode="_(&quot;$&quot;* #,##0.00_);_(&quot;$&quot;* \(#,##0.00\);_(&quot;$&quot;* &quot;-&quot;??_);_(@_)"/>
    </dxf>
    <dxf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[$-F400]h:mm:ss\ AM/PM"/>
    </dxf>
    <dxf>
      <numFmt numFmtId="165" formatCode="mm/dd/yy;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Historical</a:t>
            </a:r>
            <a:r>
              <a:rPr lang="en-US" baseline="0"/>
              <a:t> Monthly Sales performance of 2018-2019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'Sales Manager'!$P$11:$P$23</c:f>
              <c:numCache>
                <c:formatCode>General</c:formatCode>
                <c:ptCount val="13"/>
                <c:pt idx="0">
                  <c:v>892.12000000000012</c:v>
                </c:pt>
                <c:pt idx="1">
                  <c:v>739.85</c:v>
                </c:pt>
                <c:pt idx="2">
                  <c:v>254.39</c:v>
                </c:pt>
                <c:pt idx="3">
                  <c:v>1238.8200000000002</c:v>
                </c:pt>
                <c:pt idx="4">
                  <c:v>970.25</c:v>
                </c:pt>
                <c:pt idx="5">
                  <c:v>556.23</c:v>
                </c:pt>
                <c:pt idx="6">
                  <c:v>780.91000000000008</c:v>
                </c:pt>
                <c:pt idx="7">
                  <c:v>844.5100000000001</c:v>
                </c:pt>
                <c:pt idx="8">
                  <c:v>449.21</c:v>
                </c:pt>
                <c:pt idx="9">
                  <c:v>500.76</c:v>
                </c:pt>
                <c:pt idx="10">
                  <c:v>395.76</c:v>
                </c:pt>
                <c:pt idx="11">
                  <c:v>1292.6100000000004</c:v>
                </c:pt>
                <c:pt idx="12">
                  <c:v>892.12000000000012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69-45FE-AAED-A930BA45E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7636160"/>
        <c:axId val="1157638784"/>
      </c:barChart>
      <c:catAx>
        <c:axId val="11576361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7638784"/>
        <c:crosses val="autoZero"/>
        <c:auto val="1"/>
        <c:lblAlgn val="ctr"/>
        <c:lblOffset val="100"/>
        <c:noMultiLvlLbl val="0"/>
      </c:catAx>
      <c:valAx>
        <c:axId val="115763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763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212141</xdr:colOff>
          <xdr:row>10</xdr:row>
          <xdr:rowOff>58522</xdr:rowOff>
        </xdr:from>
        <xdr:to>
          <xdr:col>6</xdr:col>
          <xdr:colOff>58522</xdr:colOff>
          <xdr:row>13</xdr:row>
          <xdr:rowOff>51206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168250</xdr:colOff>
          <xdr:row>8</xdr:row>
          <xdr:rowOff>160934</xdr:rowOff>
        </xdr:from>
        <xdr:to>
          <xdr:col>13</xdr:col>
          <xdr:colOff>263347</xdr:colOff>
          <xdr:row>14</xdr:row>
          <xdr:rowOff>21946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Sale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124358</xdr:colOff>
          <xdr:row>4</xdr:row>
          <xdr:rowOff>168250</xdr:rowOff>
        </xdr:from>
        <xdr:to>
          <xdr:col>8</xdr:col>
          <xdr:colOff>146304</xdr:colOff>
          <xdr:row>9</xdr:row>
          <xdr:rowOff>168250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Record Transaction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21946</xdr:colOff>
          <xdr:row>1</xdr:row>
          <xdr:rowOff>51206</xdr:rowOff>
        </xdr:from>
        <xdr:to>
          <xdr:col>8</xdr:col>
          <xdr:colOff>0</xdr:colOff>
          <xdr:row>3</xdr:row>
          <xdr:rowOff>58522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190195</xdr:colOff>
          <xdr:row>0</xdr:row>
          <xdr:rowOff>29261</xdr:rowOff>
        </xdr:from>
        <xdr:to>
          <xdr:col>3</xdr:col>
          <xdr:colOff>760781</xdr:colOff>
          <xdr:row>2</xdr:row>
          <xdr:rowOff>95098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10971</xdr:colOff>
      <xdr:row>9</xdr:row>
      <xdr:rowOff>128015</xdr:rowOff>
    </xdr:from>
    <xdr:to>
      <xdr:col>9</xdr:col>
      <xdr:colOff>599845</xdr:colOff>
      <xdr:row>34</xdr:row>
      <xdr:rowOff>117043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446227</xdr:colOff>
          <xdr:row>1</xdr:row>
          <xdr:rowOff>73152</xdr:rowOff>
        </xdr:from>
        <xdr:to>
          <xdr:col>5</xdr:col>
          <xdr:colOff>731520</xdr:colOff>
          <xdr:row>2</xdr:row>
          <xdr:rowOff>168250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C1FA11A-C35E-4DB9-BA54-43F863FA46C4}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Category" tableColumnId="2"/>
      <queryTableField id="3" name="Size" tableColumnId="3"/>
      <queryTableField id="4" name="Total Inventory" tableColumnId="4"/>
      <queryTableField id="5" name="Price" tableColumnId="5"/>
      <queryTableField id="6" name="Commision" tableColumnId="6"/>
      <queryTableField id="7" name="Sale Price" tableColumnId="7"/>
      <queryTableField id="8" name="Sale End Date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AD05FEEC-6912-4912-8D37-604EF8200DD0}" autoFormatId="16" applyNumberFormats="0" applyBorderFormats="0" applyFontFormats="0" applyPatternFormats="0" applyAlignmentFormats="0" applyWidthHeightFormats="0">
  <queryTableRefresh nextId="12">
    <queryTableFields count="11">
      <queryTableField id="1" name="Transaction No." tableColumnId="1"/>
      <queryTableField id="2" name="Date Time" tableColumnId="2"/>
      <queryTableField id="3" name="Time" tableColumnId="3"/>
      <queryTableField id="4" name="Model No." tableColumnId="4"/>
      <queryTableField id="5" name="Description" tableColumnId="5"/>
      <queryTableField id="6" name="Price" tableColumnId="6"/>
      <queryTableField id="7" name="Qty" tableColumnId="7"/>
      <queryTableField id="8" name="Total" tableColumnId="8"/>
      <queryTableField id="9" name="Sales Commmission" tableColumnId="9"/>
      <queryTableField id="10" name="Sales No" tableColumnId="10"/>
      <queryTableField id="11" name="Cust No.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34EDE427-7C63-409E-87EE-EA4215CA656A}" autoFormatId="16" applyNumberFormats="0" applyBorderFormats="0" applyFontFormats="0" applyPatternFormats="0" applyAlignmentFormats="0" applyWidthHeightFormats="0">
  <queryTableRefresh nextId="10">
    <queryTableFields count="4">
      <queryTableField id="1" name="Sales No." tableColumnId="1"/>
      <queryTableField id="2" name="Last" tableColumnId="2"/>
      <queryTableField id="3" name="First" tableColumnId="3"/>
      <queryTableField id="9" name="Phone No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C4E0B6D9-BB4B-452D-8E5E-7BD9B4F4B302}" autoFormatId="16" applyNumberFormats="0" applyBorderFormats="0" applyFontFormats="0" applyPatternFormats="0" applyAlignmentFormats="0" applyWidthHeightFormats="0">
  <queryTableRefresh nextId="16">
    <queryTableFields count="4">
      <queryTableField id="1" name="Transaction No." tableColumnId="1"/>
      <queryTableField id="12" name="Description" tableColumnId="12"/>
      <queryTableField id="13" name="Price" tableColumnId="13"/>
      <queryTableField id="7" name="Qty" tableColumnId="7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B1457F5-68D4-48C5-A723-4D1DDB964A5C}" name="TypeCriteria" displayName="TypeCriteria" ref="C2:C3" totalsRowShown="0">
  <autoFilter ref="C2:C3" xr:uid="{98B21E27-D387-4124-9123-27946CE638DA}"/>
  <tableColumns count="1">
    <tableColumn id="1" xr3:uid="{2D2FA63D-0EBF-4774-B288-6C7575412B5D}" name="Catego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6CDD338-19A3-4666-AF0A-AD541DAEC1B5}" name="RangeCriteria" displayName="RangeCriteria" ref="E2:E3" totalsRowShown="0">
  <autoFilter ref="E2:E3" xr:uid="{478A44A0-46AB-4249-AC4F-00500B7FD1A4}"/>
  <tableColumns count="1">
    <tableColumn id="1" xr3:uid="{453AD693-0D6E-47FB-9A59-011D81F691AF}" name="Highest Pri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CA1ED73-76FC-487E-B037-0860B43D098B}" name="Inventory2" displayName="Inventory2" ref="B7:I27" tableType="queryTable" totalsRowShown="0" headerRowDxfId="38" dataDxfId="37" headerRowCellStyle="Currency" dataCellStyle="Currency">
  <autoFilter ref="B7:I27" xr:uid="{702FD818-7589-4D41-B726-5F08C0AB29CC}"/>
  <tableColumns count="8">
    <tableColumn id="1" xr3:uid="{A835DDF9-2C69-421F-9B10-5829931C2D0D}" uniqueName="1" name="Description" queryTableFieldId="1" dataDxfId="36"/>
    <tableColumn id="2" xr3:uid="{A234C98C-28EA-4AEA-98DF-A5D5085AF411}" uniqueName="2" name="Category" queryTableFieldId="2" dataDxfId="35"/>
    <tableColumn id="3" xr3:uid="{C097C9EA-ED25-44B8-86FD-1191B13389D1}" uniqueName="3" name="Size" queryTableFieldId="3" dataDxfId="34"/>
    <tableColumn id="4" xr3:uid="{29BCADF3-7250-4E07-98D5-1949DD11BA89}" uniqueName="4" name="Total Inventory" queryTableFieldId="4"/>
    <tableColumn id="5" xr3:uid="{47E27834-55C5-4BA4-B669-65F749685BE3}" uniqueName="5" name="Price" queryTableFieldId="5" dataDxfId="33" dataCellStyle="Currency"/>
    <tableColumn id="6" xr3:uid="{1C1B532A-F9F7-4FDC-9D0A-16BF925744F6}" uniqueName="6" name="Commision" queryTableFieldId="6" dataDxfId="32" dataCellStyle="Currency"/>
    <tableColumn id="7" xr3:uid="{BC8106A3-23A2-4A7D-A5D3-227DB00D9DFD}" uniqueName="7" name="Sale Price" queryTableFieldId="7" dataDxfId="31" dataCellStyle="Currency"/>
    <tableColumn id="8" xr3:uid="{EBEB0AB8-D014-4FF8-841B-98C3EA1A9451}" uniqueName="8" name="Sale End Date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6C730F3-D2E9-48F2-A7DF-840A353D5653}" name="SalesCriteria" displayName="SalesCriteria" ref="B1:B2" totalsRowShown="0" headerRowDxfId="30" dataDxfId="29">
  <autoFilter ref="B1:B2" xr:uid="{43B55B2A-A666-4E3D-B23D-2415873EC210}"/>
  <tableColumns count="1">
    <tableColumn id="1" xr3:uid="{C5B8FF71-D182-43FC-B7D1-3201B1400F90}" name="Sales Number" dataDxfId="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A2BABDC-E8BF-4585-A7E2-5E1295B99846}" name="Transaction_2" displayName="Transaction_2" ref="B10:L150" tableType="queryTable" totalsRowShown="0">
  <autoFilter ref="B10:L150" xr:uid="{7361E48C-F8C5-4BC9-B7B5-C12D1DBC65F0}"/>
  <tableColumns count="11">
    <tableColumn id="1" xr3:uid="{A91997CF-8D16-4EAF-8BF6-164136B4A329}" uniqueName="1" name="Transaction No." queryTableFieldId="1"/>
    <tableColumn id="2" xr3:uid="{0BA097CE-2F4D-40E8-90FA-1A856EB9EA8A}" uniqueName="2" name="Date Time" queryTableFieldId="2" dataDxfId="27"/>
    <tableColumn id="3" xr3:uid="{54A9EDC6-ED0F-4AB4-81CE-F7FAB83D132A}" uniqueName="3" name="Time" queryTableFieldId="3" dataDxfId="26"/>
    <tableColumn id="4" xr3:uid="{8C9B5BE8-5297-4420-A972-B6BCE0C70638}" uniqueName="4" name="Model No." queryTableFieldId="4"/>
    <tableColumn id="5" xr3:uid="{B3848C21-CB6A-4A2B-A9B6-FB98307A756F}" uniqueName="5" name="Description" queryTableFieldId="5" dataDxfId="25"/>
    <tableColumn id="6" xr3:uid="{A296C71B-1420-4665-BFD5-5E5249404037}" uniqueName="6" name="Price" queryTableFieldId="6"/>
    <tableColumn id="7" xr3:uid="{AE7D8625-DB9C-4889-A16D-4BC6E20F1583}" uniqueName="7" name="Qty" queryTableFieldId="7"/>
    <tableColumn id="8" xr3:uid="{5C431E5F-AC35-43CF-AA2B-653F3660BDE3}" uniqueName="8" name="Total" queryTableFieldId="8"/>
    <tableColumn id="9" xr3:uid="{4C12179D-E5BC-4B94-8131-93ACF95AE60F}" uniqueName="9" name="Sales Commmission" queryTableFieldId="9"/>
    <tableColumn id="10" xr3:uid="{8B530898-B093-434F-810D-8E25FF6FF9BE}" uniqueName="10" name="Sales No" queryTableFieldId="10"/>
    <tableColumn id="11" xr3:uid="{884AB756-0A2D-4CCF-A047-47954306429D}" uniqueName="11" name="Cust No." queryTableFieldId="1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051F896-D53A-47F6-8786-EF097D872746}" name="Salespeople__2" displayName="Salespeople__2" ref="B4:E5" tableType="queryTable" totalsRowShown="0">
  <autoFilter ref="B4:E5" xr:uid="{9AC563EC-8641-473B-A0C7-881849192F5D}"/>
  <tableColumns count="4">
    <tableColumn id="1" xr3:uid="{FFAC246A-5FB5-4FD1-B327-6F62E0A39F8F}" uniqueName="1" name="Sales No." queryTableFieldId="1"/>
    <tableColumn id="2" xr3:uid="{A0C446B2-8920-4FA0-80F9-BF9178D20ECB}" uniqueName="2" name="Last" queryTableFieldId="2" dataDxfId="24"/>
    <tableColumn id="3" xr3:uid="{2836FC3C-0C91-4E8D-99EB-2D1B2BF6CD66}" uniqueName="3" name="First" queryTableFieldId="3" dataDxfId="23"/>
    <tableColumn id="9" xr3:uid="{B22624A1-C1FF-4EEB-BFB8-FBEBBDBBE88B}" uniqueName="9" name="Phone No" queryTableFieldId="9" dataDxfId="2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6E18F74-CC3C-4AAA-982B-213D02C5BE37}" name="Table19" displayName="Table19" ref="N10:P23" totalsRowShown="0">
  <autoFilter ref="N10:P23" xr:uid="{9866D5BB-F2C6-4CD5-B6E8-3BE0E49CE3D8}"/>
  <tableColumns count="3">
    <tableColumn id="1" xr3:uid="{0B920F40-D123-4818-812F-A32437D9D12D}" name="Year"/>
    <tableColumn id="2" xr3:uid="{CBB84688-FB79-49EC-80CD-D46118B65B33}" name="Month"/>
    <tableColumn id="3" xr3:uid="{6CA7E658-0E06-46F0-B87E-0DC8B2CB8C7D}" name="Sales" dataDxfId="21">
      <calculatedColumnFormula array="1">SUM(IF(MONTH(Transaction_2[Date Time])=Table19[[#This Row],[Month]],Transaction_2[Total],0))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7115AA9-449F-45B3-96B5-644B814CBD94}" name="Table22" displayName="Table22" ref="A2:A3" totalsRowShown="0" headerRowDxfId="20" dataDxfId="19">
  <autoFilter ref="A2:A3" xr:uid="{CC11FA0F-6C2E-4904-8453-3D4B68D33D69}"/>
  <tableColumns count="1">
    <tableColumn id="1" xr3:uid="{0F232C23-B0D8-48AD-859D-C424CB4EC042}" name="Product Name" dataDxf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1AF5D33-93AF-49C6-B4FE-6157B044DF01}" name="Transaction__2" displayName="Transaction__2" ref="R1:U20" tableType="queryTable" totalsRowShown="0" headerRowDxfId="17" dataDxfId="16">
  <autoFilter ref="R1:U20" xr:uid="{DC1E53E5-E724-46CB-8AD7-0D25A62442BC}"/>
  <tableColumns count="4">
    <tableColumn id="1" xr3:uid="{984F28AE-DFC6-4ECB-A09A-6C6DD508CC9B}" uniqueName="1" name="Transaction No." queryTableFieldId="1" dataDxfId="15"/>
    <tableColumn id="12" xr3:uid="{D641CD8F-5E94-4439-846F-EC5D369A4665}" uniqueName="12" name="Description" queryTableFieldId="12" dataDxfId="14"/>
    <tableColumn id="13" xr3:uid="{D7544748-FB51-45ED-AAB0-C39FF4BF61B2}" uniqueName="13" name="Price" queryTableFieldId="13"/>
    <tableColumn id="7" xr3:uid="{0771D670-1B3E-43F2-B669-DEC4A4917467}" uniqueName="7" name="Qty" queryTableFieldId="7" dataDxfId="1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B979B1-28B9-4D34-82CF-4E7793B5C578}" name="Inventory" displayName="Inventory" ref="A2:I100" totalsRowShown="0" headerRowCellStyle="Normal" dataCellStyle="Normal">
  <autoFilter ref="A2:I100" xr:uid="{5C9ACFFF-C24F-434C-BB94-1FD4E1E13E5A}">
    <filterColumn colId="4">
      <filters>
        <filter val="0"/>
        <filter val="1"/>
        <filter val="2"/>
        <filter val="3"/>
        <filter val="5"/>
      </filters>
    </filterColumn>
  </autoFilter>
  <sortState xmlns:xlrd2="http://schemas.microsoft.com/office/spreadsheetml/2017/richdata2" ref="B3:I100">
    <sortCondition descending="1" ref="F2:F100"/>
  </sortState>
  <tableColumns count="9">
    <tableColumn id="3" xr3:uid="{80B5D5E2-66C3-4C54-9B86-190663E4F6A7}" name="Description" dataCellStyle="Normal"/>
    <tableColumn id="1" xr3:uid="{9D70A248-A054-478C-A4B1-DB57855C1845}" name="Model No." dataCellStyle="Normal"/>
    <tableColumn id="2" xr3:uid="{D02D8C39-D0FE-4E19-B1A2-A1CC3D31336B}" name="Category" dataCellStyle="Normal"/>
    <tableColumn id="4" xr3:uid="{82A61FEB-CD10-453B-A021-645CB93DE108}" name="Size" dataCellStyle="Normal"/>
    <tableColumn id="5" xr3:uid="{4C6E21B3-C0B7-4546-BDCF-EBD63A7F978F}" name="Total Inventory" dataCellStyle="Normal"/>
    <tableColumn id="6" xr3:uid="{95B67A45-B8B1-472F-A313-D1349DA53EF8}" name="Price" dataCellStyle="Currency"/>
    <tableColumn id="9" xr3:uid="{1F06D3CE-2259-4522-B218-5A424463C729}" name="Commision" dataDxfId="12" dataCellStyle="Currency">
      <calculatedColumnFormula>VLOOKUP(Inventory[[#This Row],[Category]],$K$2:$L$23,2,TRUE)*Inventory[[#This Row],[Price]]</calculatedColumnFormula>
    </tableColumn>
    <tableColumn id="7" xr3:uid="{CE127339-1641-4AE4-8D75-EDDBC375F575}" name="Sale Price" dataCellStyle="Normal"/>
    <tableColumn id="8" xr3:uid="{ED46D084-D132-408E-9B17-2182FA650A02}" name="Sale End Date" dataCellStyle="Normal">
      <calculatedColumnFormula>IF(AND(Inventory[Category]= "BEER", Inventory[[#This Row],[Price]]&lt;20),TODAY()+30, "")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DE8CBC5-934C-43BB-9DE1-08E318E6C112}" name="Customer" displayName="Customer" ref="AA2:AD28" totalsRowShown="0">
  <autoFilter ref="AA2:AD28" xr:uid="{291C9B3E-9FD1-46F4-9B2F-7127AB154C09}"/>
  <tableColumns count="4">
    <tableColumn id="1" xr3:uid="{8B784DC5-7703-4D38-889A-AC7650C4A66C}" name="Phone"/>
    <tableColumn id="2" xr3:uid="{7E1ABCE0-727C-46C7-8C23-0B7C0E2C48EA}" name="Last"/>
    <tableColumn id="3" xr3:uid="{52A8E6C1-95D6-43CE-B85C-9092E0DEC044}" name="First"/>
    <tableColumn id="5" xr3:uid="{EA366E86-1DC3-4F6A-B49A-34EDBD0FC7E3}" name="Email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DE14DA3-7583-4174-B569-9F2A68CDEE69}" name="Transaction" displayName="Transaction" ref="AJ2:AT1634" totalsRowShown="0">
  <autoFilter ref="AJ2:AT1634" xr:uid="{A289B5B8-5D72-47F4-B918-E4FF015116FB}"/>
  <sortState xmlns:xlrd2="http://schemas.microsoft.com/office/spreadsheetml/2017/richdata2" ref="AJ3:AT1633">
    <sortCondition ref="AK2:AK1633"/>
  </sortState>
  <tableColumns count="11">
    <tableColumn id="1" xr3:uid="{B080FE0E-1D4C-4B4C-88EB-D4DC5A539FC5}" name="Transaction No."/>
    <tableColumn id="2" xr3:uid="{594DCACE-92B1-4A7D-A1D8-0446A0839D40}" name="Date Time" dataDxfId="11"/>
    <tableColumn id="8" xr3:uid="{1373E5A4-BE60-42FE-BF1B-F405373541E2}" name="Time" dataDxfId="10"/>
    <tableColumn id="3" xr3:uid="{03FAA63A-7BD5-4A06-9FD5-7490D6F4810C}" name="Model No."/>
    <tableColumn id="11" xr3:uid="{2272A15D-1764-4DF2-92E4-40A4C2DDF279}" name="Description" dataDxfId="9">
      <calculatedColumnFormula>VLOOKUP(Transaction[[#This Row],[Model No.]],$AV$2:$BD$100,2,TRUE)</calculatedColumnFormula>
    </tableColumn>
    <tableColumn id="4" xr3:uid="{AC9A21FC-840F-4A65-A0B5-EFA95A25E343}" name="Price" dataDxfId="8" dataCellStyle="Currency">
      <calculatedColumnFormula>VLOOKUP(Transaction[[#This Row],[Model No.]],$AV$2:$BD$100,6,TRUE)</calculatedColumnFormula>
    </tableColumn>
    <tableColumn id="5" xr3:uid="{DB988D32-9E0F-4B7B-90E4-A19C468DA0A9}" name="Qty" dataDxfId="7"/>
    <tableColumn id="9" xr3:uid="{4BBDF428-E899-41AE-9B49-BE6A04D8ECF3}" name="Total" dataCellStyle="Currency">
      <calculatedColumnFormula>Transaction[[#This Row],[Price]]*Transaction[[#This Row],[Qty]]</calculatedColumnFormula>
    </tableColumn>
    <tableColumn id="10" xr3:uid="{BFE5E492-0B49-49C9-B121-9C48CAE738A5}" name="Sales Commmission" dataDxfId="6" dataCellStyle="Currency">
      <calculatedColumnFormula>VLOOKUP(Transaction[[#This Row],[Model No.]],$AV$2:$BD$100,7,TRUE)*Transaction[[#This Row],[Qty]]</calculatedColumnFormula>
    </tableColumn>
    <tableColumn id="6" xr3:uid="{63C98AE8-9114-42CA-82ED-47EC1FBD951B}" name="Sales No"/>
    <tableColumn id="7" xr3:uid="{433F0A7B-C99B-409C-B16F-D52C60B42442}" name="Cust No.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7D0EC6D-3CE8-4BE8-8A4E-F30122D9C831}" name="Salespeople" displayName="Salespeople" ref="O2:W13" totalsRowShown="0">
  <autoFilter ref="O2:W13" xr:uid="{B68E47BF-9C1B-456F-B595-6D48B7C2D80C}"/>
  <tableColumns count="9">
    <tableColumn id="1" xr3:uid="{DA8CB358-7795-48F0-B470-D2E35FB37F2E}" name="Sales No."/>
    <tableColumn id="2" xr3:uid="{BF992691-C503-411D-B06C-96AA141626E2}" name="Last"/>
    <tableColumn id="3" xr3:uid="{A33DE142-43AC-4358-8A2C-832537F02107}" name="First"/>
    <tableColumn id="4" xr3:uid="{136CB9EA-CC24-4FCF-8A83-F90131F199E2}" name="Address"/>
    <tableColumn id="5" xr3:uid="{4593D6D9-7659-448E-A846-E19388EC1B70}" name="City"/>
    <tableColumn id="6" xr3:uid="{F7BFF348-7B74-4A1F-8334-6D74E013B5A9}" name="State" dataDxfId="5"/>
    <tableColumn id="7" xr3:uid="{60E6E5DD-884C-4992-AFA7-40E8713368F8}" name="Zip code" dataDxfId="4"/>
    <tableColumn id="8" xr3:uid="{2DFCFB8A-0DDB-4516-87F6-3AE430555A67}" name="Social Security" dataDxfId="3"/>
    <tableColumn id="9" xr3:uid="{86E12ED5-DC3B-433E-AE8C-86779AC917BC}" name="Phone No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B76C1AE-6BEA-4F60-8010-994FEE0569A2}" name="Commission" displayName="Commission" ref="K2:L23" totalsRowShown="0">
  <autoFilter ref="K2:L23" xr:uid="{32E8A4B2-F9AC-4DBF-A96A-915F51F2DE27}"/>
  <tableColumns count="2">
    <tableColumn id="1" xr3:uid="{2E33549A-8CAA-4DA0-AE4C-CCFE6D355D44}" name="Type"/>
    <tableColumn id="2" xr3:uid="{B373CE50-3373-4A69-B38D-7D869E920D7C}" name="Percent" dataDxfId="2" dataCellStyle="Percent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76EEDFA-212B-4EE6-A510-1DF70EEFAEF6}" name="Inventory11" displayName="Inventory11" ref="AW2:BD100" totalsRowShown="0" headerRowCellStyle="Normal" dataCellStyle="Normal">
  <autoFilter ref="AW2:BD100" xr:uid="{215E221E-2E3C-49E9-81C8-CF42A5B113A2}"/>
  <sortState xmlns:xlrd2="http://schemas.microsoft.com/office/spreadsheetml/2017/richdata2" ref="AW3:BC100">
    <sortCondition descending="1" ref="AZ2:AZ100"/>
  </sortState>
  <tableColumns count="8">
    <tableColumn id="3" xr3:uid="{56B2C6D3-0791-46EA-8813-B9EF9A422922}" name="Description" dataCellStyle="Normal"/>
    <tableColumn id="2" xr3:uid="{C7E200A6-ABEB-4195-AD55-E176AF3AF27E}" name="Category" dataCellStyle="Normal"/>
    <tableColumn id="4" xr3:uid="{113212A6-FD55-43F8-AE16-0FF4A7F2C85E}" name="Size" dataCellStyle="Normal"/>
    <tableColumn id="5" xr3:uid="{F89A14D0-FB70-4BE1-96A2-BBD8A4C6D03F}" name="Total Inventory" dataCellStyle="Normal"/>
    <tableColumn id="6" xr3:uid="{B147228C-CD28-431C-BA1B-CB39D5E00F92}" name="Price" dataCellStyle="Currency"/>
    <tableColumn id="9" xr3:uid="{87B4ED5B-E866-4499-A32F-DB96E4D1A2B8}" name="Commision" dataDxfId="1" dataCellStyle="Currency">
      <calculatedColumnFormula>VLOOKUP(Inventory11[[#This Row],[Category]],$K$2:$L$23,2,TRUE)*Inventory11[[#This Row],[Price]]</calculatedColumnFormula>
    </tableColumn>
    <tableColumn id="7" xr3:uid="{283D94DD-3FE1-41F7-BD7F-1D5042CB20E2}" name="Sale Price" dataCellStyle="Normal"/>
    <tableColumn id="8" xr3:uid="{E2B48990-06A7-4FD2-BF83-E5ADCC3CF91B}" name="Sale End Date" dataCellStyle="Normal">
      <calculatedColumnFormula>IF(AND(Inventory11[Category]= "BEER", Inventory11[[#This Row],[Price]]&lt;20),TODAY()+30, "")</calculatedColumnFormula>
    </tableColumn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113E7F-A0CE-4FE2-BD00-ED8A021CEAFE}" name="Table2" displayName="Table2" ref="I1:K17" totalsRowShown="0" headerRowCellStyle="Normal" dataCellStyle="Normal">
  <autoFilter ref="I1:K17" xr:uid="{A7C6A55A-FAB5-4769-963A-8529BA5173F3}"/>
  <sortState xmlns:xlrd2="http://schemas.microsoft.com/office/spreadsheetml/2017/richdata2" ref="I2:K16">
    <sortCondition descending="1" ref="J1:J16"/>
  </sortState>
  <tableColumns count="3">
    <tableColumn id="1" xr3:uid="{2F22F059-B481-4217-808C-2E4DDAD4AE83}" name="Requirements" dataCellStyle="Normal"/>
    <tableColumn id="2" xr3:uid="{CA2DFC1E-2465-408B-8CA6-BCE6FABFE0D5}" name="Done" dataDxfId="0" dataCellStyle="Normal"/>
    <tableColumn id="3" xr3:uid="{99216D1F-51BE-48B8-AA7E-A221A9D0A547}" name="Ideas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Nick.Conti@gmail.com" TargetMode="Externa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hyperlink" Target="https://www.youtube.com/watch?v=7qSQGh6hew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35D78-24C2-4CE3-B603-F9CB399163CF}">
  <sheetPr codeName="Sheet1"/>
  <dimension ref="A1:T15"/>
  <sheetViews>
    <sheetView tabSelected="1" workbookViewId="0">
      <selection activeCell="G23" sqref="G23"/>
    </sheetView>
  </sheetViews>
  <sheetFormatPr defaultRowHeight="14.4" x14ac:dyDescent="0.3"/>
  <sheetData>
    <row r="1" spans="1:20" x14ac:dyDescent="0.3">
      <c r="A1" s="36" t="s">
        <v>2029</v>
      </c>
      <c r="B1" s="36"/>
      <c r="C1" s="36"/>
      <c r="D1" s="36"/>
      <c r="E1" s="36"/>
      <c r="F1" s="36"/>
    </row>
    <row r="2" spans="1:20" x14ac:dyDescent="0.3">
      <c r="A2" s="36"/>
      <c r="B2" s="36"/>
      <c r="C2" s="36"/>
      <c r="D2" s="36"/>
      <c r="E2" s="36"/>
      <c r="F2" s="36"/>
      <c r="H2" s="39" t="s">
        <v>1917</v>
      </c>
      <c r="I2" s="39"/>
      <c r="J2" s="39"/>
      <c r="K2" s="39"/>
      <c r="L2" s="39"/>
      <c r="M2" s="39"/>
      <c r="N2" s="39"/>
      <c r="O2" s="39"/>
      <c r="P2" s="39"/>
      <c r="Q2" s="39"/>
    </row>
    <row r="3" spans="1:20" x14ac:dyDescent="0.3">
      <c r="A3" s="36"/>
      <c r="B3" s="36"/>
      <c r="C3" s="36"/>
      <c r="D3" s="36"/>
      <c r="E3" s="36"/>
      <c r="F3" s="36"/>
      <c r="H3" s="39"/>
      <c r="I3" s="39"/>
      <c r="J3" s="39"/>
      <c r="K3" s="39"/>
      <c r="L3" s="39"/>
      <c r="M3" s="39"/>
      <c r="N3" s="39"/>
      <c r="O3" s="39"/>
      <c r="P3" s="39"/>
      <c r="Q3" s="39"/>
    </row>
    <row r="4" spans="1:20" x14ac:dyDescent="0.3">
      <c r="A4" s="36"/>
      <c r="B4" s="36"/>
      <c r="C4" s="36"/>
      <c r="D4" s="36"/>
      <c r="E4" s="36"/>
      <c r="F4" s="36"/>
      <c r="H4" s="39"/>
      <c r="I4" s="39"/>
      <c r="J4" s="39"/>
      <c r="K4" s="39"/>
      <c r="L4" s="39"/>
      <c r="M4" s="39"/>
      <c r="N4" s="39"/>
      <c r="O4" s="39"/>
      <c r="P4" s="39"/>
      <c r="Q4" s="39"/>
    </row>
    <row r="5" spans="1:20" x14ac:dyDescent="0.3">
      <c r="A5" s="36"/>
      <c r="B5" s="36"/>
      <c r="C5" s="36"/>
      <c r="D5" s="36"/>
      <c r="E5" s="36"/>
      <c r="F5" s="36"/>
    </row>
    <row r="6" spans="1:20" x14ac:dyDescent="0.3">
      <c r="A6" s="36"/>
      <c r="B6" s="36"/>
      <c r="C6" s="36"/>
      <c r="D6" s="36"/>
      <c r="E6" s="36"/>
      <c r="F6" s="36"/>
    </row>
    <row r="7" spans="1:20" x14ac:dyDescent="0.3">
      <c r="A7" s="36"/>
      <c r="B7" s="36"/>
      <c r="C7" s="36"/>
      <c r="D7" s="36"/>
      <c r="E7" s="36"/>
      <c r="F7" s="36"/>
    </row>
    <row r="9" spans="1:20" x14ac:dyDescent="0.3">
      <c r="A9" s="37" t="s">
        <v>1918</v>
      </c>
      <c r="B9" s="37"/>
      <c r="C9" s="37"/>
      <c r="D9" s="37"/>
      <c r="E9" s="10"/>
      <c r="F9" s="38" t="s">
        <v>58</v>
      </c>
      <c r="G9" s="38"/>
      <c r="H9" s="38"/>
      <c r="I9" s="38"/>
      <c r="J9" s="38"/>
      <c r="K9" s="10"/>
      <c r="L9" s="38" t="s">
        <v>59</v>
      </c>
      <c r="M9" s="38"/>
      <c r="N9" s="38"/>
      <c r="O9" s="38"/>
      <c r="P9" s="10"/>
      <c r="Q9" s="38" t="s">
        <v>60</v>
      </c>
      <c r="R9" s="38"/>
      <c r="S9" s="38"/>
      <c r="T9" s="38"/>
    </row>
    <row r="10" spans="1:20" x14ac:dyDescent="0.3">
      <c r="A10" s="37"/>
      <c r="B10" s="37"/>
      <c r="C10" s="37"/>
      <c r="D10" s="37"/>
      <c r="E10" s="10"/>
      <c r="F10" s="38"/>
      <c r="G10" s="38"/>
      <c r="H10" s="38"/>
      <c r="I10" s="38"/>
      <c r="J10" s="38"/>
      <c r="K10" s="10"/>
      <c r="L10" s="38"/>
      <c r="M10" s="38"/>
      <c r="N10" s="38"/>
      <c r="O10" s="38"/>
      <c r="P10" s="10"/>
      <c r="Q10" s="38"/>
      <c r="R10" s="38"/>
      <c r="S10" s="38"/>
      <c r="T10" s="38"/>
    </row>
    <row r="14" spans="1:20" x14ac:dyDescent="0.3">
      <c r="A14" s="2" t="s">
        <v>1</v>
      </c>
      <c r="B14" s="45" t="s">
        <v>2030</v>
      </c>
      <c r="C14" s="45"/>
      <c r="D14" s="45"/>
    </row>
    <row r="15" spans="1:20" x14ac:dyDescent="0.3">
      <c r="A15" s="2"/>
      <c r="B15" s="45"/>
      <c r="C15" s="45"/>
      <c r="D15" s="45"/>
    </row>
  </sheetData>
  <mergeCells count="7">
    <mergeCell ref="L9:O10"/>
    <mergeCell ref="Q9:T10"/>
    <mergeCell ref="H2:Q4"/>
    <mergeCell ref="B14:D15"/>
    <mergeCell ref="A1:F7"/>
    <mergeCell ref="A9:D10"/>
    <mergeCell ref="F9:J10"/>
  </mergeCells>
  <hyperlinks>
    <hyperlink ref="A9:D10" location="'Customer Look up'!A1" display="Create a Sale" xr:uid="{CA7A4AFE-F2A5-402C-A24A-C6FDEDB006E7}"/>
    <hyperlink ref="F9:J10" location="Inventory!A1" display="Inventory Search" xr:uid="{BCD4486E-6B9A-47F2-B41A-290FDFC46207}"/>
    <hyperlink ref="L9:O10" location="'Sales Manager'!A1" display="Sales Manager" xr:uid="{A3775319-A418-454E-A068-5929EF21D648}"/>
    <hyperlink ref="Q9:T10" location="'Sales--Store performance'!A1" display="Store Performance" xr:uid="{05C39D98-C483-4A70-B7F8-0F6A4B16CB7B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36F1E-992D-4F23-9A27-35805FB4CB08}">
  <sheetPr codeName="Sheet2"/>
  <dimension ref="B2:Y15"/>
  <sheetViews>
    <sheetView workbookViewId="0"/>
  </sheetViews>
  <sheetFormatPr defaultRowHeight="14.4" x14ac:dyDescent="0.3"/>
  <cols>
    <col min="1" max="1" width="3" bestFit="1" customWidth="1"/>
    <col min="2" max="2" width="13.3984375" bestFit="1" customWidth="1"/>
    <col min="3" max="3" width="35.09765625" customWidth="1"/>
    <col min="6" max="6" width="9.69921875" bestFit="1" customWidth="1"/>
    <col min="8" max="8" width="9.69921875" bestFit="1" customWidth="1"/>
    <col min="11" max="11" width="14.3984375" bestFit="1" customWidth="1"/>
    <col min="12" max="12" width="12.69921875" bestFit="1" customWidth="1"/>
    <col min="14" max="14" width="12.09765625" bestFit="1" customWidth="1"/>
    <col min="25" max="25" width="8.8984375" customWidth="1"/>
  </cols>
  <sheetData>
    <row r="2" spans="2:25" x14ac:dyDescent="0.3">
      <c r="B2" s="40" t="s">
        <v>17</v>
      </c>
      <c r="C2" s="40"/>
      <c r="D2" s="40"/>
      <c r="E2" s="3"/>
      <c r="F2" s="3"/>
      <c r="K2" s="40" t="s">
        <v>1980</v>
      </c>
      <c r="L2" s="40"/>
      <c r="M2" s="40"/>
      <c r="N2" s="40"/>
      <c r="O2" s="40"/>
    </row>
    <row r="3" spans="2:25" x14ac:dyDescent="0.3">
      <c r="B3" s="40"/>
      <c r="C3" s="40"/>
      <c r="D3" s="40"/>
      <c r="E3" s="3"/>
      <c r="F3" s="3"/>
      <c r="K3" s="40"/>
      <c r="L3" s="40"/>
      <c r="M3" s="40"/>
      <c r="N3" s="40"/>
      <c r="O3" s="40"/>
    </row>
    <row r="4" spans="2:25" x14ac:dyDescent="0.3">
      <c r="B4" s="40"/>
      <c r="C4" s="40"/>
      <c r="D4" s="40"/>
      <c r="E4" s="3"/>
      <c r="F4" s="3"/>
      <c r="K4" s="40"/>
      <c r="L4" s="40"/>
      <c r="M4" s="40"/>
      <c r="N4" s="40"/>
      <c r="O4" s="40"/>
    </row>
    <row r="5" spans="2:25" x14ac:dyDescent="0.3">
      <c r="B5" t="s">
        <v>18</v>
      </c>
      <c r="K5" t="s">
        <v>20</v>
      </c>
      <c r="L5" s="14"/>
      <c r="M5" s="3"/>
      <c r="N5" s="3"/>
      <c r="Y5" t="s">
        <v>248</v>
      </c>
    </row>
    <row r="6" spans="2:25" x14ac:dyDescent="0.3">
      <c r="B6" t="s">
        <v>19</v>
      </c>
      <c r="K6" s="3"/>
      <c r="L6" s="3"/>
      <c r="M6" s="3"/>
      <c r="N6" s="3"/>
      <c r="O6" s="3"/>
      <c r="P6" s="3"/>
      <c r="Q6" s="3"/>
      <c r="R6" s="3"/>
      <c r="S6" s="3"/>
      <c r="T6" s="3"/>
      <c r="Y6" t="s">
        <v>249</v>
      </c>
    </row>
    <row r="7" spans="2:25" x14ac:dyDescent="0.3">
      <c r="B7" t="s">
        <v>20</v>
      </c>
      <c r="K7" t="s">
        <v>32</v>
      </c>
      <c r="L7" t="s">
        <v>33</v>
      </c>
      <c r="M7" t="s">
        <v>24</v>
      </c>
      <c r="P7" s="3"/>
      <c r="Q7" s="3"/>
      <c r="R7" s="3"/>
      <c r="S7" s="3"/>
      <c r="T7" s="3"/>
    </row>
    <row r="8" spans="2:25" x14ac:dyDescent="0.3">
      <c r="B8" t="s">
        <v>24</v>
      </c>
      <c r="C8" s="17"/>
      <c r="K8" s="3" t="str">
        <f>IF($L$5="","",VLOOKUP($L$5,Customer[],3,TRUE))</f>
        <v/>
      </c>
      <c r="L8" s="3" t="str">
        <f>IF($L$5="","",VLOOKUP($L$5,Customer[],2,TRUE))</f>
        <v/>
      </c>
      <c r="M8" s="3" t="str">
        <f>IF($L$5="","",VLOOKUP($L$5,Customer[],4,TRUE))</f>
        <v/>
      </c>
      <c r="P8" s="3"/>
      <c r="Q8" s="3"/>
      <c r="R8" s="3"/>
      <c r="S8" s="3"/>
      <c r="T8" s="3"/>
    </row>
    <row r="9" spans="2:25" x14ac:dyDescent="0.3">
      <c r="P9" s="3"/>
      <c r="Q9" s="3"/>
      <c r="R9" s="3"/>
      <c r="S9" s="3"/>
      <c r="T9" s="3"/>
    </row>
    <row r="11" spans="2:25" x14ac:dyDescent="0.3">
      <c r="B11" s="41" t="s">
        <v>250</v>
      </c>
      <c r="C11" s="41"/>
      <c r="D11" s="41"/>
      <c r="E11" s="41"/>
      <c r="F11" s="41"/>
    </row>
    <row r="12" spans="2:25" x14ac:dyDescent="0.3">
      <c r="B12" s="41"/>
      <c r="C12" s="41"/>
      <c r="D12" s="41"/>
      <c r="E12" s="41"/>
      <c r="F12" s="41"/>
      <c r="O12" s="3"/>
    </row>
    <row r="13" spans="2:25" x14ac:dyDescent="0.3">
      <c r="B13" s="41"/>
      <c r="C13" s="41"/>
      <c r="D13" s="41"/>
      <c r="E13" s="41"/>
      <c r="F13" s="41"/>
      <c r="N13" s="3"/>
    </row>
    <row r="14" spans="2:25" x14ac:dyDescent="0.3">
      <c r="B14" s="1"/>
    </row>
    <row r="15" spans="2:25" x14ac:dyDescent="0.3">
      <c r="B15" s="1"/>
    </row>
  </sheetData>
  <mergeCells count="3">
    <mergeCell ref="K2:O4"/>
    <mergeCell ref="B11:F13"/>
    <mergeCell ref="B2: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Cust">
                <anchor moveWithCells="1" sizeWithCells="1">
                  <from>
                    <xdr:col>0</xdr:col>
                    <xdr:colOff>212141</xdr:colOff>
                    <xdr:row>10</xdr:row>
                    <xdr:rowOff>58522</xdr:rowOff>
                  </from>
                  <to>
                    <xdr:col>6</xdr:col>
                    <xdr:colOff>58522</xdr:colOff>
                    <xdr:row>13</xdr:row>
                    <xdr:rowOff>51206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tartSale">
                <anchor moveWithCells="1" sizeWithCells="1">
                  <from>
                    <xdr:col>10</xdr:col>
                    <xdr:colOff>168250</xdr:colOff>
                    <xdr:row>8</xdr:row>
                    <xdr:rowOff>160934</xdr:rowOff>
                  </from>
                  <to>
                    <xdr:col>13</xdr:col>
                    <xdr:colOff>263347</xdr:colOff>
                    <xdr:row>14</xdr:row>
                    <xdr:rowOff>21946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E2B4-8758-43E8-B7AF-C404F65CC812}">
  <sheetPr codeName="Sheet9"/>
  <dimension ref="A1:L97"/>
  <sheetViews>
    <sheetView workbookViewId="0">
      <selection activeCell="C19" sqref="C19"/>
    </sheetView>
  </sheetViews>
  <sheetFormatPr defaultRowHeight="14.4" x14ac:dyDescent="0.3"/>
  <cols>
    <col min="2" max="2" width="13.3984375" bestFit="1" customWidth="1"/>
    <col min="3" max="3" width="45.8984375" bestFit="1" customWidth="1"/>
  </cols>
  <sheetData>
    <row r="1" spans="1:12" x14ac:dyDescent="0.3">
      <c r="B1" s="40" t="str">
        <f>IF('Customer Look up'!L6="N", "New Sale", "Exchange/Return")</f>
        <v>Exchange/Return</v>
      </c>
      <c r="C1" s="40"/>
      <c r="D1" s="40"/>
      <c r="E1" s="40"/>
      <c r="F1" s="40"/>
    </row>
    <row r="2" spans="1:12" x14ac:dyDescent="0.3">
      <c r="B2" s="40"/>
      <c r="C2" s="40"/>
      <c r="D2" s="40"/>
      <c r="E2" s="40"/>
      <c r="F2" s="40"/>
    </row>
    <row r="3" spans="1:12" x14ac:dyDescent="0.3">
      <c r="B3" s="40"/>
      <c r="C3" s="40"/>
      <c r="D3" s="40"/>
      <c r="E3" s="40"/>
      <c r="F3" s="40"/>
    </row>
    <row r="4" spans="1:12" x14ac:dyDescent="0.3">
      <c r="B4" s="40"/>
      <c r="C4" s="40"/>
      <c r="D4" s="40"/>
      <c r="E4" s="40"/>
      <c r="F4" s="40"/>
    </row>
    <row r="5" spans="1:12" x14ac:dyDescent="0.3">
      <c r="C5" s="1"/>
      <c r="D5" s="1"/>
      <c r="E5" s="1"/>
      <c r="F5" s="1"/>
      <c r="G5" s="1"/>
    </row>
    <row r="6" spans="1:12" x14ac:dyDescent="0.3">
      <c r="B6" s="1" t="s">
        <v>30</v>
      </c>
      <c r="C6" s="7">
        <v>1104</v>
      </c>
      <c r="D6" s="1"/>
      <c r="E6" s="1"/>
      <c r="F6" s="1"/>
      <c r="G6" s="1"/>
    </row>
    <row r="7" spans="1:12" x14ac:dyDescent="0.3">
      <c r="B7" s="7" t="s">
        <v>1984</v>
      </c>
      <c r="C7" s="22">
        <f ca="1">TODAY()</f>
        <v>43616</v>
      </c>
      <c r="D7" s="7"/>
      <c r="E7" s="7"/>
      <c r="F7" s="7"/>
      <c r="G7" s="7"/>
    </row>
    <row r="8" spans="1:12" x14ac:dyDescent="0.3">
      <c r="B8" s="1" t="s">
        <v>29</v>
      </c>
      <c r="C8" s="23">
        <f ca="1">TIME(HOUR(NOW()),MINUTE(NOW()),SECOND(NOW()))</f>
        <v>0.4316550925925926</v>
      </c>
      <c r="D8" s="1"/>
      <c r="E8" s="1"/>
      <c r="F8" s="1"/>
      <c r="G8" s="1"/>
    </row>
    <row r="9" spans="1:12" x14ac:dyDescent="0.3">
      <c r="B9" s="1" t="s">
        <v>26</v>
      </c>
      <c r="C9" s="1">
        <f ca="1">RANDBETWEEN(10000,99999)</f>
        <v>91295</v>
      </c>
      <c r="D9" s="1"/>
      <c r="E9" s="1"/>
      <c r="F9" s="1"/>
      <c r="G9" s="1"/>
    </row>
    <row r="10" spans="1:12" x14ac:dyDescent="0.3">
      <c r="B10" s="1" t="s">
        <v>25</v>
      </c>
      <c r="C10" s="7" t="str">
        <f>IF('Customer Look up'!C5="",IF('Customer Look up'!K8="","",'Customer Look up'!K8&amp;" "&amp;'Customer Look up'!L8),'Customer Look up'!C5&amp;" "&amp;'Customer Look up'!C6)</f>
        <v/>
      </c>
    </row>
    <row r="11" spans="1:12" x14ac:dyDescent="0.3">
      <c r="B11" s="1"/>
      <c r="C11" s="1"/>
    </row>
    <row r="12" spans="1:12" x14ac:dyDescent="0.3">
      <c r="B12" s="7"/>
      <c r="C12" s="7"/>
    </row>
    <row r="13" spans="1:12" x14ac:dyDescent="0.3">
      <c r="A13" t="s">
        <v>28</v>
      </c>
      <c r="B13" t="s">
        <v>27</v>
      </c>
      <c r="C13" t="s">
        <v>7</v>
      </c>
      <c r="D13" t="s">
        <v>11</v>
      </c>
      <c r="E13" t="s">
        <v>8</v>
      </c>
      <c r="F13" t="s">
        <v>1981</v>
      </c>
    </row>
    <row r="14" spans="1:12" x14ac:dyDescent="0.3">
      <c r="A14">
        <v>1</v>
      </c>
      <c r="B14">
        <f>IF(C14= "","",VLOOKUP(C14,Data!A2:B100,2,TRUE))</f>
        <v>3</v>
      </c>
      <c r="C14" s="1" t="s">
        <v>143</v>
      </c>
      <c r="D14">
        <v>1</v>
      </c>
      <c r="E14">
        <f>IF(C14="","",VLOOKUP(C14,Inventory[],6,TRUE)*D14)</f>
        <v>36.99</v>
      </c>
    </row>
    <row r="15" spans="1:12" ht="14.4" customHeight="1" x14ac:dyDescent="0.3">
      <c r="D15" s="3" t="s">
        <v>16</v>
      </c>
      <c r="E15">
        <f t="array" ref="E15">IF(E14:E14="","",SUM(E14:E14))</f>
        <v>36.99</v>
      </c>
      <c r="F15" t="str">
        <f t="array" ref="F15">IF(F14:F14="","",SUM(F14:F14))</f>
        <v/>
      </c>
      <c r="I15" s="3"/>
      <c r="J15" s="3"/>
      <c r="K15" s="3"/>
      <c r="L15" s="3"/>
    </row>
    <row r="16" spans="1:12" x14ac:dyDescent="0.3">
      <c r="F16" t="s">
        <v>1982</v>
      </c>
      <c r="I16" s="3"/>
      <c r="J16" s="3"/>
      <c r="K16" s="3"/>
      <c r="L16" s="3"/>
    </row>
    <row r="17" spans="6:12" x14ac:dyDescent="0.3">
      <c r="F17" t="s">
        <v>1982</v>
      </c>
      <c r="I17" s="3"/>
      <c r="J17" s="3"/>
      <c r="K17" s="3"/>
      <c r="L17" s="3"/>
    </row>
    <row r="18" spans="6:12" x14ac:dyDescent="0.3">
      <c r="F18" t="s">
        <v>1982</v>
      </c>
      <c r="I18" s="3"/>
      <c r="J18" s="3"/>
      <c r="K18" s="3"/>
      <c r="L18" s="3"/>
    </row>
    <row r="19" spans="6:12" x14ac:dyDescent="0.3">
      <c r="F19" t="s">
        <v>1982</v>
      </c>
      <c r="I19" s="3"/>
      <c r="J19" s="3"/>
      <c r="K19" s="3"/>
      <c r="L19" s="3"/>
    </row>
    <row r="20" spans="6:12" x14ac:dyDescent="0.3">
      <c r="F20" t="s">
        <v>1982</v>
      </c>
    </row>
    <row r="21" spans="6:12" x14ac:dyDescent="0.3">
      <c r="F21" t="s">
        <v>1982</v>
      </c>
    </row>
    <row r="22" spans="6:12" x14ac:dyDescent="0.3">
      <c r="F22" t="s">
        <v>1982</v>
      </c>
    </row>
    <row r="23" spans="6:12" x14ac:dyDescent="0.3">
      <c r="F23" t="s">
        <v>1982</v>
      </c>
    </row>
    <row r="24" spans="6:12" x14ac:dyDescent="0.3">
      <c r="F24" t="s">
        <v>1982</v>
      </c>
    </row>
    <row r="25" spans="6:12" x14ac:dyDescent="0.3">
      <c r="F25" t="s">
        <v>1982</v>
      </c>
    </row>
    <row r="26" spans="6:12" x14ac:dyDescent="0.3">
      <c r="F26" t="s">
        <v>1982</v>
      </c>
    </row>
    <row r="27" spans="6:12" x14ac:dyDescent="0.3">
      <c r="F27" t="s">
        <v>1982</v>
      </c>
    </row>
    <row r="28" spans="6:12" x14ac:dyDescent="0.3">
      <c r="F28" t="s">
        <v>1982</v>
      </c>
    </row>
    <row r="29" spans="6:12" x14ac:dyDescent="0.3">
      <c r="F29" t="s">
        <v>1982</v>
      </c>
      <c r="I29" s="3"/>
    </row>
    <row r="30" spans="6:12" x14ac:dyDescent="0.3">
      <c r="F30" t="s">
        <v>1982</v>
      </c>
    </row>
    <row r="31" spans="6:12" x14ac:dyDescent="0.3">
      <c r="F31" t="s">
        <v>1982</v>
      </c>
    </row>
    <row r="32" spans="6:12" x14ac:dyDescent="0.3">
      <c r="F32" t="s">
        <v>1982</v>
      </c>
    </row>
    <row r="33" spans="6:6" x14ac:dyDescent="0.3">
      <c r="F33" t="s">
        <v>1982</v>
      </c>
    </row>
    <row r="34" spans="6:6" x14ac:dyDescent="0.3">
      <c r="F34" t="s">
        <v>1982</v>
      </c>
    </row>
    <row r="35" spans="6:6" x14ac:dyDescent="0.3">
      <c r="F35" t="s">
        <v>1982</v>
      </c>
    </row>
    <row r="36" spans="6:6" x14ac:dyDescent="0.3">
      <c r="F36" t="s">
        <v>1982</v>
      </c>
    </row>
    <row r="37" spans="6:6" x14ac:dyDescent="0.3">
      <c r="F37" t="s">
        <v>1982</v>
      </c>
    </row>
    <row r="38" spans="6:6" x14ac:dyDescent="0.3">
      <c r="F38">
        <v>15.192</v>
      </c>
    </row>
    <row r="39" spans="6:6" x14ac:dyDescent="0.3">
      <c r="F39">
        <v>14.391999999999999</v>
      </c>
    </row>
    <row r="40" spans="6:6" x14ac:dyDescent="0.3">
      <c r="F40" t="s">
        <v>1982</v>
      </c>
    </row>
    <row r="41" spans="6:6" x14ac:dyDescent="0.3">
      <c r="F41" t="s">
        <v>1982</v>
      </c>
    </row>
    <row r="42" spans="6:6" x14ac:dyDescent="0.3">
      <c r="F42">
        <v>13.591999999999999</v>
      </c>
    </row>
    <row r="43" spans="6:6" x14ac:dyDescent="0.3">
      <c r="F43">
        <v>13.591999999999999</v>
      </c>
    </row>
    <row r="44" spans="6:6" x14ac:dyDescent="0.3">
      <c r="F44">
        <v>12.792000000000002</v>
      </c>
    </row>
    <row r="45" spans="6:6" x14ac:dyDescent="0.3">
      <c r="F45" t="s">
        <v>1982</v>
      </c>
    </row>
    <row r="46" spans="6:6" x14ac:dyDescent="0.3">
      <c r="F46" t="s">
        <v>1982</v>
      </c>
    </row>
    <row r="47" spans="6:6" x14ac:dyDescent="0.3">
      <c r="F47" t="s">
        <v>1982</v>
      </c>
    </row>
    <row r="48" spans="6:6" x14ac:dyDescent="0.3">
      <c r="F48" t="s">
        <v>1982</v>
      </c>
    </row>
    <row r="49" spans="6:6" x14ac:dyDescent="0.3">
      <c r="F49" t="s">
        <v>1982</v>
      </c>
    </row>
    <row r="50" spans="6:6" x14ac:dyDescent="0.3">
      <c r="F50" t="s">
        <v>1982</v>
      </c>
    </row>
    <row r="51" spans="6:6" x14ac:dyDescent="0.3">
      <c r="F51" t="s">
        <v>1982</v>
      </c>
    </row>
    <row r="52" spans="6:6" x14ac:dyDescent="0.3">
      <c r="F52">
        <v>11.992000000000001</v>
      </c>
    </row>
    <row r="53" spans="6:6" x14ac:dyDescent="0.3">
      <c r="F53" t="s">
        <v>1982</v>
      </c>
    </row>
    <row r="54" spans="6:6" x14ac:dyDescent="0.3">
      <c r="F54" t="s">
        <v>1982</v>
      </c>
    </row>
    <row r="55" spans="6:6" x14ac:dyDescent="0.3">
      <c r="F55">
        <v>11.192</v>
      </c>
    </row>
    <row r="56" spans="6:6" x14ac:dyDescent="0.3">
      <c r="F56" t="s">
        <v>1982</v>
      </c>
    </row>
    <row r="57" spans="6:6" x14ac:dyDescent="0.3">
      <c r="F57" t="s">
        <v>1982</v>
      </c>
    </row>
    <row r="58" spans="6:6" x14ac:dyDescent="0.3">
      <c r="F58" t="s">
        <v>1982</v>
      </c>
    </row>
    <row r="59" spans="6:6" x14ac:dyDescent="0.3">
      <c r="F59" t="s">
        <v>1982</v>
      </c>
    </row>
    <row r="60" spans="6:6" x14ac:dyDescent="0.3">
      <c r="F60">
        <v>10.392000000000001</v>
      </c>
    </row>
    <row r="61" spans="6:6" x14ac:dyDescent="0.3">
      <c r="F61">
        <v>10.392000000000001</v>
      </c>
    </row>
    <row r="62" spans="6:6" x14ac:dyDescent="0.3">
      <c r="F62">
        <v>10.392000000000001</v>
      </c>
    </row>
    <row r="63" spans="6:6" x14ac:dyDescent="0.3">
      <c r="F63">
        <v>10.392000000000001</v>
      </c>
    </row>
    <row r="64" spans="6:6" x14ac:dyDescent="0.3">
      <c r="F64">
        <v>10.392000000000001</v>
      </c>
    </row>
    <row r="65" spans="6:6" x14ac:dyDescent="0.3">
      <c r="F65">
        <v>10.392000000000001</v>
      </c>
    </row>
    <row r="66" spans="6:6" x14ac:dyDescent="0.3">
      <c r="F66" t="s">
        <v>1982</v>
      </c>
    </row>
    <row r="67" spans="6:6" x14ac:dyDescent="0.3">
      <c r="F67" t="s">
        <v>1982</v>
      </c>
    </row>
    <row r="68" spans="6:6" x14ac:dyDescent="0.3">
      <c r="F68" t="s">
        <v>1982</v>
      </c>
    </row>
    <row r="69" spans="6:6" x14ac:dyDescent="0.3">
      <c r="F69" t="s">
        <v>1982</v>
      </c>
    </row>
    <row r="70" spans="6:6" x14ac:dyDescent="0.3">
      <c r="F70" t="s">
        <v>1982</v>
      </c>
    </row>
    <row r="71" spans="6:6" x14ac:dyDescent="0.3">
      <c r="F71" t="s">
        <v>1982</v>
      </c>
    </row>
    <row r="72" spans="6:6" x14ac:dyDescent="0.3">
      <c r="F72">
        <v>9.5920000000000005</v>
      </c>
    </row>
    <row r="73" spans="6:6" x14ac:dyDescent="0.3">
      <c r="F73">
        <v>9.5920000000000005</v>
      </c>
    </row>
    <row r="74" spans="6:6" x14ac:dyDescent="0.3">
      <c r="F74">
        <v>9.5920000000000005</v>
      </c>
    </row>
    <row r="75" spans="6:6" x14ac:dyDescent="0.3">
      <c r="F75">
        <v>9.5920000000000005</v>
      </c>
    </row>
    <row r="76" spans="6:6" x14ac:dyDescent="0.3">
      <c r="F76" t="s">
        <v>1982</v>
      </c>
    </row>
    <row r="77" spans="6:6" x14ac:dyDescent="0.3">
      <c r="F77" t="s">
        <v>1982</v>
      </c>
    </row>
    <row r="78" spans="6:6" x14ac:dyDescent="0.3">
      <c r="F78" t="s">
        <v>1982</v>
      </c>
    </row>
    <row r="79" spans="6:6" x14ac:dyDescent="0.3">
      <c r="F79">
        <v>8.7919999999999998</v>
      </c>
    </row>
    <row r="80" spans="6:6" x14ac:dyDescent="0.3">
      <c r="F80" t="s">
        <v>1982</v>
      </c>
    </row>
    <row r="81" spans="6:6" x14ac:dyDescent="0.3">
      <c r="F81" t="s">
        <v>1982</v>
      </c>
    </row>
    <row r="82" spans="6:6" x14ac:dyDescent="0.3">
      <c r="F82" t="s">
        <v>1982</v>
      </c>
    </row>
    <row r="83" spans="6:6" x14ac:dyDescent="0.3">
      <c r="F83" t="s">
        <v>1982</v>
      </c>
    </row>
    <row r="84" spans="6:6" x14ac:dyDescent="0.3">
      <c r="F84">
        <v>7.9920000000000009</v>
      </c>
    </row>
    <row r="85" spans="6:6" x14ac:dyDescent="0.3">
      <c r="F85" t="s">
        <v>1982</v>
      </c>
    </row>
    <row r="86" spans="6:6" x14ac:dyDescent="0.3">
      <c r="F86" t="s">
        <v>1982</v>
      </c>
    </row>
    <row r="87" spans="6:6" x14ac:dyDescent="0.3">
      <c r="F87" t="s">
        <v>1982</v>
      </c>
    </row>
    <row r="88" spans="6:6" x14ac:dyDescent="0.3">
      <c r="F88" t="s">
        <v>1982</v>
      </c>
    </row>
    <row r="89" spans="6:6" x14ac:dyDescent="0.3">
      <c r="F89" t="s">
        <v>1982</v>
      </c>
    </row>
    <row r="90" spans="6:6" x14ac:dyDescent="0.3">
      <c r="F90" t="s">
        <v>1982</v>
      </c>
    </row>
    <row r="91" spans="6:6" x14ac:dyDescent="0.3">
      <c r="F91" t="s">
        <v>1982</v>
      </c>
    </row>
    <row r="92" spans="6:6" x14ac:dyDescent="0.3">
      <c r="F92" t="s">
        <v>1982</v>
      </c>
    </row>
    <row r="93" spans="6:6" x14ac:dyDescent="0.3">
      <c r="F93" t="s">
        <v>1982</v>
      </c>
    </row>
    <row r="94" spans="6:6" x14ac:dyDescent="0.3">
      <c r="F94" t="s">
        <v>1982</v>
      </c>
    </row>
    <row r="95" spans="6:6" x14ac:dyDescent="0.3">
      <c r="F95" t="s">
        <v>1982</v>
      </c>
    </row>
    <row r="96" spans="6:6" x14ac:dyDescent="0.3">
      <c r="F96" t="s">
        <v>1982</v>
      </c>
    </row>
    <row r="97" spans="6:6" x14ac:dyDescent="0.3">
      <c r="F97">
        <v>4.7920000000000007</v>
      </c>
    </row>
  </sheetData>
  <mergeCells count="1">
    <mergeCell ref="B1:F4"/>
  </mergeCells>
  <conditionalFormatting sqref="E15:F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FinishSale">
                <anchor moveWithCells="1" sizeWithCells="1">
                  <from>
                    <xdr:col>4</xdr:col>
                    <xdr:colOff>124358</xdr:colOff>
                    <xdr:row>4</xdr:row>
                    <xdr:rowOff>168250</xdr:rowOff>
                  </from>
                  <to>
                    <xdr:col>8</xdr:col>
                    <xdr:colOff>146304</xdr:colOff>
                    <xdr:row>9</xdr:row>
                    <xdr:rowOff>168250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D427B-5402-440D-B576-69D6E7AF3265}">
          <x14:formula1>
            <xm:f>Data!$A$3:$A$100</xm:f>
          </x14:formula1>
          <xm:sqref>C14</xm:sqref>
        </x14:dataValidation>
        <x14:dataValidation type="list" allowBlank="1" showInputMessage="1" showErrorMessage="1" xr:uid="{7A3E4623-3D56-4FEA-AB69-B4BEFDC7145B}">
          <x14:formula1>
            <xm:f>Data!$O$3:$O$13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4FEE0-C2FF-43DE-8CC6-278DB0AB2B6A}">
  <sheetPr codeName="Sheet3"/>
  <dimension ref="B1:J27"/>
  <sheetViews>
    <sheetView workbookViewId="0">
      <selection activeCell="E4" sqref="E4"/>
    </sheetView>
  </sheetViews>
  <sheetFormatPr defaultRowHeight="14.4" x14ac:dyDescent="0.3"/>
  <cols>
    <col min="1" max="1" width="11.3984375" bestFit="1" customWidth="1"/>
    <col min="2" max="2" width="39.69921875" bestFit="1" customWidth="1"/>
    <col min="3" max="3" width="11.296875" bestFit="1" customWidth="1"/>
    <col min="4" max="4" width="7.3984375" bestFit="1" customWidth="1"/>
    <col min="5" max="5" width="16.3984375" bestFit="1" customWidth="1"/>
    <col min="6" max="6" width="8.09765625" style="5" bestFit="1" customWidth="1"/>
    <col min="7" max="7" width="13" style="5" bestFit="1" customWidth="1"/>
    <col min="8" max="8" width="11.8984375" style="5" bestFit="1" customWidth="1"/>
    <col min="9" max="9" width="15.09765625" bestFit="1" customWidth="1"/>
    <col min="10" max="10" width="13.8984375" bestFit="1" customWidth="1"/>
    <col min="16" max="18" width="9.09765625" customWidth="1"/>
  </cols>
  <sheetData>
    <row r="1" spans="2:10" x14ac:dyDescent="0.3">
      <c r="B1" s="39" t="s">
        <v>5</v>
      </c>
      <c r="C1" s="39"/>
      <c r="D1" s="39"/>
      <c r="E1" s="39"/>
      <c r="F1" s="39"/>
      <c r="G1" s="39"/>
    </row>
    <row r="2" spans="2:10" x14ac:dyDescent="0.3">
      <c r="C2" t="s">
        <v>64</v>
      </c>
      <c r="E2" t="s">
        <v>1977</v>
      </c>
    </row>
    <row r="3" spans="2:10" x14ac:dyDescent="0.3">
      <c r="C3" t="s">
        <v>71</v>
      </c>
      <c r="E3">
        <v>60</v>
      </c>
    </row>
    <row r="4" spans="2:10" x14ac:dyDescent="0.3">
      <c r="G4" s="20"/>
      <c r="H4" s="20"/>
      <c r="I4" s="3"/>
      <c r="J4" s="3"/>
    </row>
    <row r="5" spans="2:10" x14ac:dyDescent="0.3">
      <c r="G5" s="20"/>
      <c r="H5" s="20"/>
      <c r="I5" s="3"/>
      <c r="J5" s="3"/>
    </row>
    <row r="6" spans="2:10" x14ac:dyDescent="0.3">
      <c r="F6" s="20"/>
      <c r="G6" s="20"/>
      <c r="H6" s="20"/>
      <c r="I6" s="3"/>
    </row>
    <row r="7" spans="2:10" x14ac:dyDescent="0.3">
      <c r="B7" s="5" t="s">
        <v>7</v>
      </c>
      <c r="C7" s="5" t="s">
        <v>64</v>
      </c>
      <c r="D7" s="5" t="s">
        <v>10</v>
      </c>
      <c r="E7" s="5" t="s">
        <v>65</v>
      </c>
      <c r="F7" s="5" t="s">
        <v>8</v>
      </c>
      <c r="G7" s="5" t="s">
        <v>9</v>
      </c>
      <c r="H7" s="5" t="s">
        <v>66</v>
      </c>
      <c r="I7" s="5" t="s">
        <v>67</v>
      </c>
    </row>
    <row r="8" spans="2:10" x14ac:dyDescent="0.3">
      <c r="B8" s="19" t="s">
        <v>160</v>
      </c>
      <c r="C8" s="19" t="s">
        <v>74</v>
      </c>
      <c r="D8" s="19" t="s">
        <v>161</v>
      </c>
      <c r="E8" s="25">
        <v>76</v>
      </c>
      <c r="F8" s="5">
        <v>18.989999999999998</v>
      </c>
      <c r="G8" s="5">
        <v>5.6970000000000001</v>
      </c>
      <c r="H8" s="5">
        <v>15.192</v>
      </c>
      <c r="I8" s="25">
        <v>43616</v>
      </c>
    </row>
    <row r="9" spans="2:10" x14ac:dyDescent="0.3">
      <c r="B9" s="19" t="s">
        <v>96</v>
      </c>
      <c r="C9" s="19" t="s">
        <v>74</v>
      </c>
      <c r="D9" s="19" t="s">
        <v>76</v>
      </c>
      <c r="E9" s="25">
        <v>0</v>
      </c>
      <c r="F9" s="5">
        <v>17.989999999999998</v>
      </c>
      <c r="G9" s="5">
        <v>5.3970000000000002</v>
      </c>
      <c r="H9" s="5">
        <v>14.391999999999999</v>
      </c>
      <c r="I9" s="25">
        <v>43616</v>
      </c>
    </row>
    <row r="10" spans="2:10" x14ac:dyDescent="0.3">
      <c r="B10" s="19" t="s">
        <v>75</v>
      </c>
      <c r="C10" s="19" t="s">
        <v>74</v>
      </c>
      <c r="D10" s="19" t="s">
        <v>76</v>
      </c>
      <c r="E10" s="25">
        <v>75</v>
      </c>
      <c r="F10" s="5">
        <v>16.989999999999998</v>
      </c>
      <c r="G10" s="5">
        <v>5.0970000000000004</v>
      </c>
      <c r="H10" s="5">
        <v>13.591999999999999</v>
      </c>
      <c r="I10" s="25">
        <v>43616</v>
      </c>
    </row>
    <row r="11" spans="2:10" x14ac:dyDescent="0.3">
      <c r="B11" s="19" t="s">
        <v>117</v>
      </c>
      <c r="C11" s="19" t="s">
        <v>74</v>
      </c>
      <c r="D11" s="19" t="s">
        <v>102</v>
      </c>
      <c r="E11" s="25">
        <v>0</v>
      </c>
      <c r="F11" s="5">
        <v>16.989999999999998</v>
      </c>
      <c r="G11" s="5">
        <v>5.0970000000000004</v>
      </c>
      <c r="H11" s="5">
        <v>13.591999999999999</v>
      </c>
      <c r="I11" s="25">
        <v>43616</v>
      </c>
    </row>
    <row r="12" spans="2:10" x14ac:dyDescent="0.3">
      <c r="B12" s="19" t="s">
        <v>181</v>
      </c>
      <c r="C12" s="19" t="s">
        <v>74</v>
      </c>
      <c r="D12" s="19" t="s">
        <v>76</v>
      </c>
      <c r="E12" s="25">
        <v>58</v>
      </c>
      <c r="F12" s="5">
        <v>15.99</v>
      </c>
      <c r="G12" s="5">
        <v>4.7969999999999997</v>
      </c>
      <c r="H12" s="5">
        <v>12.792000000000002</v>
      </c>
      <c r="I12" s="25">
        <v>43616</v>
      </c>
    </row>
    <row r="13" spans="2:10" x14ac:dyDescent="0.3">
      <c r="B13" s="19" t="s">
        <v>194</v>
      </c>
      <c r="C13" s="19" t="s">
        <v>74</v>
      </c>
      <c r="D13" s="19" t="s">
        <v>76</v>
      </c>
      <c r="E13" s="25">
        <v>52</v>
      </c>
      <c r="F13" s="5">
        <v>14.99</v>
      </c>
      <c r="G13" s="5">
        <v>4.4969999999999999</v>
      </c>
      <c r="H13" s="5">
        <v>11.992000000000001</v>
      </c>
      <c r="I13" s="25">
        <v>43616</v>
      </c>
    </row>
    <row r="14" spans="2:10" x14ac:dyDescent="0.3">
      <c r="B14" s="19" t="s">
        <v>133</v>
      </c>
      <c r="C14" s="19" t="s">
        <v>74</v>
      </c>
      <c r="D14" s="19" t="s">
        <v>76</v>
      </c>
      <c r="E14" s="25">
        <v>48</v>
      </c>
      <c r="F14" s="5">
        <v>13.99</v>
      </c>
      <c r="G14" s="5">
        <v>4.1970000000000001</v>
      </c>
      <c r="H14" s="5">
        <v>11.192</v>
      </c>
      <c r="I14" s="25">
        <v>43616</v>
      </c>
    </row>
    <row r="15" spans="2:10" x14ac:dyDescent="0.3">
      <c r="B15" s="19" t="s">
        <v>98</v>
      </c>
      <c r="C15" s="19" t="s">
        <v>74</v>
      </c>
      <c r="D15" s="19" t="s">
        <v>76</v>
      </c>
      <c r="E15" s="25">
        <v>15</v>
      </c>
      <c r="F15" s="5">
        <v>12.99</v>
      </c>
      <c r="G15" s="5">
        <v>3.8969999999999998</v>
      </c>
      <c r="H15" s="5">
        <v>10.392000000000001</v>
      </c>
      <c r="I15" s="25">
        <v>43616</v>
      </c>
    </row>
    <row r="16" spans="2:10" x14ac:dyDescent="0.3">
      <c r="B16" s="19" t="s">
        <v>100</v>
      </c>
      <c r="C16" s="19" t="s">
        <v>74</v>
      </c>
      <c r="D16" s="19" t="s">
        <v>76</v>
      </c>
      <c r="E16" s="25">
        <v>83</v>
      </c>
      <c r="F16" s="5">
        <v>12.99</v>
      </c>
      <c r="G16" s="5">
        <v>3.8969999999999998</v>
      </c>
      <c r="H16" s="5">
        <v>10.392000000000001</v>
      </c>
      <c r="I16" s="25">
        <v>43616</v>
      </c>
    </row>
    <row r="17" spans="2:9" x14ac:dyDescent="0.3">
      <c r="B17" s="19" t="s">
        <v>104</v>
      </c>
      <c r="C17" s="19" t="s">
        <v>74</v>
      </c>
      <c r="D17" s="19" t="s">
        <v>105</v>
      </c>
      <c r="E17" s="25">
        <v>86</v>
      </c>
      <c r="F17" s="5">
        <v>12.99</v>
      </c>
      <c r="G17" s="5">
        <v>3.8969999999999998</v>
      </c>
      <c r="H17" s="5">
        <v>10.392000000000001</v>
      </c>
      <c r="I17" s="25">
        <v>43616</v>
      </c>
    </row>
    <row r="18" spans="2:9" x14ac:dyDescent="0.3">
      <c r="B18" s="19" t="s">
        <v>123</v>
      </c>
      <c r="C18" s="19" t="s">
        <v>74</v>
      </c>
      <c r="D18" s="19" t="s">
        <v>76</v>
      </c>
      <c r="E18" s="25">
        <v>12</v>
      </c>
      <c r="F18" s="5">
        <v>12.99</v>
      </c>
      <c r="G18" s="5">
        <v>3.8969999999999998</v>
      </c>
      <c r="H18" s="5">
        <v>10.392000000000001</v>
      </c>
      <c r="I18" s="25">
        <v>43616</v>
      </c>
    </row>
    <row r="19" spans="2:9" x14ac:dyDescent="0.3">
      <c r="B19" s="19" t="s">
        <v>144</v>
      </c>
      <c r="C19" s="19" t="s">
        <v>74</v>
      </c>
      <c r="D19" s="19" t="s">
        <v>76</v>
      </c>
      <c r="E19" s="25">
        <v>52</v>
      </c>
      <c r="F19" s="5">
        <v>12.99</v>
      </c>
      <c r="G19" s="5">
        <v>3.8969999999999998</v>
      </c>
      <c r="H19" s="5">
        <v>10.392000000000001</v>
      </c>
      <c r="I19" s="25">
        <v>43616</v>
      </c>
    </row>
    <row r="20" spans="2:9" x14ac:dyDescent="0.3">
      <c r="B20" s="19" t="s">
        <v>168</v>
      </c>
      <c r="C20" s="19" t="s">
        <v>74</v>
      </c>
      <c r="D20" s="19" t="s">
        <v>76</v>
      </c>
      <c r="E20" s="25">
        <v>41</v>
      </c>
      <c r="F20" s="5">
        <v>12.99</v>
      </c>
      <c r="G20" s="5">
        <v>3.8969999999999998</v>
      </c>
      <c r="H20" s="5">
        <v>10.392000000000001</v>
      </c>
      <c r="I20" s="25">
        <v>43616</v>
      </c>
    </row>
    <row r="21" spans="2:9" x14ac:dyDescent="0.3">
      <c r="B21" s="19" t="s">
        <v>99</v>
      </c>
      <c r="C21" s="19" t="s">
        <v>74</v>
      </c>
      <c r="D21" s="19" t="s">
        <v>76</v>
      </c>
      <c r="E21" s="25">
        <v>73</v>
      </c>
      <c r="F21" s="5">
        <v>11.99</v>
      </c>
      <c r="G21" s="5">
        <v>3.597</v>
      </c>
      <c r="H21" s="5">
        <v>9.5920000000000005</v>
      </c>
      <c r="I21" s="25">
        <v>43616</v>
      </c>
    </row>
    <row r="22" spans="2:9" x14ac:dyDescent="0.3">
      <c r="B22" s="19" t="s">
        <v>118</v>
      </c>
      <c r="C22" s="19" t="s">
        <v>74</v>
      </c>
      <c r="D22" s="19" t="s">
        <v>76</v>
      </c>
      <c r="E22" s="25">
        <v>3</v>
      </c>
      <c r="F22" s="5">
        <v>11.99</v>
      </c>
      <c r="G22" s="5">
        <v>3.597</v>
      </c>
      <c r="H22" s="5">
        <v>9.5920000000000005</v>
      </c>
      <c r="I22" s="25">
        <v>43616</v>
      </c>
    </row>
    <row r="23" spans="2:9" x14ac:dyDescent="0.3">
      <c r="B23" s="19" t="s">
        <v>163</v>
      </c>
      <c r="C23" s="19" t="s">
        <v>74</v>
      </c>
      <c r="D23" s="19" t="s">
        <v>76</v>
      </c>
      <c r="E23" s="25">
        <v>80</v>
      </c>
      <c r="F23" s="5">
        <v>11.99</v>
      </c>
      <c r="G23" s="5">
        <v>3.597</v>
      </c>
      <c r="H23" s="5">
        <v>9.5920000000000005</v>
      </c>
      <c r="I23" s="25">
        <v>43616</v>
      </c>
    </row>
    <row r="24" spans="2:9" x14ac:dyDescent="0.3">
      <c r="B24" s="19" t="s">
        <v>165</v>
      </c>
      <c r="C24" s="19" t="s">
        <v>74</v>
      </c>
      <c r="D24" s="19" t="s">
        <v>76</v>
      </c>
      <c r="E24" s="25">
        <v>97</v>
      </c>
      <c r="F24" s="5">
        <v>11.99</v>
      </c>
      <c r="G24" s="5">
        <v>3.597</v>
      </c>
      <c r="H24" s="5">
        <v>9.5920000000000005</v>
      </c>
      <c r="I24" s="25">
        <v>43616</v>
      </c>
    </row>
    <row r="25" spans="2:9" x14ac:dyDescent="0.3">
      <c r="B25" s="19" t="s">
        <v>192</v>
      </c>
      <c r="C25" s="19" t="s">
        <v>74</v>
      </c>
      <c r="D25" s="19" t="s">
        <v>76</v>
      </c>
      <c r="E25" s="25">
        <v>24</v>
      </c>
      <c r="F25" s="5">
        <v>10.99</v>
      </c>
      <c r="G25" s="5">
        <v>3.2970000000000002</v>
      </c>
      <c r="H25" s="5">
        <v>8.7919999999999998</v>
      </c>
      <c r="I25" s="25">
        <v>43616</v>
      </c>
    </row>
    <row r="26" spans="2:9" x14ac:dyDescent="0.3">
      <c r="B26" s="19" t="s">
        <v>197</v>
      </c>
      <c r="C26" s="19" t="s">
        <v>74</v>
      </c>
      <c r="D26" s="19" t="s">
        <v>76</v>
      </c>
      <c r="E26" s="25">
        <v>52</v>
      </c>
      <c r="F26" s="5">
        <v>9.99</v>
      </c>
      <c r="G26" s="5">
        <v>2.9969999999999999</v>
      </c>
      <c r="H26" s="5">
        <v>7.9920000000000009</v>
      </c>
      <c r="I26" s="25">
        <v>43616</v>
      </c>
    </row>
    <row r="27" spans="2:9" x14ac:dyDescent="0.3">
      <c r="B27" s="19" t="s">
        <v>195</v>
      </c>
      <c r="C27" s="19" t="s">
        <v>74</v>
      </c>
      <c r="D27" s="19" t="s">
        <v>161</v>
      </c>
      <c r="E27" s="25">
        <v>69</v>
      </c>
      <c r="F27" s="5">
        <v>5.99</v>
      </c>
      <c r="G27" s="5">
        <v>1.7969999999999999</v>
      </c>
      <c r="H27" s="5">
        <v>4.7920000000000007</v>
      </c>
      <c r="I27" s="25">
        <v>43616</v>
      </c>
    </row>
  </sheetData>
  <mergeCells count="1">
    <mergeCell ref="B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Refresh">
                <anchor moveWithCells="1" sizeWithCells="1">
                  <from>
                    <xdr:col>6</xdr:col>
                    <xdr:colOff>21946</xdr:colOff>
                    <xdr:row>1</xdr:row>
                    <xdr:rowOff>51206</xdr:rowOff>
                  </from>
                  <to>
                    <xdr:col>8</xdr:col>
                    <xdr:colOff>0</xdr:colOff>
                    <xdr:row>3</xdr:row>
                    <xdr:rowOff>58522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2FB17B-8751-49D1-BF4A-6AFAA1F99D66}">
          <x14:formula1>
            <xm:f>Data!$K$3:$K$23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C5B5F-6D16-40A9-85DA-5C7879BBAF9C}">
  <sheetPr codeName="Sheet4"/>
  <dimension ref="B1:P151"/>
  <sheetViews>
    <sheetView workbookViewId="0">
      <selection activeCell="G5" sqref="G5"/>
    </sheetView>
  </sheetViews>
  <sheetFormatPr defaultRowHeight="14.4" x14ac:dyDescent="0.3"/>
  <cols>
    <col min="2" max="2" width="15.3984375" bestFit="1" customWidth="1"/>
    <col min="3" max="4" width="11.09765625" bestFit="1" customWidth="1"/>
    <col min="5" max="5" width="11.3984375" bestFit="1" customWidth="1"/>
    <col min="6" max="6" width="58.69921875" bestFit="1" customWidth="1"/>
    <col min="7" max="7" width="15.69921875" customWidth="1"/>
    <col min="8" max="8" width="5.8984375" bestFit="1" customWidth="1"/>
    <col min="9" max="9" width="7" bestFit="1" customWidth="1"/>
    <col min="10" max="10" width="18.69921875" bestFit="1" customWidth="1"/>
    <col min="11" max="11" width="9.8984375" bestFit="1" customWidth="1"/>
    <col min="12" max="12" width="9.69921875" bestFit="1" customWidth="1"/>
    <col min="13" max="13" width="11.8984375" bestFit="1" customWidth="1"/>
  </cols>
  <sheetData>
    <row r="1" spans="2:16" x14ac:dyDescent="0.3">
      <c r="B1" s="7" t="s">
        <v>1986</v>
      </c>
      <c r="L1" s="42" t="s">
        <v>1990</v>
      </c>
      <c r="M1" s="42"/>
    </row>
    <row r="2" spans="2:16" x14ac:dyDescent="0.3">
      <c r="B2" s="7">
        <v>1104</v>
      </c>
      <c r="F2" s="8" t="s">
        <v>35</v>
      </c>
      <c r="G2" s="33">
        <f t="array" aca="1" ref="G2" ca="1">SUM(IF(Transaction_2[Date Time]&gt; DATE(YEAR(TODAY()),MONTH(TODAY()), 1),Transaction_2[Total],0))</f>
        <v>193.88</v>
      </c>
      <c r="K2" s="43" t="s">
        <v>1987</v>
      </c>
      <c r="L2" s="43"/>
      <c r="M2" s="28">
        <v>20588.23529411765</v>
      </c>
    </row>
    <row r="3" spans="2:16" x14ac:dyDescent="0.3">
      <c r="F3" s="8" t="s">
        <v>1991</v>
      </c>
      <c r="G3" s="33">
        <f t="array" aca="1" ref="G3" ca="1">SUM(IF(Transaction_2[Date Time]&gt; DATE(YEAR(TODAY()),1, 1),Transaction_2[Total],0))</f>
        <v>856.61000000000013</v>
      </c>
      <c r="K3" s="43" t="s">
        <v>1988</v>
      </c>
      <c r="L3" s="43"/>
      <c r="M3" s="27">
        <f>AVERAGE(Commission[Percent])</f>
        <v>0.24285714285714283</v>
      </c>
    </row>
    <row r="4" spans="2:16" x14ac:dyDescent="0.3">
      <c r="B4" s="25" t="s">
        <v>12</v>
      </c>
      <c r="C4" s="25" t="s">
        <v>33</v>
      </c>
      <c r="D4" s="25" t="s">
        <v>32</v>
      </c>
      <c r="E4" s="25" t="s">
        <v>20</v>
      </c>
      <c r="F4" s="8" t="s">
        <v>1992</v>
      </c>
      <c r="G4" s="32">
        <f t="array" aca="1" ref="G4" ca="1">SUM(IF(Transaction_2[Date Time]&gt; DATE(YEAR(TODAY()),MONTH(TODAY()), 1),Transaction_2[Sales Commmission],0))</f>
        <v>35.578000000000003</v>
      </c>
      <c r="K4" s="43" t="s">
        <v>1989</v>
      </c>
      <c r="L4" s="43"/>
      <c r="M4" s="26">
        <f>M2*M3</f>
        <v>5000</v>
      </c>
    </row>
    <row r="5" spans="2:16" x14ac:dyDescent="0.3">
      <c r="B5" s="25">
        <v>1104</v>
      </c>
      <c r="C5" s="19" t="s">
        <v>212</v>
      </c>
      <c r="D5" s="19" t="s">
        <v>213</v>
      </c>
      <c r="E5" s="19" t="s">
        <v>243</v>
      </c>
      <c r="I5" s="25"/>
      <c r="J5" s="25"/>
    </row>
    <row r="6" spans="2:16" x14ac:dyDescent="0.3">
      <c r="I6" s="25"/>
      <c r="J6" s="25"/>
    </row>
    <row r="7" spans="2:16" x14ac:dyDescent="0.3">
      <c r="F7">
        <f t="array" ref="F7">SUM(IF(AND(Transaction_2[Date Time]&gt;=DATE(2014,5,1),Transaction_2[Date Time]&lt;DATE(2014,6,1)),Transaction_2[Total],0))</f>
        <v>0</v>
      </c>
    </row>
    <row r="9" spans="2:16" x14ac:dyDescent="0.3">
      <c r="N9" t="s">
        <v>1996</v>
      </c>
    </row>
    <row r="10" spans="2:16" x14ac:dyDescent="0.3">
      <c r="B10" s="25" t="s">
        <v>314</v>
      </c>
      <c r="C10" s="25" t="s">
        <v>29</v>
      </c>
      <c r="D10" s="25" t="s">
        <v>316</v>
      </c>
      <c r="E10" s="25" t="s">
        <v>4</v>
      </c>
      <c r="F10" s="25" t="s">
        <v>7</v>
      </c>
      <c r="G10" s="25" t="s">
        <v>8</v>
      </c>
      <c r="H10" s="25" t="s">
        <v>11</v>
      </c>
      <c r="I10" s="25" t="s">
        <v>1919</v>
      </c>
      <c r="J10" s="25" t="s">
        <v>1928</v>
      </c>
      <c r="K10" s="25" t="s">
        <v>30</v>
      </c>
      <c r="L10" s="25" t="s">
        <v>315</v>
      </c>
      <c r="N10" t="s">
        <v>1998</v>
      </c>
      <c r="O10" t="s">
        <v>1997</v>
      </c>
      <c r="P10" t="s">
        <v>34</v>
      </c>
    </row>
    <row r="11" spans="2:16" x14ac:dyDescent="0.3">
      <c r="B11" s="25">
        <v>30665</v>
      </c>
      <c r="C11" s="30">
        <v>41733</v>
      </c>
      <c r="D11" s="31">
        <v>0.51902777777777775</v>
      </c>
      <c r="E11" s="25">
        <v>36</v>
      </c>
      <c r="F11" s="19" t="s">
        <v>79</v>
      </c>
      <c r="G11" s="25">
        <v>20.99</v>
      </c>
      <c r="H11" s="25">
        <v>2</v>
      </c>
      <c r="I11" s="25">
        <v>41.98</v>
      </c>
      <c r="J11" s="25">
        <v>4.1980000000000004</v>
      </c>
      <c r="K11" s="25">
        <v>1104</v>
      </c>
      <c r="L11" s="25">
        <v>1006</v>
      </c>
      <c r="N11" s="25">
        <v>2018</v>
      </c>
      <c r="O11" s="25">
        <v>5</v>
      </c>
      <c r="P11">
        <f t="array" ref="P11">SUM(IF(MONTH(Transaction_2[Date Time])=Table19[[#This Row],[Month]],Transaction_2[Total],0))</f>
        <v>892.12000000000012</v>
      </c>
    </row>
    <row r="12" spans="2:16" x14ac:dyDescent="0.3">
      <c r="B12" s="25">
        <v>66966</v>
      </c>
      <c r="C12" s="30">
        <v>41745</v>
      </c>
      <c r="D12" s="31">
        <v>0.40237268518518521</v>
      </c>
      <c r="E12" s="25">
        <v>86</v>
      </c>
      <c r="F12" s="19" t="s">
        <v>169</v>
      </c>
      <c r="G12" s="25">
        <v>9.49</v>
      </c>
      <c r="H12" s="25">
        <v>5</v>
      </c>
      <c r="I12" s="25">
        <v>47.45</v>
      </c>
      <c r="J12" s="25">
        <v>4.7450000000000001</v>
      </c>
      <c r="K12" s="25">
        <v>1104</v>
      </c>
      <c r="L12" s="25">
        <v>1001</v>
      </c>
      <c r="N12" s="25">
        <v>2018</v>
      </c>
      <c r="O12" s="25">
        <v>6</v>
      </c>
      <c r="P12">
        <f t="array" ref="P12">SUM(IF(MONTH(Transaction_2[Date Time])=Table19[[#This Row],[Month]],Transaction_2[Total],0))</f>
        <v>739.85</v>
      </c>
    </row>
    <row r="13" spans="2:16" x14ac:dyDescent="0.3">
      <c r="B13" s="25">
        <v>90134</v>
      </c>
      <c r="C13" s="30">
        <v>41746</v>
      </c>
      <c r="D13" s="31">
        <v>0.47619212962962965</v>
      </c>
      <c r="E13" s="25">
        <v>41</v>
      </c>
      <c r="F13" s="19" t="s">
        <v>122</v>
      </c>
      <c r="G13" s="25">
        <v>17.39</v>
      </c>
      <c r="H13" s="25">
        <v>4</v>
      </c>
      <c r="I13" s="25">
        <v>69.56</v>
      </c>
      <c r="J13" s="25">
        <v>6.9560000000000004</v>
      </c>
      <c r="K13" s="25">
        <v>1104</v>
      </c>
      <c r="L13" s="25">
        <v>1013</v>
      </c>
      <c r="N13" s="25">
        <v>2018</v>
      </c>
      <c r="O13" s="25">
        <v>7</v>
      </c>
      <c r="P13">
        <f t="array" ref="P13">SUM(IF(MONTH(Transaction_2[Date Time])=Table19[[#This Row],[Month]],Transaction_2[Total],0))</f>
        <v>254.39</v>
      </c>
    </row>
    <row r="14" spans="2:16" x14ac:dyDescent="0.3">
      <c r="B14" s="25">
        <v>62036</v>
      </c>
      <c r="C14" s="30">
        <v>41759</v>
      </c>
      <c r="D14" s="31">
        <v>0.62510416666666668</v>
      </c>
      <c r="E14" s="25">
        <v>29</v>
      </c>
      <c r="F14" s="19" t="s">
        <v>182</v>
      </c>
      <c r="G14" s="25">
        <v>22.99</v>
      </c>
      <c r="H14" s="25">
        <v>4</v>
      </c>
      <c r="I14" s="25">
        <v>91.96</v>
      </c>
      <c r="J14" s="25">
        <v>27.588000000000001</v>
      </c>
      <c r="K14" s="25">
        <v>1104</v>
      </c>
      <c r="L14" s="25">
        <v>1017</v>
      </c>
      <c r="N14" s="25">
        <v>2018</v>
      </c>
      <c r="O14" s="25">
        <v>8</v>
      </c>
      <c r="P14">
        <f t="array" ref="P14">SUM(IF(MONTH(Transaction_2[Date Time])=Table19[[#This Row],[Month]],Transaction_2[Total],0))</f>
        <v>1238.8200000000002</v>
      </c>
    </row>
    <row r="15" spans="2:16" x14ac:dyDescent="0.3">
      <c r="B15" s="25">
        <v>42952</v>
      </c>
      <c r="C15" s="30">
        <v>41801</v>
      </c>
      <c r="D15" s="31">
        <v>0.42768518518518517</v>
      </c>
      <c r="E15" s="25">
        <v>30</v>
      </c>
      <c r="F15" s="19" t="s">
        <v>73</v>
      </c>
      <c r="G15" s="25">
        <v>22.99</v>
      </c>
      <c r="H15" s="25">
        <v>2</v>
      </c>
      <c r="I15" s="25">
        <v>45.98</v>
      </c>
      <c r="J15" s="25">
        <v>13.794</v>
      </c>
      <c r="K15" s="25">
        <v>1104</v>
      </c>
      <c r="L15" s="25">
        <v>1006</v>
      </c>
      <c r="N15" s="25">
        <v>2018</v>
      </c>
      <c r="O15" s="25">
        <v>9</v>
      </c>
      <c r="P15">
        <f t="array" ref="P15">SUM(IF(MONTH(Transaction_2[Date Time])=Table19[[#This Row],[Month]],Transaction_2[Total],0))</f>
        <v>970.25</v>
      </c>
    </row>
    <row r="16" spans="2:16" x14ac:dyDescent="0.3">
      <c r="B16" s="25">
        <v>10491</v>
      </c>
      <c r="C16" s="30">
        <v>41804</v>
      </c>
      <c r="D16" s="31">
        <v>0.61900462962962965</v>
      </c>
      <c r="E16" s="25">
        <v>14</v>
      </c>
      <c r="F16" s="19" t="s">
        <v>115</v>
      </c>
      <c r="G16" s="25">
        <v>34.99</v>
      </c>
      <c r="H16" s="25">
        <v>3</v>
      </c>
      <c r="I16" s="25">
        <v>104.97</v>
      </c>
      <c r="J16" s="25">
        <v>20.994</v>
      </c>
      <c r="K16" s="25">
        <v>1104</v>
      </c>
      <c r="L16" s="25">
        <v>1019</v>
      </c>
      <c r="N16" s="25">
        <v>2018</v>
      </c>
      <c r="O16" s="25">
        <v>10</v>
      </c>
      <c r="P16">
        <f t="array" ref="P16">SUM(IF(MONTH(Transaction_2[Date Time])=Table19[[#This Row],[Month]],Transaction_2[Total],0))</f>
        <v>556.23</v>
      </c>
    </row>
    <row r="17" spans="2:16" x14ac:dyDescent="0.3">
      <c r="B17" s="25">
        <v>53333</v>
      </c>
      <c r="C17" s="30">
        <v>41823</v>
      </c>
      <c r="D17" s="31">
        <v>0.49700231481481483</v>
      </c>
      <c r="E17" s="25">
        <v>85</v>
      </c>
      <c r="F17" s="19" t="s">
        <v>197</v>
      </c>
      <c r="G17" s="25">
        <v>9.99</v>
      </c>
      <c r="H17" s="25">
        <v>4</v>
      </c>
      <c r="I17" s="25">
        <v>39.96</v>
      </c>
      <c r="J17" s="25">
        <v>11.988</v>
      </c>
      <c r="K17" s="25">
        <v>1104</v>
      </c>
      <c r="L17" s="25">
        <v>1005</v>
      </c>
      <c r="N17" s="25">
        <v>2018</v>
      </c>
      <c r="O17" s="25">
        <v>11</v>
      </c>
      <c r="P17">
        <f t="array" ref="P17">SUM(IF(MONTH(Transaction_2[Date Time])=Table19[[#This Row],[Month]],Transaction_2[Total],0))</f>
        <v>780.91000000000008</v>
      </c>
    </row>
    <row r="18" spans="2:16" x14ac:dyDescent="0.3">
      <c r="B18" s="25">
        <v>40804</v>
      </c>
      <c r="C18" s="30">
        <v>41837</v>
      </c>
      <c r="D18" s="31">
        <v>0.62229166666666669</v>
      </c>
      <c r="E18" s="25">
        <v>76</v>
      </c>
      <c r="F18" s="19" t="s">
        <v>165</v>
      </c>
      <c r="G18" s="25">
        <v>11.99</v>
      </c>
      <c r="H18" s="25">
        <v>3</v>
      </c>
      <c r="I18" s="25">
        <v>35.97</v>
      </c>
      <c r="J18" s="25">
        <v>10.791</v>
      </c>
      <c r="K18" s="25">
        <v>1104</v>
      </c>
      <c r="L18" s="25">
        <v>1004</v>
      </c>
      <c r="N18" s="25">
        <v>2018</v>
      </c>
      <c r="O18" s="25">
        <v>12</v>
      </c>
      <c r="P18">
        <f t="array" ref="P18">SUM(IF(MONTH(Transaction_2[Date Time])=Table19[[#This Row],[Month]],Transaction_2[Total],0))</f>
        <v>844.5100000000001</v>
      </c>
    </row>
    <row r="19" spans="2:16" x14ac:dyDescent="0.3">
      <c r="B19" s="25">
        <v>50973</v>
      </c>
      <c r="C19" s="30">
        <v>41882</v>
      </c>
      <c r="D19" s="31">
        <v>0.48721064814814813</v>
      </c>
      <c r="E19" s="25">
        <v>21</v>
      </c>
      <c r="F19" s="19" t="s">
        <v>139</v>
      </c>
      <c r="G19" s="25">
        <v>25.99</v>
      </c>
      <c r="H19" s="25">
        <v>2</v>
      </c>
      <c r="I19" s="25">
        <v>51.98</v>
      </c>
      <c r="J19" s="25">
        <v>5.1980000000000004</v>
      </c>
      <c r="K19" s="25">
        <v>1104</v>
      </c>
      <c r="L19" s="25">
        <v>1021</v>
      </c>
      <c r="N19">
        <v>2019</v>
      </c>
      <c r="O19" s="25">
        <v>1</v>
      </c>
      <c r="P19">
        <f t="array" ref="P19">SUM(IF(MONTH(Transaction_2[Date Time])=Table19[[#This Row],[Month]],Transaction_2[Total],0))</f>
        <v>449.21</v>
      </c>
    </row>
    <row r="20" spans="2:16" x14ac:dyDescent="0.3">
      <c r="B20" s="25">
        <v>51584</v>
      </c>
      <c r="C20" s="30">
        <v>41886</v>
      </c>
      <c r="D20" s="31">
        <v>0.6834027777777778</v>
      </c>
      <c r="E20" s="25">
        <v>35</v>
      </c>
      <c r="F20" s="19" t="s">
        <v>120</v>
      </c>
      <c r="G20" s="25">
        <v>20.99</v>
      </c>
      <c r="H20" s="25">
        <v>5</v>
      </c>
      <c r="I20" s="25">
        <v>104.95</v>
      </c>
      <c r="J20" s="25">
        <v>31.484999999999999</v>
      </c>
      <c r="K20" s="25">
        <v>1104</v>
      </c>
      <c r="L20" s="25">
        <v>1004</v>
      </c>
      <c r="N20" s="25">
        <v>2019</v>
      </c>
      <c r="O20" s="25">
        <v>2</v>
      </c>
      <c r="P20">
        <f t="array" ref="P20">SUM(IF(MONTH(Transaction_2[Date Time])=Table19[[#This Row],[Month]],Transaction_2[Total],0))</f>
        <v>500.76</v>
      </c>
    </row>
    <row r="21" spans="2:16" x14ac:dyDescent="0.3">
      <c r="B21" s="25">
        <v>11138</v>
      </c>
      <c r="C21" s="30">
        <v>41887</v>
      </c>
      <c r="D21" s="31">
        <v>0.78508101851851853</v>
      </c>
      <c r="E21" s="25">
        <v>11</v>
      </c>
      <c r="F21" s="19" t="s">
        <v>187</v>
      </c>
      <c r="G21" s="25">
        <v>40.99</v>
      </c>
      <c r="H21" s="25">
        <v>4</v>
      </c>
      <c r="I21" s="25">
        <v>163.96</v>
      </c>
      <c r="J21" s="25">
        <v>49.188000000000002</v>
      </c>
      <c r="K21" s="25">
        <v>1104</v>
      </c>
      <c r="L21" s="25">
        <v>1014</v>
      </c>
      <c r="N21" s="25">
        <v>2019</v>
      </c>
      <c r="O21" s="25">
        <v>3</v>
      </c>
      <c r="P21">
        <f t="array" ref="P21">SUM(IF(MONTH(Transaction_2[Date Time])=Table19[[#This Row],[Month]],Transaction_2[Total],0))</f>
        <v>395.76</v>
      </c>
    </row>
    <row r="22" spans="2:16" x14ac:dyDescent="0.3">
      <c r="B22" s="25">
        <v>28152</v>
      </c>
      <c r="C22" s="30">
        <v>41917</v>
      </c>
      <c r="D22" s="31">
        <v>0.60016203703703708</v>
      </c>
      <c r="E22" s="25">
        <v>85</v>
      </c>
      <c r="F22" s="19" t="s">
        <v>197</v>
      </c>
      <c r="G22" s="25">
        <v>9.99</v>
      </c>
      <c r="H22" s="25">
        <v>1</v>
      </c>
      <c r="I22" s="25">
        <v>9.99</v>
      </c>
      <c r="J22" s="25">
        <v>2.9969999999999999</v>
      </c>
      <c r="K22" s="25">
        <v>1104</v>
      </c>
      <c r="L22" s="25">
        <v>1007</v>
      </c>
      <c r="N22" s="25">
        <v>2019</v>
      </c>
      <c r="O22" s="25">
        <v>4</v>
      </c>
      <c r="P22">
        <f t="array" ref="P22">SUM(IF(MONTH(Transaction_2[Date Time])=Table19[[#This Row],[Month]],Transaction_2[Total],0))</f>
        <v>1292.6100000000004</v>
      </c>
    </row>
    <row r="23" spans="2:16" x14ac:dyDescent="0.3">
      <c r="B23" s="25">
        <v>80633</v>
      </c>
      <c r="C23" s="30">
        <v>41946</v>
      </c>
      <c r="D23" s="31">
        <v>0.7159375</v>
      </c>
      <c r="E23" s="25">
        <v>3</v>
      </c>
      <c r="F23" s="19" t="s">
        <v>137</v>
      </c>
      <c r="G23" s="25">
        <v>56.99</v>
      </c>
      <c r="H23" s="25">
        <v>5</v>
      </c>
      <c r="I23" s="25">
        <v>284.95</v>
      </c>
      <c r="J23" s="25">
        <v>85.484999999999999</v>
      </c>
      <c r="K23" s="25">
        <v>1104</v>
      </c>
      <c r="L23" s="25">
        <v>1012</v>
      </c>
      <c r="N23" s="25">
        <v>2019</v>
      </c>
      <c r="O23" s="25">
        <v>5</v>
      </c>
      <c r="P23">
        <f t="array" ref="P23">SUM(IF(MONTH(Transaction_2[Date Time])=Table19[[#This Row],[Month]],Transaction_2[Total],0))</f>
        <v>892.12000000000012</v>
      </c>
    </row>
    <row r="24" spans="2:16" x14ac:dyDescent="0.3">
      <c r="B24" s="25">
        <v>87421</v>
      </c>
      <c r="C24" s="30">
        <v>41951</v>
      </c>
      <c r="D24" s="31">
        <v>0.60521990740740739</v>
      </c>
      <c r="E24" s="25">
        <v>55</v>
      </c>
      <c r="F24" s="19" t="s">
        <v>88</v>
      </c>
      <c r="G24" s="25">
        <v>14.49</v>
      </c>
      <c r="H24" s="25">
        <v>4</v>
      </c>
      <c r="I24" s="25">
        <v>57.96</v>
      </c>
      <c r="J24" s="25">
        <v>5.7960000000000003</v>
      </c>
      <c r="K24" s="25">
        <v>1104</v>
      </c>
      <c r="L24" s="25">
        <v>1019</v>
      </c>
      <c r="O24" s="25"/>
    </row>
    <row r="25" spans="2:16" x14ac:dyDescent="0.3">
      <c r="B25" s="25">
        <v>39124</v>
      </c>
      <c r="C25" s="30">
        <v>41952</v>
      </c>
      <c r="D25" s="31">
        <v>0.82125000000000004</v>
      </c>
      <c r="E25" s="25">
        <v>27</v>
      </c>
      <c r="F25" s="19" t="s">
        <v>146</v>
      </c>
      <c r="G25" s="25">
        <v>23.99</v>
      </c>
      <c r="H25" s="25">
        <v>1</v>
      </c>
      <c r="I25" s="25">
        <v>23.99</v>
      </c>
      <c r="J25" s="25">
        <v>9.5960000000000001</v>
      </c>
      <c r="K25" s="25">
        <v>1104</v>
      </c>
      <c r="L25" s="25">
        <v>1003</v>
      </c>
      <c r="O25" s="25"/>
    </row>
    <row r="26" spans="2:16" x14ac:dyDescent="0.3">
      <c r="B26" s="25">
        <v>37318</v>
      </c>
      <c r="C26" s="30">
        <v>41953</v>
      </c>
      <c r="D26" s="31">
        <v>0.51395833333333329</v>
      </c>
      <c r="E26" s="25">
        <v>25</v>
      </c>
      <c r="F26" s="19" t="s">
        <v>143</v>
      </c>
      <c r="G26" s="25">
        <v>23.99</v>
      </c>
      <c r="H26" s="25">
        <v>2</v>
      </c>
      <c r="I26" s="25">
        <v>47.98</v>
      </c>
      <c r="J26" s="25">
        <v>14.394</v>
      </c>
      <c r="K26" s="25">
        <v>1104</v>
      </c>
      <c r="L26" s="25">
        <v>1005</v>
      </c>
      <c r="O26" s="25"/>
    </row>
    <row r="27" spans="2:16" x14ac:dyDescent="0.3">
      <c r="B27" s="25">
        <v>58108</v>
      </c>
      <c r="C27" s="30">
        <v>41982</v>
      </c>
      <c r="D27" s="31">
        <v>0.80869212962962966</v>
      </c>
      <c r="E27" s="25">
        <v>79</v>
      </c>
      <c r="F27" s="19" t="s">
        <v>155</v>
      </c>
      <c r="G27" s="25">
        <v>11.49</v>
      </c>
      <c r="H27" s="25">
        <v>3</v>
      </c>
      <c r="I27" s="25">
        <v>34.47</v>
      </c>
      <c r="J27" s="25">
        <v>6.8940000000000001</v>
      </c>
      <c r="K27" s="25">
        <v>1104</v>
      </c>
      <c r="L27" s="25">
        <v>1008</v>
      </c>
      <c r="O27" s="25"/>
    </row>
    <row r="28" spans="2:16" x14ac:dyDescent="0.3">
      <c r="B28" s="25">
        <v>93475</v>
      </c>
      <c r="C28" s="30">
        <v>41990</v>
      </c>
      <c r="D28" s="31">
        <v>0.39675925925925926</v>
      </c>
      <c r="E28" s="25">
        <v>72</v>
      </c>
      <c r="F28" s="19" t="s">
        <v>176</v>
      </c>
      <c r="G28" s="25">
        <v>12.49</v>
      </c>
      <c r="H28" s="25">
        <v>3</v>
      </c>
      <c r="I28" s="25">
        <v>37.47</v>
      </c>
      <c r="J28" s="25">
        <v>11.241</v>
      </c>
      <c r="K28" s="25">
        <v>1104</v>
      </c>
      <c r="L28" s="25">
        <v>1009</v>
      </c>
      <c r="O28" s="25"/>
    </row>
    <row r="29" spans="2:16" x14ac:dyDescent="0.3">
      <c r="B29" s="25">
        <v>61262</v>
      </c>
      <c r="C29" s="30">
        <v>41998</v>
      </c>
      <c r="D29" s="31">
        <v>0.35767361111111112</v>
      </c>
      <c r="E29" s="25">
        <v>29</v>
      </c>
      <c r="F29" s="19" t="s">
        <v>182</v>
      </c>
      <c r="G29" s="25">
        <v>22.99</v>
      </c>
      <c r="H29" s="25">
        <v>4</v>
      </c>
      <c r="I29" s="25">
        <v>91.96</v>
      </c>
      <c r="J29" s="25">
        <v>27.588000000000001</v>
      </c>
      <c r="K29" s="25">
        <v>1104</v>
      </c>
      <c r="L29" s="25">
        <v>1011</v>
      </c>
      <c r="O29" s="25"/>
    </row>
    <row r="30" spans="2:16" x14ac:dyDescent="0.3">
      <c r="B30" s="25">
        <v>44845</v>
      </c>
      <c r="C30" s="30">
        <v>42014</v>
      </c>
      <c r="D30" s="31">
        <v>0.79520833333333329</v>
      </c>
      <c r="E30" s="25">
        <v>67</v>
      </c>
      <c r="F30" s="19" t="s">
        <v>159</v>
      </c>
      <c r="G30" s="25">
        <v>12.99</v>
      </c>
      <c r="H30" s="25">
        <v>3</v>
      </c>
      <c r="I30" s="25">
        <v>38.97</v>
      </c>
      <c r="J30" s="25">
        <v>15.587999999999999</v>
      </c>
      <c r="K30" s="25">
        <v>1104</v>
      </c>
      <c r="L30" s="25">
        <v>1017</v>
      </c>
      <c r="O30" s="25"/>
    </row>
    <row r="31" spans="2:16" x14ac:dyDescent="0.3">
      <c r="B31" s="25">
        <v>63868</v>
      </c>
      <c r="C31" s="30">
        <v>42024</v>
      </c>
      <c r="D31" s="31">
        <v>0.73519675925925931</v>
      </c>
      <c r="E31" s="25">
        <v>21</v>
      </c>
      <c r="F31" s="19" t="s">
        <v>139</v>
      </c>
      <c r="G31" s="25">
        <v>25.99</v>
      </c>
      <c r="H31" s="25">
        <v>3</v>
      </c>
      <c r="I31" s="25">
        <v>77.97</v>
      </c>
      <c r="J31" s="25">
        <v>7.7969999999999997</v>
      </c>
      <c r="K31" s="25">
        <v>1104</v>
      </c>
      <c r="L31" s="25">
        <v>1004</v>
      </c>
      <c r="O31" s="25"/>
    </row>
    <row r="32" spans="2:16" x14ac:dyDescent="0.3">
      <c r="B32" s="25">
        <v>42186</v>
      </c>
      <c r="C32" s="30">
        <v>42040</v>
      </c>
      <c r="D32" s="31">
        <v>0.81767361111111114</v>
      </c>
      <c r="E32" s="25">
        <v>97</v>
      </c>
      <c r="F32" s="19" t="s">
        <v>185</v>
      </c>
      <c r="G32" s="25">
        <v>5.99</v>
      </c>
      <c r="H32" s="25">
        <v>5</v>
      </c>
      <c r="I32" s="25">
        <v>29.95</v>
      </c>
      <c r="J32" s="25">
        <v>2.9950000000000001</v>
      </c>
      <c r="K32" s="25">
        <v>1104</v>
      </c>
      <c r="L32" s="25">
        <v>1008</v>
      </c>
      <c r="O32" s="25"/>
    </row>
    <row r="33" spans="2:15" x14ac:dyDescent="0.3">
      <c r="B33" s="25">
        <v>77968</v>
      </c>
      <c r="C33" s="30">
        <v>42055</v>
      </c>
      <c r="D33" s="31">
        <v>0.63384259259259257</v>
      </c>
      <c r="E33" s="25">
        <v>95</v>
      </c>
      <c r="F33" s="19" t="s">
        <v>190</v>
      </c>
      <c r="G33" s="25">
        <v>7.49</v>
      </c>
      <c r="H33" s="25">
        <v>4</v>
      </c>
      <c r="I33" s="25">
        <v>29.96</v>
      </c>
      <c r="J33" s="25">
        <v>2.996</v>
      </c>
      <c r="K33" s="25">
        <v>1104</v>
      </c>
      <c r="L33" s="25">
        <v>1021</v>
      </c>
      <c r="O33" s="25"/>
    </row>
    <row r="34" spans="2:15" x14ac:dyDescent="0.3">
      <c r="B34" s="25">
        <v>39036</v>
      </c>
      <c r="C34" s="30">
        <v>42071</v>
      </c>
      <c r="D34" s="31">
        <v>0.36678240740740742</v>
      </c>
      <c r="E34" s="25">
        <v>38</v>
      </c>
      <c r="F34" s="19" t="s">
        <v>112</v>
      </c>
      <c r="G34" s="25">
        <v>19.989999999999998</v>
      </c>
      <c r="H34" s="25">
        <v>1</v>
      </c>
      <c r="I34" s="25">
        <v>19.989999999999998</v>
      </c>
      <c r="J34" s="25">
        <v>5.9969999999999999</v>
      </c>
      <c r="K34" s="25">
        <v>1104</v>
      </c>
      <c r="L34" s="25">
        <v>1021</v>
      </c>
      <c r="O34" s="25"/>
    </row>
    <row r="35" spans="2:15" x14ac:dyDescent="0.3">
      <c r="B35" s="25">
        <v>43386</v>
      </c>
      <c r="C35" s="30">
        <v>42077</v>
      </c>
      <c r="D35" s="31">
        <v>0.64774305555555556</v>
      </c>
      <c r="E35" s="25">
        <v>83</v>
      </c>
      <c r="F35" s="19" t="s">
        <v>157</v>
      </c>
      <c r="G35" s="25">
        <v>10.99</v>
      </c>
      <c r="H35" s="25">
        <v>4</v>
      </c>
      <c r="I35" s="25">
        <v>43.96</v>
      </c>
      <c r="J35" s="25">
        <v>13.188000000000001</v>
      </c>
      <c r="K35" s="25">
        <v>1104</v>
      </c>
      <c r="L35" s="25">
        <v>1021</v>
      </c>
      <c r="O35" s="25"/>
    </row>
    <row r="36" spans="2:15" x14ac:dyDescent="0.3">
      <c r="B36" s="25">
        <v>44966</v>
      </c>
      <c r="C36" s="30">
        <v>42079</v>
      </c>
      <c r="D36" s="31">
        <v>0.63347222222222221</v>
      </c>
      <c r="E36" s="25">
        <v>37</v>
      </c>
      <c r="F36" s="19" t="s">
        <v>141</v>
      </c>
      <c r="G36" s="25">
        <v>19.989999999999998</v>
      </c>
      <c r="H36" s="25">
        <v>3</v>
      </c>
      <c r="I36" s="25">
        <v>59.97</v>
      </c>
      <c r="J36" s="25">
        <v>5.9969999999999999</v>
      </c>
      <c r="K36" s="25">
        <v>1104</v>
      </c>
      <c r="L36" s="25">
        <v>1015</v>
      </c>
      <c r="O36" s="25"/>
    </row>
    <row r="37" spans="2:15" x14ac:dyDescent="0.3">
      <c r="B37" s="25">
        <v>80278</v>
      </c>
      <c r="C37" s="30">
        <v>42097</v>
      </c>
      <c r="D37" s="31">
        <v>0.57248842592592597</v>
      </c>
      <c r="E37" s="25">
        <v>20</v>
      </c>
      <c r="F37" s="19" t="s">
        <v>186</v>
      </c>
      <c r="G37" s="25">
        <v>27.99</v>
      </c>
      <c r="H37" s="25">
        <v>4</v>
      </c>
      <c r="I37" s="25">
        <v>111.96</v>
      </c>
      <c r="J37" s="25">
        <v>22.391999999999999</v>
      </c>
      <c r="K37" s="25">
        <v>1104</v>
      </c>
      <c r="L37" s="25">
        <v>1007</v>
      </c>
      <c r="O37" s="25"/>
    </row>
    <row r="38" spans="2:15" x14ac:dyDescent="0.3">
      <c r="B38" s="25">
        <v>33814</v>
      </c>
      <c r="C38" s="30">
        <v>42099</v>
      </c>
      <c r="D38" s="31">
        <v>0.67770833333333336</v>
      </c>
      <c r="E38" s="25">
        <v>65</v>
      </c>
      <c r="F38" s="19" t="s">
        <v>144</v>
      </c>
      <c r="G38" s="25">
        <v>12.99</v>
      </c>
      <c r="H38" s="25">
        <v>2</v>
      </c>
      <c r="I38" s="25">
        <v>25.98</v>
      </c>
      <c r="J38" s="25">
        <v>7.7939999999999996</v>
      </c>
      <c r="K38" s="25">
        <v>1104</v>
      </c>
      <c r="L38" s="25">
        <v>1001</v>
      </c>
      <c r="O38" s="25"/>
    </row>
    <row r="39" spans="2:15" x14ac:dyDescent="0.3">
      <c r="B39" s="25">
        <v>28426</v>
      </c>
      <c r="C39" s="30">
        <v>42100</v>
      </c>
      <c r="D39" s="31">
        <v>0.68160879629629634</v>
      </c>
      <c r="E39" s="25">
        <v>13</v>
      </c>
      <c r="F39" s="19" t="s">
        <v>72</v>
      </c>
      <c r="G39" s="25">
        <v>36.99</v>
      </c>
      <c r="H39" s="25">
        <v>1</v>
      </c>
      <c r="I39" s="25">
        <v>36.99</v>
      </c>
      <c r="J39" s="25">
        <v>11.097</v>
      </c>
      <c r="K39" s="25">
        <v>1104</v>
      </c>
      <c r="L39" s="25">
        <v>1010</v>
      </c>
      <c r="O39" s="25"/>
    </row>
    <row r="40" spans="2:15" x14ac:dyDescent="0.3">
      <c r="B40" s="25">
        <v>36901</v>
      </c>
      <c r="C40" s="30">
        <v>42130</v>
      </c>
      <c r="D40" s="31">
        <v>0.80153935185185188</v>
      </c>
      <c r="E40" s="25">
        <v>40</v>
      </c>
      <c r="F40" s="19" t="s">
        <v>96</v>
      </c>
      <c r="G40" s="25">
        <v>17.989999999999998</v>
      </c>
      <c r="H40" s="25">
        <v>4</v>
      </c>
      <c r="I40" s="25">
        <v>71.959999999999994</v>
      </c>
      <c r="J40" s="25">
        <v>21.588000000000001</v>
      </c>
      <c r="K40" s="25">
        <v>1104</v>
      </c>
      <c r="L40" s="25">
        <v>1009</v>
      </c>
    </row>
    <row r="41" spans="2:15" x14ac:dyDescent="0.3">
      <c r="B41" s="25">
        <v>83588</v>
      </c>
      <c r="C41" s="30">
        <v>42142</v>
      </c>
      <c r="D41" s="31">
        <v>0.35143518518518518</v>
      </c>
      <c r="E41" s="25">
        <v>34</v>
      </c>
      <c r="F41" s="19" t="s">
        <v>180</v>
      </c>
      <c r="G41" s="25">
        <v>20.99</v>
      </c>
      <c r="H41" s="25">
        <v>3</v>
      </c>
      <c r="I41" s="25">
        <v>62.97</v>
      </c>
      <c r="J41" s="25">
        <v>12.593999999999999</v>
      </c>
      <c r="K41" s="25">
        <v>1104</v>
      </c>
      <c r="L41" s="25">
        <v>1016</v>
      </c>
    </row>
    <row r="42" spans="2:15" x14ac:dyDescent="0.3">
      <c r="B42" s="25">
        <v>56191</v>
      </c>
      <c r="C42" s="30">
        <v>42153</v>
      </c>
      <c r="D42" s="31">
        <v>0.44222222222222224</v>
      </c>
      <c r="E42" s="25">
        <v>44</v>
      </c>
      <c r="F42" s="19" t="s">
        <v>117</v>
      </c>
      <c r="G42" s="25">
        <v>16.989999999999998</v>
      </c>
      <c r="H42" s="25">
        <v>2</v>
      </c>
      <c r="I42" s="25">
        <v>33.979999999999997</v>
      </c>
      <c r="J42" s="25">
        <v>10.194000000000001</v>
      </c>
      <c r="K42" s="25">
        <v>1104</v>
      </c>
      <c r="L42" s="25">
        <v>1000</v>
      </c>
    </row>
    <row r="43" spans="2:15" x14ac:dyDescent="0.3">
      <c r="B43" s="25">
        <v>30030</v>
      </c>
      <c r="C43" s="30">
        <v>42172</v>
      </c>
      <c r="D43" s="31">
        <v>0.39583333333333331</v>
      </c>
      <c r="E43" s="25">
        <v>2</v>
      </c>
      <c r="F43" s="19" t="s">
        <v>124</v>
      </c>
      <c r="G43" s="25">
        <v>286.99</v>
      </c>
      <c r="H43" s="25">
        <v>1</v>
      </c>
      <c r="I43" s="25">
        <v>286.99</v>
      </c>
      <c r="J43" s="25">
        <v>86.096999999999994</v>
      </c>
      <c r="K43" s="25">
        <v>1104</v>
      </c>
      <c r="L43" s="25">
        <v>1015</v>
      </c>
    </row>
    <row r="44" spans="2:15" x14ac:dyDescent="0.3">
      <c r="B44" s="25">
        <v>41337</v>
      </c>
      <c r="C44" s="30">
        <v>42203</v>
      </c>
      <c r="D44" s="31">
        <v>0.44650462962962961</v>
      </c>
      <c r="E44" s="25">
        <v>96</v>
      </c>
      <c r="F44" s="19" t="s">
        <v>164</v>
      </c>
      <c r="G44" s="25">
        <v>6.19</v>
      </c>
      <c r="H44" s="25">
        <v>1</v>
      </c>
      <c r="I44" s="25">
        <v>6.19</v>
      </c>
      <c r="J44" s="25">
        <v>0.61899999999999999</v>
      </c>
      <c r="K44" s="25">
        <v>1104</v>
      </c>
      <c r="L44" s="25">
        <v>1007</v>
      </c>
    </row>
    <row r="45" spans="2:15" x14ac:dyDescent="0.3">
      <c r="B45" s="25">
        <v>81340</v>
      </c>
      <c r="C45" s="30">
        <v>42218</v>
      </c>
      <c r="D45" s="31">
        <v>0.61106481481481478</v>
      </c>
      <c r="E45" s="25">
        <v>86</v>
      </c>
      <c r="F45" s="19" t="s">
        <v>169</v>
      </c>
      <c r="G45" s="25">
        <v>9.49</v>
      </c>
      <c r="H45" s="25">
        <v>5</v>
      </c>
      <c r="I45" s="25">
        <v>47.45</v>
      </c>
      <c r="J45" s="25">
        <v>4.7450000000000001</v>
      </c>
      <c r="K45" s="25">
        <v>1104</v>
      </c>
      <c r="L45" s="25">
        <v>1000</v>
      </c>
    </row>
    <row r="46" spans="2:15" x14ac:dyDescent="0.3">
      <c r="B46" s="25">
        <v>20552</v>
      </c>
      <c r="C46" s="30">
        <v>42222</v>
      </c>
      <c r="D46" s="31">
        <v>0.66988425925925921</v>
      </c>
      <c r="E46" s="25">
        <v>71</v>
      </c>
      <c r="F46" s="19" t="s">
        <v>156</v>
      </c>
      <c r="G46" s="25">
        <v>12.49</v>
      </c>
      <c r="H46" s="25">
        <v>3</v>
      </c>
      <c r="I46" s="25">
        <v>37.47</v>
      </c>
      <c r="J46" s="25">
        <v>3.7469999999999999</v>
      </c>
      <c r="K46" s="25">
        <v>1104</v>
      </c>
      <c r="L46" s="25">
        <v>1015</v>
      </c>
    </row>
    <row r="47" spans="2:15" x14ac:dyDescent="0.3">
      <c r="B47" s="25">
        <v>78889</v>
      </c>
      <c r="C47" s="30">
        <v>42239</v>
      </c>
      <c r="D47" s="31">
        <v>0.5184375</v>
      </c>
      <c r="E47" s="25">
        <v>73</v>
      </c>
      <c r="F47" s="19" t="s">
        <v>99</v>
      </c>
      <c r="G47" s="25">
        <v>11.99</v>
      </c>
      <c r="H47" s="25">
        <v>3</v>
      </c>
      <c r="I47" s="25">
        <v>35.97</v>
      </c>
      <c r="J47" s="25">
        <v>10.791</v>
      </c>
      <c r="K47" s="25">
        <v>1104</v>
      </c>
      <c r="L47" s="25">
        <v>1015</v>
      </c>
    </row>
    <row r="48" spans="2:15" x14ac:dyDescent="0.3">
      <c r="B48" s="25">
        <v>13299</v>
      </c>
      <c r="C48" s="30">
        <v>42247</v>
      </c>
      <c r="D48" s="31">
        <v>0.60924768518518524</v>
      </c>
      <c r="E48" s="25">
        <v>34</v>
      </c>
      <c r="F48" s="19" t="s">
        <v>180</v>
      </c>
      <c r="G48" s="25">
        <v>20.99</v>
      </c>
      <c r="H48" s="25">
        <v>5</v>
      </c>
      <c r="I48" s="25">
        <v>104.95</v>
      </c>
      <c r="J48" s="25">
        <v>20.99</v>
      </c>
      <c r="K48" s="25">
        <v>1104</v>
      </c>
      <c r="L48" s="25">
        <v>1013</v>
      </c>
    </row>
    <row r="49" spans="2:12" x14ac:dyDescent="0.3">
      <c r="B49" s="25">
        <v>97078</v>
      </c>
      <c r="C49" s="30">
        <v>42247</v>
      </c>
      <c r="D49" s="31">
        <v>0.83122685185185186</v>
      </c>
      <c r="E49" s="25">
        <v>58</v>
      </c>
      <c r="F49" s="19" t="s">
        <v>91</v>
      </c>
      <c r="G49" s="25">
        <v>13.49</v>
      </c>
      <c r="H49" s="25">
        <v>3</v>
      </c>
      <c r="I49" s="25">
        <v>40.47</v>
      </c>
      <c r="J49" s="25">
        <v>12.141</v>
      </c>
      <c r="K49" s="25">
        <v>1104</v>
      </c>
      <c r="L49" s="25">
        <v>1003</v>
      </c>
    </row>
    <row r="50" spans="2:12" x14ac:dyDescent="0.3">
      <c r="B50" s="25">
        <v>52545</v>
      </c>
      <c r="C50" s="30">
        <v>42273</v>
      </c>
      <c r="D50" s="31">
        <v>0.50855324074074071</v>
      </c>
      <c r="E50" s="25">
        <v>96</v>
      </c>
      <c r="F50" s="19" t="s">
        <v>164</v>
      </c>
      <c r="G50" s="25">
        <v>6.19</v>
      </c>
      <c r="H50" s="25">
        <v>1</v>
      </c>
      <c r="I50" s="25">
        <v>6.19</v>
      </c>
      <c r="J50" s="25">
        <v>0.61899999999999999</v>
      </c>
      <c r="K50" s="25">
        <v>1104</v>
      </c>
      <c r="L50" s="25">
        <v>1020</v>
      </c>
    </row>
    <row r="51" spans="2:12" x14ac:dyDescent="0.3">
      <c r="B51" s="25">
        <v>34820</v>
      </c>
      <c r="C51" s="30">
        <v>42278</v>
      </c>
      <c r="D51" s="31">
        <v>0.388125</v>
      </c>
      <c r="E51" s="25">
        <v>63</v>
      </c>
      <c r="F51" s="19" t="s">
        <v>104</v>
      </c>
      <c r="G51" s="25">
        <v>12.99</v>
      </c>
      <c r="H51" s="25">
        <v>3</v>
      </c>
      <c r="I51" s="25">
        <v>38.97</v>
      </c>
      <c r="J51" s="25">
        <v>11.691000000000001</v>
      </c>
      <c r="K51" s="25">
        <v>1104</v>
      </c>
      <c r="L51" s="25">
        <v>1020</v>
      </c>
    </row>
    <row r="52" spans="2:12" x14ac:dyDescent="0.3">
      <c r="B52" s="25">
        <v>28293</v>
      </c>
      <c r="C52" s="30">
        <v>42286</v>
      </c>
      <c r="D52" s="31">
        <v>0.40479166666666666</v>
      </c>
      <c r="E52" s="25">
        <v>45</v>
      </c>
      <c r="F52" s="19" t="s">
        <v>181</v>
      </c>
      <c r="G52" s="25">
        <v>15.99</v>
      </c>
      <c r="H52" s="25">
        <v>4</v>
      </c>
      <c r="I52" s="25">
        <v>63.96</v>
      </c>
      <c r="J52" s="25">
        <v>19.187999999999999</v>
      </c>
      <c r="K52" s="25">
        <v>1104</v>
      </c>
      <c r="L52" s="25">
        <v>1008</v>
      </c>
    </row>
    <row r="53" spans="2:12" x14ac:dyDescent="0.3">
      <c r="B53" s="25">
        <v>30673</v>
      </c>
      <c r="C53" s="30">
        <v>42293</v>
      </c>
      <c r="D53" s="31">
        <v>0.47969907407407408</v>
      </c>
      <c r="E53" s="25">
        <v>15</v>
      </c>
      <c r="F53" s="19" t="s">
        <v>152</v>
      </c>
      <c r="G53" s="25">
        <v>32.99</v>
      </c>
      <c r="H53" s="25">
        <v>5</v>
      </c>
      <c r="I53" s="25">
        <v>164.95</v>
      </c>
      <c r="J53" s="25">
        <v>32.99</v>
      </c>
      <c r="K53" s="25">
        <v>1104</v>
      </c>
      <c r="L53" s="25">
        <v>1007</v>
      </c>
    </row>
    <row r="54" spans="2:12" x14ac:dyDescent="0.3">
      <c r="B54" s="25">
        <v>71952</v>
      </c>
      <c r="C54" s="30">
        <v>42300</v>
      </c>
      <c r="D54" s="31">
        <v>0.81341435185185185</v>
      </c>
      <c r="E54" s="25">
        <v>69</v>
      </c>
      <c r="F54" s="19" t="s">
        <v>109</v>
      </c>
      <c r="G54" s="25">
        <v>12.99</v>
      </c>
      <c r="H54" s="25">
        <v>4</v>
      </c>
      <c r="I54" s="25">
        <v>51.96</v>
      </c>
      <c r="J54" s="25">
        <v>20.783999999999999</v>
      </c>
      <c r="K54" s="25">
        <v>1104</v>
      </c>
      <c r="L54" s="25">
        <v>1010</v>
      </c>
    </row>
    <row r="55" spans="2:12" x14ac:dyDescent="0.3">
      <c r="B55" s="25">
        <v>57049</v>
      </c>
      <c r="C55" s="30">
        <v>42324</v>
      </c>
      <c r="D55" s="31">
        <v>0.69445601851851857</v>
      </c>
      <c r="E55" s="25">
        <v>57</v>
      </c>
      <c r="F55" s="19" t="s">
        <v>162</v>
      </c>
      <c r="G55" s="25">
        <v>13.69</v>
      </c>
      <c r="H55" s="25">
        <v>5</v>
      </c>
      <c r="I55" s="25">
        <v>68.45</v>
      </c>
      <c r="J55" s="25">
        <v>6.8449999999999998</v>
      </c>
      <c r="K55" s="25">
        <v>1104</v>
      </c>
      <c r="L55" s="25">
        <v>1006</v>
      </c>
    </row>
    <row r="56" spans="2:12" x14ac:dyDescent="0.3">
      <c r="B56" s="25">
        <v>36108</v>
      </c>
      <c r="C56" s="30">
        <v>42327</v>
      </c>
      <c r="D56" s="31">
        <v>0.71383101851851849</v>
      </c>
      <c r="E56" s="25">
        <v>60</v>
      </c>
      <c r="F56" s="19" t="s">
        <v>97</v>
      </c>
      <c r="G56" s="25">
        <v>12.99</v>
      </c>
      <c r="H56" s="25">
        <v>1</v>
      </c>
      <c r="I56" s="25">
        <v>12.99</v>
      </c>
      <c r="J56" s="25">
        <v>1.2989999999999999</v>
      </c>
      <c r="K56" s="25">
        <v>1104</v>
      </c>
      <c r="L56" s="25">
        <v>1015</v>
      </c>
    </row>
    <row r="57" spans="2:12" x14ac:dyDescent="0.3">
      <c r="B57" s="25">
        <v>38455</v>
      </c>
      <c r="C57" s="30">
        <v>42331</v>
      </c>
      <c r="D57" s="31">
        <v>0.51646990740740739</v>
      </c>
      <c r="E57" s="25">
        <v>67</v>
      </c>
      <c r="F57" s="19" t="s">
        <v>159</v>
      </c>
      <c r="G57" s="25">
        <v>12.99</v>
      </c>
      <c r="H57" s="25">
        <v>2</v>
      </c>
      <c r="I57" s="25">
        <v>25.98</v>
      </c>
      <c r="J57" s="25">
        <v>10.391999999999999</v>
      </c>
      <c r="K57" s="25">
        <v>1104</v>
      </c>
      <c r="L57" s="25">
        <v>1013</v>
      </c>
    </row>
    <row r="58" spans="2:12" x14ac:dyDescent="0.3">
      <c r="B58" s="25">
        <v>29465</v>
      </c>
      <c r="C58" s="30">
        <v>42337</v>
      </c>
      <c r="D58" s="31">
        <v>0.77574074074074073</v>
      </c>
      <c r="E58" s="25">
        <v>57</v>
      </c>
      <c r="F58" s="19" t="s">
        <v>162</v>
      </c>
      <c r="G58" s="25">
        <v>13.69</v>
      </c>
      <c r="H58" s="25">
        <v>1</v>
      </c>
      <c r="I58" s="25">
        <v>13.69</v>
      </c>
      <c r="J58" s="25">
        <v>1.369</v>
      </c>
      <c r="K58" s="25">
        <v>1104</v>
      </c>
      <c r="L58" s="25">
        <v>1001</v>
      </c>
    </row>
    <row r="59" spans="2:12" x14ac:dyDescent="0.3">
      <c r="B59" s="25">
        <v>45835</v>
      </c>
      <c r="C59" s="30">
        <v>42345</v>
      </c>
      <c r="D59" s="31">
        <v>0.43688657407407405</v>
      </c>
      <c r="E59" s="25">
        <v>14</v>
      </c>
      <c r="F59" s="19" t="s">
        <v>115</v>
      </c>
      <c r="G59" s="25">
        <v>34.99</v>
      </c>
      <c r="H59" s="25">
        <v>1</v>
      </c>
      <c r="I59" s="25">
        <v>34.99</v>
      </c>
      <c r="J59" s="25">
        <v>6.9980000000000002</v>
      </c>
      <c r="K59" s="25">
        <v>1104</v>
      </c>
      <c r="L59" s="25">
        <v>1021</v>
      </c>
    </row>
    <row r="60" spans="2:12" x14ac:dyDescent="0.3">
      <c r="B60" s="25">
        <v>92778</v>
      </c>
      <c r="C60" s="30">
        <v>42364</v>
      </c>
      <c r="D60" s="31">
        <v>0.49693287037037037</v>
      </c>
      <c r="E60" s="25">
        <v>76</v>
      </c>
      <c r="F60" s="19" t="s">
        <v>165</v>
      </c>
      <c r="G60" s="25">
        <v>11.99</v>
      </c>
      <c r="H60" s="25">
        <v>5</v>
      </c>
      <c r="I60" s="25">
        <v>59.95</v>
      </c>
      <c r="J60" s="25">
        <v>17.984999999999999</v>
      </c>
      <c r="K60" s="25">
        <v>1104</v>
      </c>
      <c r="L60" s="25">
        <v>1003</v>
      </c>
    </row>
    <row r="61" spans="2:12" x14ac:dyDescent="0.3">
      <c r="B61" s="25">
        <v>67158</v>
      </c>
      <c r="C61" s="30">
        <v>42369</v>
      </c>
      <c r="D61" s="31">
        <v>0.42474537037037036</v>
      </c>
      <c r="E61" s="25">
        <v>95</v>
      </c>
      <c r="F61" s="19" t="s">
        <v>190</v>
      </c>
      <c r="G61" s="25">
        <v>7.49</v>
      </c>
      <c r="H61" s="25">
        <v>2</v>
      </c>
      <c r="I61" s="25">
        <v>14.98</v>
      </c>
      <c r="J61" s="25">
        <v>1.498</v>
      </c>
      <c r="K61" s="25">
        <v>1104</v>
      </c>
      <c r="L61" s="25">
        <v>1001</v>
      </c>
    </row>
    <row r="62" spans="2:12" x14ac:dyDescent="0.3">
      <c r="B62" s="25">
        <v>71480</v>
      </c>
      <c r="C62" s="30">
        <v>42388</v>
      </c>
      <c r="D62" s="31">
        <v>0.3986574074074074</v>
      </c>
      <c r="E62" s="25">
        <v>98</v>
      </c>
      <c r="F62" s="19" t="s">
        <v>195</v>
      </c>
      <c r="G62" s="25">
        <v>5.99</v>
      </c>
      <c r="H62" s="25">
        <v>3</v>
      </c>
      <c r="I62" s="25">
        <v>17.97</v>
      </c>
      <c r="J62" s="25">
        <v>5.391</v>
      </c>
      <c r="K62" s="25">
        <v>1104</v>
      </c>
      <c r="L62" s="25">
        <v>1003</v>
      </c>
    </row>
    <row r="63" spans="2:12" x14ac:dyDescent="0.3">
      <c r="B63" s="25">
        <v>18708</v>
      </c>
      <c r="C63" s="30">
        <v>42399</v>
      </c>
      <c r="D63" s="31">
        <v>0.82759259259259255</v>
      </c>
      <c r="E63" s="25">
        <v>40</v>
      </c>
      <c r="F63" s="19" t="s">
        <v>96</v>
      </c>
      <c r="G63" s="25">
        <v>17.989999999999998</v>
      </c>
      <c r="H63" s="25">
        <v>2</v>
      </c>
      <c r="I63" s="25">
        <v>35.979999999999997</v>
      </c>
      <c r="J63" s="25">
        <v>10.794</v>
      </c>
      <c r="K63" s="25">
        <v>1104</v>
      </c>
      <c r="L63" s="25">
        <v>1014</v>
      </c>
    </row>
    <row r="64" spans="2:12" x14ac:dyDescent="0.3">
      <c r="B64" s="25">
        <v>81283</v>
      </c>
      <c r="C64" s="30">
        <v>42399</v>
      </c>
      <c r="D64" s="31">
        <v>0.45795138888888887</v>
      </c>
      <c r="E64" s="25">
        <v>63</v>
      </c>
      <c r="F64" s="19" t="s">
        <v>104</v>
      </c>
      <c r="G64" s="25">
        <v>12.99</v>
      </c>
      <c r="H64" s="25">
        <v>1</v>
      </c>
      <c r="I64" s="25">
        <v>12.99</v>
      </c>
      <c r="J64" s="25">
        <v>3.8969999999999998</v>
      </c>
      <c r="K64" s="25">
        <v>1104</v>
      </c>
      <c r="L64" s="25">
        <v>1006</v>
      </c>
    </row>
    <row r="65" spans="2:12" x14ac:dyDescent="0.3">
      <c r="B65" s="25">
        <v>13178</v>
      </c>
      <c r="C65" s="30">
        <v>42400</v>
      </c>
      <c r="D65" s="31">
        <v>0.69167824074074069</v>
      </c>
      <c r="E65" s="25">
        <v>69</v>
      </c>
      <c r="F65" s="19" t="s">
        <v>109</v>
      </c>
      <c r="G65" s="25">
        <v>12.99</v>
      </c>
      <c r="H65" s="25">
        <v>1</v>
      </c>
      <c r="I65" s="25">
        <v>12.99</v>
      </c>
      <c r="J65" s="25">
        <v>5.1959999999999997</v>
      </c>
      <c r="K65" s="25">
        <v>1104</v>
      </c>
      <c r="L65" s="25">
        <v>1014</v>
      </c>
    </row>
    <row r="66" spans="2:12" x14ac:dyDescent="0.3">
      <c r="B66" s="25">
        <v>16376</v>
      </c>
      <c r="C66" s="30">
        <v>42433</v>
      </c>
      <c r="D66" s="31">
        <v>0.73045138888888894</v>
      </c>
      <c r="E66" s="25">
        <v>82</v>
      </c>
      <c r="F66" s="19" t="s">
        <v>150</v>
      </c>
      <c r="G66" s="25">
        <v>10.99</v>
      </c>
      <c r="H66" s="25">
        <v>2</v>
      </c>
      <c r="I66" s="25">
        <v>21.98</v>
      </c>
      <c r="J66" s="25">
        <v>6.5940000000000003</v>
      </c>
      <c r="K66" s="25">
        <v>1104</v>
      </c>
      <c r="L66" s="25">
        <v>1017</v>
      </c>
    </row>
    <row r="67" spans="2:12" x14ac:dyDescent="0.3">
      <c r="B67" s="25">
        <v>19334</v>
      </c>
      <c r="C67" s="30">
        <v>42441</v>
      </c>
      <c r="D67" s="31">
        <v>0.72649305555555554</v>
      </c>
      <c r="E67" s="25">
        <v>18</v>
      </c>
      <c r="F67" s="19" t="s">
        <v>166</v>
      </c>
      <c r="G67" s="25">
        <v>30.99</v>
      </c>
      <c r="H67" s="25">
        <v>3</v>
      </c>
      <c r="I67" s="25">
        <v>92.97</v>
      </c>
      <c r="J67" s="25">
        <v>27.890999999999998</v>
      </c>
      <c r="K67" s="25">
        <v>1104</v>
      </c>
      <c r="L67" s="25">
        <v>1005</v>
      </c>
    </row>
    <row r="68" spans="2:12" x14ac:dyDescent="0.3">
      <c r="B68" s="25">
        <v>31609</v>
      </c>
      <c r="C68" s="30">
        <v>42464</v>
      </c>
      <c r="D68" s="31">
        <v>0.77079861111111114</v>
      </c>
      <c r="E68" s="25">
        <v>6</v>
      </c>
      <c r="F68" s="19" t="s">
        <v>111</v>
      </c>
      <c r="G68" s="25">
        <v>46.99</v>
      </c>
      <c r="H68" s="25">
        <v>4</v>
      </c>
      <c r="I68" s="25">
        <v>187.96</v>
      </c>
      <c r="J68" s="25">
        <v>18.795999999999999</v>
      </c>
      <c r="K68" s="25">
        <v>1104</v>
      </c>
      <c r="L68" s="25">
        <v>1004</v>
      </c>
    </row>
    <row r="69" spans="2:12" x14ac:dyDescent="0.3">
      <c r="B69" s="25">
        <v>66386</v>
      </c>
      <c r="C69" s="30">
        <v>42467</v>
      </c>
      <c r="D69" s="31">
        <v>0.64975694444444443</v>
      </c>
      <c r="E69" s="25">
        <v>41</v>
      </c>
      <c r="F69" s="19" t="s">
        <v>122</v>
      </c>
      <c r="G69" s="25">
        <v>17.39</v>
      </c>
      <c r="H69" s="25">
        <v>4</v>
      </c>
      <c r="I69" s="25">
        <v>69.56</v>
      </c>
      <c r="J69" s="25">
        <v>6.9560000000000004</v>
      </c>
      <c r="K69" s="25">
        <v>1104</v>
      </c>
      <c r="L69" s="25">
        <v>1010</v>
      </c>
    </row>
    <row r="70" spans="2:12" x14ac:dyDescent="0.3">
      <c r="B70" s="25">
        <v>99447</v>
      </c>
      <c r="C70" s="30">
        <v>42477</v>
      </c>
      <c r="D70" s="31">
        <v>0.50039351851851854</v>
      </c>
      <c r="E70" s="25">
        <v>37</v>
      </c>
      <c r="F70" s="19" t="s">
        <v>141</v>
      </c>
      <c r="G70" s="25">
        <v>19.989999999999998</v>
      </c>
      <c r="H70" s="25">
        <v>2</v>
      </c>
      <c r="I70" s="25">
        <v>39.979999999999997</v>
      </c>
      <c r="J70" s="25">
        <v>3.9980000000000002</v>
      </c>
      <c r="K70" s="25">
        <v>1104</v>
      </c>
      <c r="L70" s="25">
        <v>1017</v>
      </c>
    </row>
    <row r="71" spans="2:12" x14ac:dyDescent="0.3">
      <c r="B71" s="25">
        <v>16680</v>
      </c>
      <c r="C71" s="30">
        <v>42487</v>
      </c>
      <c r="D71" s="31">
        <v>0.5725231481481482</v>
      </c>
      <c r="E71" s="25">
        <v>44</v>
      </c>
      <c r="F71" s="19" t="s">
        <v>117</v>
      </c>
      <c r="G71" s="25">
        <v>16.989999999999998</v>
      </c>
      <c r="H71" s="25">
        <v>4</v>
      </c>
      <c r="I71" s="25">
        <v>67.959999999999994</v>
      </c>
      <c r="J71" s="25">
        <v>20.388000000000002</v>
      </c>
      <c r="K71" s="25">
        <v>1104</v>
      </c>
      <c r="L71" s="25">
        <v>1012</v>
      </c>
    </row>
    <row r="72" spans="2:12" x14ac:dyDescent="0.3">
      <c r="B72" s="25">
        <v>10579</v>
      </c>
      <c r="C72" s="30">
        <v>42540</v>
      </c>
      <c r="D72" s="31">
        <v>0.76273148148148151</v>
      </c>
      <c r="E72" s="25">
        <v>21</v>
      </c>
      <c r="F72" s="19" t="s">
        <v>139</v>
      </c>
      <c r="G72" s="25">
        <v>25.99</v>
      </c>
      <c r="H72" s="25">
        <v>5</v>
      </c>
      <c r="I72" s="25">
        <v>129.94999999999999</v>
      </c>
      <c r="J72" s="25">
        <v>12.994999999999999</v>
      </c>
      <c r="K72" s="25">
        <v>1104</v>
      </c>
      <c r="L72" s="25">
        <v>1021</v>
      </c>
    </row>
    <row r="73" spans="2:12" x14ac:dyDescent="0.3">
      <c r="B73" s="25">
        <v>76845</v>
      </c>
      <c r="C73" s="30">
        <v>42583</v>
      </c>
      <c r="D73" s="31">
        <v>0.50693287037037038</v>
      </c>
      <c r="E73" s="25">
        <v>95</v>
      </c>
      <c r="F73" s="19" t="s">
        <v>190</v>
      </c>
      <c r="G73" s="25">
        <v>7.49</v>
      </c>
      <c r="H73" s="25">
        <v>3</v>
      </c>
      <c r="I73" s="25">
        <v>22.47</v>
      </c>
      <c r="J73" s="25">
        <v>2.2469999999999999</v>
      </c>
      <c r="K73" s="25">
        <v>1104</v>
      </c>
      <c r="L73" s="25">
        <v>1003</v>
      </c>
    </row>
    <row r="74" spans="2:12" x14ac:dyDescent="0.3">
      <c r="B74" s="25">
        <v>87028</v>
      </c>
      <c r="C74" s="30">
        <v>42584</v>
      </c>
      <c r="D74" s="31">
        <v>0.34813657407407406</v>
      </c>
      <c r="E74" s="25">
        <v>57</v>
      </c>
      <c r="F74" s="19" t="s">
        <v>162</v>
      </c>
      <c r="G74" s="25">
        <v>13.69</v>
      </c>
      <c r="H74" s="25">
        <v>2</v>
      </c>
      <c r="I74" s="25">
        <v>27.38</v>
      </c>
      <c r="J74" s="25">
        <v>2.738</v>
      </c>
      <c r="K74" s="25">
        <v>1104</v>
      </c>
      <c r="L74" s="25">
        <v>1002</v>
      </c>
    </row>
    <row r="75" spans="2:12" x14ac:dyDescent="0.3">
      <c r="B75" s="25">
        <v>18704</v>
      </c>
      <c r="C75" s="30">
        <v>42585</v>
      </c>
      <c r="D75" s="31">
        <v>0.70300925925925928</v>
      </c>
      <c r="E75" s="25">
        <v>5</v>
      </c>
      <c r="F75" s="19" t="s">
        <v>149</v>
      </c>
      <c r="G75" s="25">
        <v>46.99</v>
      </c>
      <c r="H75" s="25">
        <v>3</v>
      </c>
      <c r="I75" s="25">
        <v>140.97</v>
      </c>
      <c r="J75" s="25">
        <v>28.193999999999999</v>
      </c>
      <c r="K75" s="25">
        <v>1104</v>
      </c>
      <c r="L75" s="25">
        <v>1017</v>
      </c>
    </row>
    <row r="76" spans="2:12" x14ac:dyDescent="0.3">
      <c r="B76" s="25">
        <v>32540</v>
      </c>
      <c r="C76" s="30">
        <v>42592</v>
      </c>
      <c r="D76" s="31">
        <v>0.36077546296296298</v>
      </c>
      <c r="E76" s="25">
        <v>5</v>
      </c>
      <c r="F76" s="19" t="s">
        <v>149</v>
      </c>
      <c r="G76" s="25">
        <v>46.99</v>
      </c>
      <c r="H76" s="25">
        <v>2</v>
      </c>
      <c r="I76" s="25">
        <v>93.98</v>
      </c>
      <c r="J76" s="25">
        <v>18.795999999999999</v>
      </c>
      <c r="K76" s="25">
        <v>1104</v>
      </c>
      <c r="L76" s="25">
        <v>1009</v>
      </c>
    </row>
    <row r="77" spans="2:12" x14ac:dyDescent="0.3">
      <c r="B77" s="25">
        <v>90197</v>
      </c>
      <c r="C77" s="30">
        <v>42600</v>
      </c>
      <c r="D77" s="31">
        <v>0.61464120370370368</v>
      </c>
      <c r="E77" s="25">
        <v>74</v>
      </c>
      <c r="F77" s="19" t="s">
        <v>118</v>
      </c>
      <c r="G77" s="25">
        <v>11.99</v>
      </c>
      <c r="H77" s="25">
        <v>2</v>
      </c>
      <c r="I77" s="25">
        <v>23.98</v>
      </c>
      <c r="J77" s="25">
        <v>7.194</v>
      </c>
      <c r="K77" s="25">
        <v>1104</v>
      </c>
      <c r="L77" s="25">
        <v>1004</v>
      </c>
    </row>
    <row r="78" spans="2:12" x14ac:dyDescent="0.3">
      <c r="B78" s="25">
        <v>28583</v>
      </c>
      <c r="C78" s="30">
        <v>42611</v>
      </c>
      <c r="D78" s="31">
        <v>0.72468750000000004</v>
      </c>
      <c r="E78" s="25">
        <v>27</v>
      </c>
      <c r="F78" s="19" t="s">
        <v>146</v>
      </c>
      <c r="G78" s="25">
        <v>23.99</v>
      </c>
      <c r="H78" s="25">
        <v>2</v>
      </c>
      <c r="I78" s="25">
        <v>47.98</v>
      </c>
      <c r="J78" s="25">
        <v>19.192</v>
      </c>
      <c r="K78" s="25">
        <v>1104</v>
      </c>
      <c r="L78" s="25">
        <v>1001</v>
      </c>
    </row>
    <row r="79" spans="2:12" x14ac:dyDescent="0.3">
      <c r="B79" s="25">
        <v>51521</v>
      </c>
      <c r="C79" s="30">
        <v>42648</v>
      </c>
      <c r="D79" s="31">
        <v>0.41363425925925928</v>
      </c>
      <c r="E79" s="25">
        <v>33</v>
      </c>
      <c r="F79" s="19" t="s">
        <v>131</v>
      </c>
      <c r="G79" s="25">
        <v>20.99</v>
      </c>
      <c r="H79" s="25">
        <v>3</v>
      </c>
      <c r="I79" s="25">
        <v>62.97</v>
      </c>
      <c r="J79" s="25">
        <v>12.593999999999999</v>
      </c>
      <c r="K79" s="25">
        <v>1104</v>
      </c>
      <c r="L79" s="25">
        <v>1014</v>
      </c>
    </row>
    <row r="80" spans="2:12" x14ac:dyDescent="0.3">
      <c r="B80" s="25">
        <v>30479</v>
      </c>
      <c r="C80" s="30">
        <v>42710</v>
      </c>
      <c r="D80" s="31">
        <v>0.79256944444444444</v>
      </c>
      <c r="E80" s="25">
        <v>96</v>
      </c>
      <c r="F80" s="19" t="s">
        <v>164</v>
      </c>
      <c r="G80" s="25">
        <v>6.19</v>
      </c>
      <c r="H80" s="25">
        <v>1</v>
      </c>
      <c r="I80" s="25">
        <v>6.19</v>
      </c>
      <c r="J80" s="25">
        <v>0.61899999999999999</v>
      </c>
      <c r="K80" s="25">
        <v>1104</v>
      </c>
      <c r="L80" s="25">
        <v>1002</v>
      </c>
    </row>
    <row r="81" spans="2:12" x14ac:dyDescent="0.3">
      <c r="B81" s="25">
        <v>14225</v>
      </c>
      <c r="C81" s="30">
        <v>42718</v>
      </c>
      <c r="D81" s="31">
        <v>0.3374537037037037</v>
      </c>
      <c r="E81" s="25">
        <v>49</v>
      </c>
      <c r="F81" s="19" t="s">
        <v>142</v>
      </c>
      <c r="G81" s="25">
        <v>15.99</v>
      </c>
      <c r="H81" s="25">
        <v>1</v>
      </c>
      <c r="I81" s="25">
        <v>15.99</v>
      </c>
      <c r="J81" s="25">
        <v>1.599</v>
      </c>
      <c r="K81" s="25">
        <v>1104</v>
      </c>
      <c r="L81" s="25">
        <v>1021</v>
      </c>
    </row>
    <row r="82" spans="2:12" x14ac:dyDescent="0.3">
      <c r="B82" s="25">
        <v>43889</v>
      </c>
      <c r="C82" s="30">
        <v>42739</v>
      </c>
      <c r="D82" s="31">
        <v>0.54049768518518515</v>
      </c>
      <c r="E82" s="25">
        <v>80</v>
      </c>
      <c r="F82" s="19" t="s">
        <v>192</v>
      </c>
      <c r="G82" s="25">
        <v>10.99</v>
      </c>
      <c r="H82" s="25">
        <v>2</v>
      </c>
      <c r="I82" s="25">
        <v>21.98</v>
      </c>
      <c r="J82" s="25">
        <v>6.5940000000000003</v>
      </c>
      <c r="K82" s="25">
        <v>1104</v>
      </c>
      <c r="L82" s="25">
        <v>1015</v>
      </c>
    </row>
    <row r="83" spans="2:12" x14ac:dyDescent="0.3">
      <c r="B83" s="25">
        <v>46340</v>
      </c>
      <c r="C83" s="30">
        <v>42743</v>
      </c>
      <c r="D83" s="31">
        <v>0.75655092592592588</v>
      </c>
      <c r="E83" s="25">
        <v>80</v>
      </c>
      <c r="F83" s="19" t="s">
        <v>192</v>
      </c>
      <c r="G83" s="25">
        <v>10.99</v>
      </c>
      <c r="H83" s="25">
        <v>5</v>
      </c>
      <c r="I83" s="25">
        <v>54.95</v>
      </c>
      <c r="J83" s="25">
        <v>16.484999999999999</v>
      </c>
      <c r="K83" s="25">
        <v>1104</v>
      </c>
      <c r="L83" s="25">
        <v>1003</v>
      </c>
    </row>
    <row r="84" spans="2:12" x14ac:dyDescent="0.3">
      <c r="B84" s="25">
        <v>97019</v>
      </c>
      <c r="C84" s="30">
        <v>42784</v>
      </c>
      <c r="D84" s="31">
        <v>0.41028935185185184</v>
      </c>
      <c r="E84" s="25">
        <v>17</v>
      </c>
      <c r="F84" s="19" t="s">
        <v>126</v>
      </c>
      <c r="G84" s="25">
        <v>30.99</v>
      </c>
      <c r="H84" s="25">
        <v>1</v>
      </c>
      <c r="I84" s="25">
        <v>30.99</v>
      </c>
      <c r="J84" s="25">
        <v>9.2970000000000006</v>
      </c>
      <c r="K84" s="25">
        <v>1104</v>
      </c>
      <c r="L84" s="25">
        <v>1016</v>
      </c>
    </row>
    <row r="85" spans="2:12" x14ac:dyDescent="0.3">
      <c r="B85" s="25">
        <v>46288</v>
      </c>
      <c r="C85" s="30">
        <v>42814</v>
      </c>
      <c r="D85" s="31">
        <v>0.34042824074074074</v>
      </c>
      <c r="E85" s="25">
        <v>51</v>
      </c>
      <c r="F85" s="19" t="s">
        <v>178</v>
      </c>
      <c r="G85" s="25">
        <v>14.99</v>
      </c>
      <c r="H85" s="25">
        <v>1</v>
      </c>
      <c r="I85" s="25">
        <v>14.99</v>
      </c>
      <c r="J85" s="25">
        <v>1.4990000000000001</v>
      </c>
      <c r="K85" s="25">
        <v>1104</v>
      </c>
      <c r="L85" s="25">
        <v>1010</v>
      </c>
    </row>
    <row r="86" spans="2:12" x14ac:dyDescent="0.3">
      <c r="B86" s="25">
        <v>44787</v>
      </c>
      <c r="C86" s="30">
        <v>42835</v>
      </c>
      <c r="D86" s="31">
        <v>0.70187500000000003</v>
      </c>
      <c r="E86" s="25">
        <v>55</v>
      </c>
      <c r="F86" s="19" t="s">
        <v>88</v>
      </c>
      <c r="G86" s="25">
        <v>14.49</v>
      </c>
      <c r="H86" s="25">
        <v>3</v>
      </c>
      <c r="I86" s="25">
        <v>43.47</v>
      </c>
      <c r="J86" s="25">
        <v>4.3470000000000004</v>
      </c>
      <c r="K86" s="25">
        <v>1104</v>
      </c>
      <c r="L86" s="25">
        <v>1005</v>
      </c>
    </row>
    <row r="87" spans="2:12" x14ac:dyDescent="0.3">
      <c r="B87" s="25">
        <v>29949</v>
      </c>
      <c r="C87" s="30">
        <v>42845</v>
      </c>
      <c r="D87" s="31">
        <v>0.59502314814814816</v>
      </c>
      <c r="E87" s="25">
        <v>75</v>
      </c>
      <c r="F87" s="19" t="s">
        <v>163</v>
      </c>
      <c r="G87" s="25">
        <v>11.99</v>
      </c>
      <c r="H87" s="25">
        <v>4</v>
      </c>
      <c r="I87" s="25">
        <v>47.96</v>
      </c>
      <c r="J87" s="25">
        <v>14.388</v>
      </c>
      <c r="K87" s="25">
        <v>1104</v>
      </c>
      <c r="L87" s="25">
        <v>1015</v>
      </c>
    </row>
    <row r="88" spans="2:12" x14ac:dyDescent="0.3">
      <c r="B88" s="25">
        <v>41952</v>
      </c>
      <c r="C88" s="30">
        <v>42871</v>
      </c>
      <c r="D88" s="31">
        <v>0.76984953703703707</v>
      </c>
      <c r="E88" s="25">
        <v>13</v>
      </c>
      <c r="F88" s="19" t="s">
        <v>72</v>
      </c>
      <c r="G88" s="25">
        <v>36.99</v>
      </c>
      <c r="H88" s="25">
        <v>3</v>
      </c>
      <c r="I88" s="25">
        <v>110.97</v>
      </c>
      <c r="J88" s="25">
        <v>33.290999999999997</v>
      </c>
      <c r="K88" s="25">
        <v>1104</v>
      </c>
      <c r="L88" s="25">
        <v>1020</v>
      </c>
    </row>
    <row r="89" spans="2:12" x14ac:dyDescent="0.3">
      <c r="B89" s="25">
        <v>97430</v>
      </c>
      <c r="C89" s="30">
        <v>42871</v>
      </c>
      <c r="D89" s="31">
        <v>0.44818287037037036</v>
      </c>
      <c r="E89" s="25">
        <v>19</v>
      </c>
      <c r="F89" s="19" t="s">
        <v>147</v>
      </c>
      <c r="G89" s="25">
        <v>29.99</v>
      </c>
      <c r="H89" s="25">
        <v>2</v>
      </c>
      <c r="I89" s="25">
        <v>59.98</v>
      </c>
      <c r="J89" s="25">
        <v>17.994</v>
      </c>
      <c r="K89" s="25">
        <v>1104</v>
      </c>
      <c r="L89" s="25">
        <v>1003</v>
      </c>
    </row>
    <row r="90" spans="2:12" x14ac:dyDescent="0.3">
      <c r="B90" s="25">
        <v>23533</v>
      </c>
      <c r="C90" s="30">
        <v>42876</v>
      </c>
      <c r="D90" s="31">
        <v>0.50438657407407406</v>
      </c>
      <c r="E90" s="25">
        <v>30</v>
      </c>
      <c r="F90" s="19" t="s">
        <v>73</v>
      </c>
      <c r="G90" s="25">
        <v>22.99</v>
      </c>
      <c r="H90" s="25">
        <v>2</v>
      </c>
      <c r="I90" s="25">
        <v>45.98</v>
      </c>
      <c r="J90" s="25">
        <v>13.794</v>
      </c>
      <c r="K90" s="25">
        <v>1104</v>
      </c>
      <c r="L90" s="25">
        <v>1007</v>
      </c>
    </row>
    <row r="91" spans="2:12" x14ac:dyDescent="0.3">
      <c r="B91" s="25">
        <v>25612</v>
      </c>
      <c r="C91" s="30">
        <v>42901</v>
      </c>
      <c r="D91" s="31">
        <v>0.45564814814814814</v>
      </c>
      <c r="E91" s="25">
        <v>17</v>
      </c>
      <c r="F91" s="19" t="s">
        <v>126</v>
      </c>
      <c r="G91" s="25">
        <v>30.99</v>
      </c>
      <c r="H91" s="25">
        <v>1</v>
      </c>
      <c r="I91" s="25">
        <v>30.99</v>
      </c>
      <c r="J91" s="25">
        <v>9.2970000000000006</v>
      </c>
      <c r="K91" s="25">
        <v>1104</v>
      </c>
      <c r="L91" s="25">
        <v>1010</v>
      </c>
    </row>
    <row r="92" spans="2:12" x14ac:dyDescent="0.3">
      <c r="B92" s="25">
        <v>36483</v>
      </c>
      <c r="C92" s="30">
        <v>42905</v>
      </c>
      <c r="D92" s="31">
        <v>0.54310185185185189</v>
      </c>
      <c r="E92" s="25">
        <v>5</v>
      </c>
      <c r="F92" s="19" t="s">
        <v>149</v>
      </c>
      <c r="G92" s="25">
        <v>46.99</v>
      </c>
      <c r="H92" s="25">
        <v>3</v>
      </c>
      <c r="I92" s="25">
        <v>140.97</v>
      </c>
      <c r="J92" s="25">
        <v>28.193999999999999</v>
      </c>
      <c r="K92" s="25">
        <v>1104</v>
      </c>
      <c r="L92" s="25">
        <v>1003</v>
      </c>
    </row>
    <row r="93" spans="2:12" x14ac:dyDescent="0.3">
      <c r="B93" s="25">
        <v>86735</v>
      </c>
      <c r="C93" s="30">
        <v>42919</v>
      </c>
      <c r="D93" s="31">
        <v>0.37442129629629628</v>
      </c>
      <c r="E93" s="25">
        <v>29</v>
      </c>
      <c r="F93" s="19" t="s">
        <v>182</v>
      </c>
      <c r="G93" s="25">
        <v>22.99</v>
      </c>
      <c r="H93" s="25">
        <v>2</v>
      </c>
      <c r="I93" s="25">
        <v>45.98</v>
      </c>
      <c r="J93" s="25">
        <v>13.794</v>
      </c>
      <c r="K93" s="25">
        <v>1104</v>
      </c>
      <c r="L93" s="25">
        <v>1010</v>
      </c>
    </row>
    <row r="94" spans="2:12" x14ac:dyDescent="0.3">
      <c r="B94" s="25">
        <v>67153</v>
      </c>
      <c r="C94" s="30">
        <v>42923</v>
      </c>
      <c r="D94" s="31">
        <v>0.52744212962962966</v>
      </c>
      <c r="E94" s="25">
        <v>94</v>
      </c>
      <c r="F94" s="19" t="s">
        <v>93</v>
      </c>
      <c r="G94" s="25">
        <v>7.49</v>
      </c>
      <c r="H94" s="25">
        <v>4</v>
      </c>
      <c r="I94" s="25">
        <v>29.96</v>
      </c>
      <c r="J94" s="25">
        <v>2.996</v>
      </c>
      <c r="K94" s="25">
        <v>1104</v>
      </c>
      <c r="L94" s="25">
        <v>1013</v>
      </c>
    </row>
    <row r="95" spans="2:12" x14ac:dyDescent="0.3">
      <c r="B95" s="25">
        <v>78268</v>
      </c>
      <c r="C95" s="30">
        <v>42945</v>
      </c>
      <c r="D95" s="31">
        <v>0.7721527777777778</v>
      </c>
      <c r="E95" s="25">
        <v>56</v>
      </c>
      <c r="F95" s="19" t="s">
        <v>133</v>
      </c>
      <c r="G95" s="25">
        <v>13.99</v>
      </c>
      <c r="H95" s="25">
        <v>3</v>
      </c>
      <c r="I95" s="25">
        <v>41.97</v>
      </c>
      <c r="J95" s="25">
        <v>12.590999999999999</v>
      </c>
      <c r="K95" s="25">
        <v>1104</v>
      </c>
      <c r="L95" s="25">
        <v>1014</v>
      </c>
    </row>
    <row r="96" spans="2:12" x14ac:dyDescent="0.3">
      <c r="B96" s="25">
        <v>15140</v>
      </c>
      <c r="C96" s="30">
        <v>42971</v>
      </c>
      <c r="D96" s="31">
        <v>0.52358796296296295</v>
      </c>
      <c r="E96" s="25">
        <v>38</v>
      </c>
      <c r="F96" s="19" t="s">
        <v>112</v>
      </c>
      <c r="G96" s="25">
        <v>19.989999999999998</v>
      </c>
      <c r="H96" s="25">
        <v>2</v>
      </c>
      <c r="I96" s="25">
        <v>39.979999999999997</v>
      </c>
      <c r="J96" s="25">
        <v>11.994</v>
      </c>
      <c r="K96" s="25">
        <v>1104</v>
      </c>
      <c r="L96" s="25">
        <v>1016</v>
      </c>
    </row>
    <row r="97" spans="2:12" x14ac:dyDescent="0.3">
      <c r="B97" s="25">
        <v>62118</v>
      </c>
      <c r="C97" s="30">
        <v>42972</v>
      </c>
      <c r="D97" s="31">
        <v>0.7424074074074074</v>
      </c>
      <c r="E97" s="25">
        <v>8</v>
      </c>
      <c r="F97" s="19" t="s">
        <v>89</v>
      </c>
      <c r="G97" s="25">
        <v>44.99</v>
      </c>
      <c r="H97" s="25">
        <v>2</v>
      </c>
      <c r="I97" s="25">
        <v>89.98</v>
      </c>
      <c r="J97" s="25">
        <v>8.9979999999999993</v>
      </c>
      <c r="K97" s="25">
        <v>1104</v>
      </c>
      <c r="L97" s="25">
        <v>1010</v>
      </c>
    </row>
    <row r="98" spans="2:12" x14ac:dyDescent="0.3">
      <c r="B98" s="25">
        <v>77372</v>
      </c>
      <c r="C98" s="30">
        <v>42978</v>
      </c>
      <c r="D98" s="31">
        <v>0.78956018518518523</v>
      </c>
      <c r="E98" s="25">
        <v>7</v>
      </c>
      <c r="F98" s="19" t="s">
        <v>177</v>
      </c>
      <c r="G98" s="25">
        <v>45.99</v>
      </c>
      <c r="H98" s="25">
        <v>3</v>
      </c>
      <c r="I98" s="25">
        <v>137.97</v>
      </c>
      <c r="J98" s="25">
        <v>41.390999999999998</v>
      </c>
      <c r="K98" s="25">
        <v>1104</v>
      </c>
      <c r="L98" s="25">
        <v>1003</v>
      </c>
    </row>
    <row r="99" spans="2:12" x14ac:dyDescent="0.3">
      <c r="B99" s="25">
        <v>64223</v>
      </c>
      <c r="C99" s="30">
        <v>42983</v>
      </c>
      <c r="D99" s="31">
        <v>0.79178240740740746</v>
      </c>
      <c r="E99" s="25">
        <v>5</v>
      </c>
      <c r="F99" s="19" t="s">
        <v>149</v>
      </c>
      <c r="G99" s="25">
        <v>46.99</v>
      </c>
      <c r="H99" s="25">
        <v>3</v>
      </c>
      <c r="I99" s="25">
        <v>140.97</v>
      </c>
      <c r="J99" s="25">
        <v>28.193999999999999</v>
      </c>
      <c r="K99" s="25">
        <v>1104</v>
      </c>
      <c r="L99" s="25">
        <v>1010</v>
      </c>
    </row>
    <row r="100" spans="2:12" x14ac:dyDescent="0.3">
      <c r="B100" s="25">
        <v>93957</v>
      </c>
      <c r="C100" s="30">
        <v>42999</v>
      </c>
      <c r="D100" s="31">
        <v>0.48061342592592593</v>
      </c>
      <c r="E100" s="25">
        <v>70</v>
      </c>
      <c r="F100" s="19" t="s">
        <v>138</v>
      </c>
      <c r="G100" s="25">
        <v>12.69</v>
      </c>
      <c r="H100" s="25">
        <v>2</v>
      </c>
      <c r="I100" s="25">
        <v>25.38</v>
      </c>
      <c r="J100" s="25">
        <v>2.5379999999999998</v>
      </c>
      <c r="K100" s="25">
        <v>1104</v>
      </c>
      <c r="L100" s="25">
        <v>1006</v>
      </c>
    </row>
    <row r="101" spans="2:12" x14ac:dyDescent="0.3">
      <c r="B101" s="25">
        <v>39585</v>
      </c>
      <c r="C101" s="30">
        <v>43003</v>
      </c>
      <c r="D101" s="31">
        <v>0.37928240740740743</v>
      </c>
      <c r="E101" s="25">
        <v>79</v>
      </c>
      <c r="F101" s="19" t="s">
        <v>155</v>
      </c>
      <c r="G101" s="25">
        <v>11.49</v>
      </c>
      <c r="H101" s="25">
        <v>5</v>
      </c>
      <c r="I101" s="25">
        <v>57.45</v>
      </c>
      <c r="J101" s="25">
        <v>11.49</v>
      </c>
      <c r="K101" s="25">
        <v>1104</v>
      </c>
      <c r="L101" s="25">
        <v>1019</v>
      </c>
    </row>
    <row r="102" spans="2:12" x14ac:dyDescent="0.3">
      <c r="B102" s="25">
        <v>43842</v>
      </c>
      <c r="C102" s="30">
        <v>43030</v>
      </c>
      <c r="D102" s="31">
        <v>0.45614583333333331</v>
      </c>
      <c r="E102" s="25">
        <v>89</v>
      </c>
      <c r="F102" s="19" t="s">
        <v>103</v>
      </c>
      <c r="G102" s="25">
        <v>8.49</v>
      </c>
      <c r="H102" s="25">
        <v>3</v>
      </c>
      <c r="I102" s="25">
        <v>25.47</v>
      </c>
      <c r="J102" s="25">
        <v>2.5470000000000002</v>
      </c>
      <c r="K102" s="25">
        <v>1104</v>
      </c>
      <c r="L102" s="25">
        <v>1000</v>
      </c>
    </row>
    <row r="103" spans="2:12" x14ac:dyDescent="0.3">
      <c r="B103" s="25">
        <v>90969</v>
      </c>
      <c r="C103" s="30">
        <v>43074</v>
      </c>
      <c r="D103" s="31">
        <v>0.58888888888888891</v>
      </c>
      <c r="E103" s="25">
        <v>66</v>
      </c>
      <c r="F103" s="19" t="s">
        <v>168</v>
      </c>
      <c r="G103" s="25">
        <v>12.99</v>
      </c>
      <c r="H103" s="25">
        <v>1</v>
      </c>
      <c r="I103" s="25">
        <v>12.99</v>
      </c>
      <c r="J103" s="25">
        <v>3.8969999999999998</v>
      </c>
      <c r="K103" s="25">
        <v>1104</v>
      </c>
      <c r="L103" s="25">
        <v>1005</v>
      </c>
    </row>
    <row r="104" spans="2:12" x14ac:dyDescent="0.3">
      <c r="B104" s="25">
        <v>72348</v>
      </c>
      <c r="C104" s="30">
        <v>43076</v>
      </c>
      <c r="D104" s="31">
        <v>0.67071759259259256</v>
      </c>
      <c r="E104" s="25">
        <v>43</v>
      </c>
      <c r="F104" s="19" t="s">
        <v>75</v>
      </c>
      <c r="G104" s="25">
        <v>16.989999999999998</v>
      </c>
      <c r="H104" s="25">
        <v>5</v>
      </c>
      <c r="I104" s="25">
        <v>84.95</v>
      </c>
      <c r="J104" s="25">
        <v>25.484999999999999</v>
      </c>
      <c r="K104" s="25">
        <v>1104</v>
      </c>
      <c r="L104" s="25">
        <v>1018</v>
      </c>
    </row>
    <row r="105" spans="2:12" x14ac:dyDescent="0.3">
      <c r="B105" s="25">
        <v>51159</v>
      </c>
      <c r="C105" s="30">
        <v>43079</v>
      </c>
      <c r="D105" s="31">
        <v>0.47528935185185184</v>
      </c>
      <c r="E105" s="25">
        <v>6</v>
      </c>
      <c r="F105" s="19" t="s">
        <v>111</v>
      </c>
      <c r="G105" s="25">
        <v>46.99</v>
      </c>
      <c r="H105" s="25">
        <v>4</v>
      </c>
      <c r="I105" s="25">
        <v>187.96</v>
      </c>
      <c r="J105" s="25">
        <v>18.795999999999999</v>
      </c>
      <c r="K105" s="25">
        <v>1104</v>
      </c>
      <c r="L105" s="25">
        <v>1009</v>
      </c>
    </row>
    <row r="106" spans="2:12" x14ac:dyDescent="0.3">
      <c r="B106" s="25">
        <v>29092</v>
      </c>
      <c r="C106" s="30">
        <v>43082</v>
      </c>
      <c r="D106" s="31">
        <v>0.4372800925925926</v>
      </c>
      <c r="E106" s="25">
        <v>30</v>
      </c>
      <c r="F106" s="19" t="s">
        <v>73</v>
      </c>
      <c r="G106" s="25">
        <v>22.99</v>
      </c>
      <c r="H106" s="25">
        <v>3</v>
      </c>
      <c r="I106" s="25">
        <v>68.97</v>
      </c>
      <c r="J106" s="25">
        <v>20.690999999999999</v>
      </c>
      <c r="K106" s="25">
        <v>1104</v>
      </c>
      <c r="L106" s="25">
        <v>1014</v>
      </c>
    </row>
    <row r="107" spans="2:12" x14ac:dyDescent="0.3">
      <c r="B107" s="25">
        <v>69956</v>
      </c>
      <c r="C107" s="30">
        <v>43086</v>
      </c>
      <c r="D107" s="31">
        <v>0.57093749999999999</v>
      </c>
      <c r="E107" s="25">
        <v>42</v>
      </c>
      <c r="F107" s="19" t="s">
        <v>119</v>
      </c>
      <c r="G107" s="25">
        <v>16.989999999999998</v>
      </c>
      <c r="H107" s="25">
        <v>5</v>
      </c>
      <c r="I107" s="25">
        <v>84.95</v>
      </c>
      <c r="J107" s="25">
        <v>33.979999999999997</v>
      </c>
      <c r="K107" s="25">
        <v>1104</v>
      </c>
      <c r="L107" s="25">
        <v>1017</v>
      </c>
    </row>
    <row r="108" spans="2:12" x14ac:dyDescent="0.3">
      <c r="B108" s="25">
        <v>20312</v>
      </c>
      <c r="C108" s="30">
        <v>43090</v>
      </c>
      <c r="D108" s="31">
        <v>0.65971064814814817</v>
      </c>
      <c r="E108" s="25">
        <v>96</v>
      </c>
      <c r="F108" s="19" t="s">
        <v>164</v>
      </c>
      <c r="G108" s="25">
        <v>6.19</v>
      </c>
      <c r="H108" s="25">
        <v>5</v>
      </c>
      <c r="I108" s="25">
        <v>30.95</v>
      </c>
      <c r="J108" s="25">
        <v>3.0950000000000002</v>
      </c>
      <c r="K108" s="25">
        <v>1104</v>
      </c>
      <c r="L108" s="25">
        <v>1021</v>
      </c>
    </row>
    <row r="109" spans="2:12" x14ac:dyDescent="0.3">
      <c r="B109" s="25">
        <v>92294</v>
      </c>
      <c r="C109" s="30">
        <v>43107</v>
      </c>
      <c r="D109" s="31">
        <v>0.46747685185185184</v>
      </c>
      <c r="E109" s="25">
        <v>49</v>
      </c>
      <c r="F109" s="19" t="s">
        <v>142</v>
      </c>
      <c r="G109" s="25">
        <v>15.99</v>
      </c>
      <c r="H109" s="25">
        <v>3</v>
      </c>
      <c r="I109" s="25">
        <v>47.97</v>
      </c>
      <c r="J109" s="25">
        <v>4.7969999999999997</v>
      </c>
      <c r="K109" s="25">
        <v>1104</v>
      </c>
      <c r="L109" s="25">
        <v>1013</v>
      </c>
    </row>
    <row r="110" spans="2:12" x14ac:dyDescent="0.3">
      <c r="B110" s="25">
        <v>29817</v>
      </c>
      <c r="C110" s="30">
        <v>43122</v>
      </c>
      <c r="D110" s="31">
        <v>0.8037037037037037</v>
      </c>
      <c r="E110" s="25">
        <v>95</v>
      </c>
      <c r="F110" s="19" t="s">
        <v>190</v>
      </c>
      <c r="G110" s="25">
        <v>7.49</v>
      </c>
      <c r="H110" s="25">
        <v>1</v>
      </c>
      <c r="I110" s="25">
        <v>7.49</v>
      </c>
      <c r="J110" s="25">
        <v>0.749</v>
      </c>
      <c r="K110" s="25">
        <v>1104</v>
      </c>
      <c r="L110" s="25">
        <v>1016</v>
      </c>
    </row>
    <row r="111" spans="2:12" x14ac:dyDescent="0.3">
      <c r="B111" s="25">
        <v>62466</v>
      </c>
      <c r="C111" s="30">
        <v>43143</v>
      </c>
      <c r="D111" s="31">
        <v>0.6272685185185185</v>
      </c>
      <c r="E111" s="25">
        <v>25</v>
      </c>
      <c r="F111" s="19" t="s">
        <v>143</v>
      </c>
      <c r="G111" s="25">
        <v>23.99</v>
      </c>
      <c r="H111" s="25">
        <v>1</v>
      </c>
      <c r="I111" s="25">
        <v>23.99</v>
      </c>
      <c r="J111" s="25">
        <v>7.1970000000000001</v>
      </c>
      <c r="K111" s="25">
        <v>1104</v>
      </c>
      <c r="L111" s="25">
        <v>1008</v>
      </c>
    </row>
    <row r="112" spans="2:12" x14ac:dyDescent="0.3">
      <c r="B112" s="25">
        <v>88428</v>
      </c>
      <c r="C112" s="30">
        <v>43143</v>
      </c>
      <c r="D112" s="31">
        <v>0.64357638888888891</v>
      </c>
      <c r="E112" s="25">
        <v>26</v>
      </c>
      <c r="F112" s="19" t="s">
        <v>173</v>
      </c>
      <c r="G112" s="25">
        <v>23.99</v>
      </c>
      <c r="H112" s="25">
        <v>5</v>
      </c>
      <c r="I112" s="25">
        <v>119.95</v>
      </c>
      <c r="J112" s="25">
        <v>35.984999999999999</v>
      </c>
      <c r="K112" s="25">
        <v>1104</v>
      </c>
      <c r="L112" s="25">
        <v>1013</v>
      </c>
    </row>
    <row r="113" spans="2:12" x14ac:dyDescent="0.3">
      <c r="B113" s="25">
        <v>53838</v>
      </c>
      <c r="C113" s="30">
        <v>43146</v>
      </c>
      <c r="D113" s="31">
        <v>0.45857638888888891</v>
      </c>
      <c r="E113" s="25">
        <v>32</v>
      </c>
      <c r="F113" s="19" t="s">
        <v>167</v>
      </c>
      <c r="G113" s="25">
        <v>21.99</v>
      </c>
      <c r="H113" s="25">
        <v>1</v>
      </c>
      <c r="I113" s="25">
        <v>21.99</v>
      </c>
      <c r="J113" s="25">
        <v>4.3979999999999997</v>
      </c>
      <c r="K113" s="25">
        <v>1104</v>
      </c>
      <c r="L113" s="25">
        <v>1002</v>
      </c>
    </row>
    <row r="114" spans="2:12" x14ac:dyDescent="0.3">
      <c r="B114" s="25">
        <v>59799</v>
      </c>
      <c r="C114" s="30">
        <v>43146</v>
      </c>
      <c r="D114" s="31">
        <v>0.62133101851851846</v>
      </c>
      <c r="E114" s="25">
        <v>74</v>
      </c>
      <c r="F114" s="19" t="s">
        <v>118</v>
      </c>
      <c r="G114" s="25">
        <v>11.99</v>
      </c>
      <c r="H114" s="25">
        <v>2</v>
      </c>
      <c r="I114" s="25">
        <v>23.98</v>
      </c>
      <c r="J114" s="25">
        <v>7.194</v>
      </c>
      <c r="K114" s="25">
        <v>1104</v>
      </c>
      <c r="L114" s="25">
        <v>1014</v>
      </c>
    </row>
    <row r="115" spans="2:12" x14ac:dyDescent="0.3">
      <c r="B115" s="25">
        <v>29043</v>
      </c>
      <c r="C115" s="30">
        <v>43163</v>
      </c>
      <c r="D115" s="31">
        <v>0.44642361111111112</v>
      </c>
      <c r="E115" s="25">
        <v>89</v>
      </c>
      <c r="F115" s="19" t="s">
        <v>103</v>
      </c>
      <c r="G115" s="25">
        <v>8.49</v>
      </c>
      <c r="H115" s="25">
        <v>4</v>
      </c>
      <c r="I115" s="25">
        <v>33.96</v>
      </c>
      <c r="J115" s="25">
        <v>3.3959999999999999</v>
      </c>
      <c r="K115" s="25">
        <v>1104</v>
      </c>
      <c r="L115" s="25">
        <v>1014</v>
      </c>
    </row>
    <row r="116" spans="2:12" x14ac:dyDescent="0.3">
      <c r="B116" s="25">
        <v>80814</v>
      </c>
      <c r="C116" s="30">
        <v>43178</v>
      </c>
      <c r="D116" s="31">
        <v>0.55563657407407407</v>
      </c>
      <c r="E116" s="25">
        <v>75</v>
      </c>
      <c r="F116" s="19" t="s">
        <v>163</v>
      </c>
      <c r="G116" s="25">
        <v>11.99</v>
      </c>
      <c r="H116" s="25">
        <v>2</v>
      </c>
      <c r="I116" s="25">
        <v>23.98</v>
      </c>
      <c r="J116" s="25">
        <v>7.194</v>
      </c>
      <c r="K116" s="25">
        <v>1104</v>
      </c>
      <c r="L116" s="25">
        <v>1013</v>
      </c>
    </row>
    <row r="117" spans="2:12" x14ac:dyDescent="0.3">
      <c r="B117" s="25">
        <v>51701</v>
      </c>
      <c r="C117" s="30">
        <v>43196</v>
      </c>
      <c r="D117" s="31">
        <v>0.3837962962962963</v>
      </c>
      <c r="E117" s="25">
        <v>3</v>
      </c>
      <c r="F117" s="19" t="s">
        <v>137</v>
      </c>
      <c r="G117" s="25">
        <v>56.99</v>
      </c>
      <c r="H117" s="25">
        <v>3</v>
      </c>
      <c r="I117" s="25">
        <v>170.97</v>
      </c>
      <c r="J117" s="25">
        <v>51.290999999999997</v>
      </c>
      <c r="K117" s="25">
        <v>1104</v>
      </c>
      <c r="L117" s="25">
        <v>1019</v>
      </c>
    </row>
    <row r="118" spans="2:12" x14ac:dyDescent="0.3">
      <c r="B118" s="25">
        <v>67664</v>
      </c>
      <c r="C118" s="30">
        <v>43236</v>
      </c>
      <c r="D118" s="31">
        <v>0.78068287037037032</v>
      </c>
      <c r="E118" s="25">
        <v>95</v>
      </c>
      <c r="F118" s="19" t="s">
        <v>190</v>
      </c>
      <c r="G118" s="25">
        <v>7.49</v>
      </c>
      <c r="H118" s="25">
        <v>5</v>
      </c>
      <c r="I118" s="25">
        <v>37.450000000000003</v>
      </c>
      <c r="J118" s="25">
        <v>3.7450000000000001</v>
      </c>
      <c r="K118" s="25">
        <v>1104</v>
      </c>
      <c r="L118" s="25">
        <v>1003</v>
      </c>
    </row>
    <row r="119" spans="2:12" x14ac:dyDescent="0.3">
      <c r="B119" s="25">
        <v>53959</v>
      </c>
      <c r="C119" s="30">
        <v>43248</v>
      </c>
      <c r="D119" s="31">
        <v>0.52962962962962967</v>
      </c>
      <c r="E119" s="25">
        <v>4</v>
      </c>
      <c r="F119" s="19" t="s">
        <v>196</v>
      </c>
      <c r="G119" s="25">
        <v>54.99</v>
      </c>
      <c r="H119" s="25">
        <v>5</v>
      </c>
      <c r="I119" s="25">
        <v>274.95</v>
      </c>
      <c r="J119" s="25">
        <v>27.495000000000001</v>
      </c>
      <c r="K119" s="25">
        <v>1104</v>
      </c>
      <c r="L119" s="25">
        <v>1014</v>
      </c>
    </row>
    <row r="120" spans="2:12" x14ac:dyDescent="0.3">
      <c r="B120" s="25">
        <v>43733</v>
      </c>
      <c r="C120" s="30">
        <v>43284</v>
      </c>
      <c r="D120" s="31">
        <v>0.60841435185185189</v>
      </c>
      <c r="E120" s="25">
        <v>35</v>
      </c>
      <c r="F120" s="19" t="s">
        <v>120</v>
      </c>
      <c r="G120" s="25">
        <v>20.99</v>
      </c>
      <c r="H120" s="25">
        <v>2</v>
      </c>
      <c r="I120" s="25">
        <v>41.98</v>
      </c>
      <c r="J120" s="25">
        <v>12.593999999999999</v>
      </c>
      <c r="K120" s="25">
        <v>1104</v>
      </c>
      <c r="L120" s="25">
        <v>1019</v>
      </c>
    </row>
    <row r="121" spans="2:12" x14ac:dyDescent="0.3">
      <c r="B121" s="25">
        <v>66312</v>
      </c>
      <c r="C121" s="30">
        <v>43289</v>
      </c>
      <c r="D121" s="31">
        <v>0.46078703703703705</v>
      </c>
      <c r="E121" s="25">
        <v>96</v>
      </c>
      <c r="F121" s="19" t="s">
        <v>164</v>
      </c>
      <c r="G121" s="25">
        <v>6.19</v>
      </c>
      <c r="H121" s="25">
        <v>2</v>
      </c>
      <c r="I121" s="25">
        <v>12.38</v>
      </c>
      <c r="J121" s="25">
        <v>1.238</v>
      </c>
      <c r="K121" s="25">
        <v>1104</v>
      </c>
      <c r="L121" s="25">
        <v>1004</v>
      </c>
    </row>
    <row r="122" spans="2:12" x14ac:dyDescent="0.3">
      <c r="B122" s="25">
        <v>36459</v>
      </c>
      <c r="C122" s="30">
        <v>43319</v>
      </c>
      <c r="D122" s="31">
        <v>0.57490740740740742</v>
      </c>
      <c r="E122" s="25">
        <v>36</v>
      </c>
      <c r="F122" s="19" t="s">
        <v>79</v>
      </c>
      <c r="G122" s="25">
        <v>20.99</v>
      </c>
      <c r="H122" s="25">
        <v>5</v>
      </c>
      <c r="I122" s="25">
        <v>104.95</v>
      </c>
      <c r="J122" s="25">
        <v>10.494999999999999</v>
      </c>
      <c r="K122" s="25">
        <v>1104</v>
      </c>
      <c r="L122" s="25">
        <v>1020</v>
      </c>
    </row>
    <row r="123" spans="2:12" x14ac:dyDescent="0.3">
      <c r="B123" s="25">
        <v>64248</v>
      </c>
      <c r="C123" s="30">
        <v>43319</v>
      </c>
      <c r="D123" s="31">
        <v>0.77978009259259262</v>
      </c>
      <c r="E123" s="25">
        <v>35</v>
      </c>
      <c r="F123" s="19" t="s">
        <v>120</v>
      </c>
      <c r="G123" s="25">
        <v>20.99</v>
      </c>
      <c r="H123" s="25">
        <v>3</v>
      </c>
      <c r="I123" s="25">
        <v>62.97</v>
      </c>
      <c r="J123" s="25">
        <v>18.890999999999998</v>
      </c>
      <c r="K123" s="25">
        <v>1104</v>
      </c>
      <c r="L123" s="25">
        <v>1016</v>
      </c>
    </row>
    <row r="124" spans="2:12" x14ac:dyDescent="0.3">
      <c r="B124" s="25">
        <v>55023</v>
      </c>
      <c r="C124" s="30">
        <v>43326</v>
      </c>
      <c r="D124" s="31">
        <v>0.4583564814814815</v>
      </c>
      <c r="E124" s="25">
        <v>53</v>
      </c>
      <c r="F124" s="19" t="s">
        <v>194</v>
      </c>
      <c r="G124" s="25">
        <v>14.99</v>
      </c>
      <c r="H124" s="25">
        <v>2</v>
      </c>
      <c r="I124" s="25">
        <v>29.98</v>
      </c>
      <c r="J124" s="25">
        <v>8.9939999999999998</v>
      </c>
      <c r="K124" s="25">
        <v>1104</v>
      </c>
      <c r="L124" s="25">
        <v>1003</v>
      </c>
    </row>
    <row r="125" spans="2:12" x14ac:dyDescent="0.3">
      <c r="B125" s="25">
        <v>65224</v>
      </c>
      <c r="C125" s="30">
        <v>43328</v>
      </c>
      <c r="D125" s="31">
        <v>0.36835648148148148</v>
      </c>
      <c r="E125" s="25">
        <v>84</v>
      </c>
      <c r="F125" s="19" t="s">
        <v>188</v>
      </c>
      <c r="G125" s="25">
        <v>10.49</v>
      </c>
      <c r="H125" s="25">
        <v>4</v>
      </c>
      <c r="I125" s="25">
        <v>41.96</v>
      </c>
      <c r="J125" s="25">
        <v>12.587999999999999</v>
      </c>
      <c r="K125" s="25">
        <v>1104</v>
      </c>
      <c r="L125" s="25">
        <v>1015</v>
      </c>
    </row>
    <row r="126" spans="2:12" x14ac:dyDescent="0.3">
      <c r="B126" s="25">
        <v>43982</v>
      </c>
      <c r="C126" s="30">
        <v>43336</v>
      </c>
      <c r="D126" s="31">
        <v>0.81820601851851849</v>
      </c>
      <c r="E126" s="25">
        <v>20</v>
      </c>
      <c r="F126" s="19" t="s">
        <v>186</v>
      </c>
      <c r="G126" s="25">
        <v>27.99</v>
      </c>
      <c r="H126" s="25">
        <v>2</v>
      </c>
      <c r="I126" s="25">
        <v>55.98</v>
      </c>
      <c r="J126" s="25">
        <v>11.196</v>
      </c>
      <c r="K126" s="25">
        <v>1104</v>
      </c>
      <c r="L126" s="25">
        <v>1021</v>
      </c>
    </row>
    <row r="127" spans="2:12" x14ac:dyDescent="0.3">
      <c r="B127" s="25">
        <v>58785</v>
      </c>
      <c r="C127" s="30">
        <v>43345</v>
      </c>
      <c r="D127" s="31">
        <v>0.55100694444444442</v>
      </c>
      <c r="E127" s="25">
        <v>94</v>
      </c>
      <c r="F127" s="19" t="s">
        <v>93</v>
      </c>
      <c r="G127" s="25">
        <v>7.49</v>
      </c>
      <c r="H127" s="25">
        <v>3</v>
      </c>
      <c r="I127" s="25">
        <v>22.47</v>
      </c>
      <c r="J127" s="25">
        <v>2.2469999999999999</v>
      </c>
      <c r="K127" s="25">
        <v>1104</v>
      </c>
      <c r="L127" s="25">
        <v>1019</v>
      </c>
    </row>
    <row r="128" spans="2:12" x14ac:dyDescent="0.3">
      <c r="B128" s="25">
        <v>95288</v>
      </c>
      <c r="C128" s="30">
        <v>43366</v>
      </c>
      <c r="D128" s="31">
        <v>0.7636574074074074</v>
      </c>
      <c r="E128" s="25">
        <v>7</v>
      </c>
      <c r="F128" s="19" t="s">
        <v>177</v>
      </c>
      <c r="G128" s="25">
        <v>45.99</v>
      </c>
      <c r="H128" s="25">
        <v>5</v>
      </c>
      <c r="I128" s="25">
        <v>229.95</v>
      </c>
      <c r="J128" s="25">
        <v>68.984999999999999</v>
      </c>
      <c r="K128" s="25">
        <v>1104</v>
      </c>
      <c r="L128" s="25">
        <v>1013</v>
      </c>
    </row>
    <row r="129" spans="2:12" x14ac:dyDescent="0.3">
      <c r="B129" s="25">
        <v>58695</v>
      </c>
      <c r="C129" s="30">
        <v>43369</v>
      </c>
      <c r="D129" s="31">
        <v>0.41872685185185188</v>
      </c>
      <c r="E129" s="25">
        <v>6</v>
      </c>
      <c r="F129" s="19" t="s">
        <v>111</v>
      </c>
      <c r="G129" s="25">
        <v>46.99</v>
      </c>
      <c r="H129" s="25">
        <v>2</v>
      </c>
      <c r="I129" s="25">
        <v>93.98</v>
      </c>
      <c r="J129" s="25">
        <v>9.3979999999999997</v>
      </c>
      <c r="K129" s="25">
        <v>1104</v>
      </c>
      <c r="L129" s="25">
        <v>1019</v>
      </c>
    </row>
    <row r="130" spans="2:12" x14ac:dyDescent="0.3">
      <c r="B130" s="25">
        <v>47953</v>
      </c>
      <c r="C130" s="30">
        <v>43371</v>
      </c>
      <c r="D130" s="31">
        <v>0.3780324074074074</v>
      </c>
      <c r="E130" s="25">
        <v>24</v>
      </c>
      <c r="F130" s="19" t="s">
        <v>132</v>
      </c>
      <c r="G130" s="25">
        <v>24.99</v>
      </c>
      <c r="H130" s="25">
        <v>5</v>
      </c>
      <c r="I130" s="25">
        <v>124.95</v>
      </c>
      <c r="J130" s="25">
        <v>12.494999999999999</v>
      </c>
      <c r="K130" s="25">
        <v>1104</v>
      </c>
      <c r="L130" s="25">
        <v>1018</v>
      </c>
    </row>
    <row r="131" spans="2:12" x14ac:dyDescent="0.3">
      <c r="B131" s="25">
        <v>97597</v>
      </c>
      <c r="C131" s="30">
        <v>43396</v>
      </c>
      <c r="D131" s="31">
        <v>0.64872685185185186</v>
      </c>
      <c r="E131" s="25">
        <v>11</v>
      </c>
      <c r="F131" s="19" t="s">
        <v>187</v>
      </c>
      <c r="G131" s="25">
        <v>40.99</v>
      </c>
      <c r="H131" s="25">
        <v>3</v>
      </c>
      <c r="I131" s="25">
        <v>122.97</v>
      </c>
      <c r="J131" s="25">
        <v>36.890999999999998</v>
      </c>
      <c r="K131" s="25">
        <v>1104</v>
      </c>
      <c r="L131" s="25">
        <v>1013</v>
      </c>
    </row>
    <row r="132" spans="2:12" x14ac:dyDescent="0.3">
      <c r="B132" s="25">
        <v>19439</v>
      </c>
      <c r="C132" s="30">
        <v>43402</v>
      </c>
      <c r="D132" s="31">
        <v>0.43283564814814812</v>
      </c>
      <c r="E132" s="25">
        <v>51</v>
      </c>
      <c r="F132" s="19" t="s">
        <v>178</v>
      </c>
      <c r="G132" s="25">
        <v>14.99</v>
      </c>
      <c r="H132" s="25">
        <v>1</v>
      </c>
      <c r="I132" s="25">
        <v>14.99</v>
      </c>
      <c r="J132" s="25">
        <v>1.4990000000000001</v>
      </c>
      <c r="K132" s="25">
        <v>1104</v>
      </c>
      <c r="L132" s="25">
        <v>1019</v>
      </c>
    </row>
    <row r="133" spans="2:12" x14ac:dyDescent="0.3">
      <c r="B133" s="25">
        <v>33448</v>
      </c>
      <c r="C133" s="30">
        <v>43406</v>
      </c>
      <c r="D133" s="31">
        <v>0.50517361111111114</v>
      </c>
      <c r="E133" s="25">
        <v>40</v>
      </c>
      <c r="F133" s="19" t="s">
        <v>96</v>
      </c>
      <c r="G133" s="25">
        <v>17.989999999999998</v>
      </c>
      <c r="H133" s="25">
        <v>1</v>
      </c>
      <c r="I133" s="25">
        <v>17.989999999999998</v>
      </c>
      <c r="J133" s="25">
        <v>5.3970000000000002</v>
      </c>
      <c r="K133" s="25">
        <v>1104</v>
      </c>
      <c r="L133" s="25">
        <v>1020</v>
      </c>
    </row>
    <row r="134" spans="2:12" x14ac:dyDescent="0.3">
      <c r="B134" s="25">
        <v>13019</v>
      </c>
      <c r="C134" s="30">
        <v>43417</v>
      </c>
      <c r="D134" s="31">
        <v>0.71119212962962963</v>
      </c>
      <c r="E134" s="25">
        <v>23</v>
      </c>
      <c r="F134" s="19" t="s">
        <v>128</v>
      </c>
      <c r="G134" s="25">
        <v>25.99</v>
      </c>
      <c r="H134" s="25">
        <v>1</v>
      </c>
      <c r="I134" s="25">
        <v>25.99</v>
      </c>
      <c r="J134" s="25">
        <v>5.1980000000000004</v>
      </c>
      <c r="K134" s="25">
        <v>1104</v>
      </c>
      <c r="L134" s="25">
        <v>1014</v>
      </c>
    </row>
    <row r="135" spans="2:12" x14ac:dyDescent="0.3">
      <c r="B135" s="25">
        <v>22377</v>
      </c>
      <c r="C135" s="30">
        <v>43423</v>
      </c>
      <c r="D135" s="31">
        <v>0.5408680555555555</v>
      </c>
      <c r="E135" s="25">
        <v>22</v>
      </c>
      <c r="F135" s="19" t="s">
        <v>125</v>
      </c>
      <c r="G135" s="25">
        <v>25.99</v>
      </c>
      <c r="H135" s="25">
        <v>1</v>
      </c>
      <c r="I135" s="25">
        <v>25.99</v>
      </c>
      <c r="J135" s="25">
        <v>7.7969999999999997</v>
      </c>
      <c r="K135" s="25">
        <v>1104</v>
      </c>
      <c r="L135" s="25">
        <v>1005</v>
      </c>
    </row>
    <row r="136" spans="2:12" x14ac:dyDescent="0.3">
      <c r="B136" s="25">
        <v>62252</v>
      </c>
      <c r="C136" s="30">
        <v>43427</v>
      </c>
      <c r="D136" s="31">
        <v>0.70973379629629629</v>
      </c>
      <c r="E136" s="25">
        <v>14</v>
      </c>
      <c r="F136" s="19" t="s">
        <v>115</v>
      </c>
      <c r="G136" s="25">
        <v>34.99</v>
      </c>
      <c r="H136" s="25">
        <v>5</v>
      </c>
      <c r="I136" s="25">
        <v>174.95</v>
      </c>
      <c r="J136" s="25">
        <v>34.99</v>
      </c>
      <c r="K136" s="25">
        <v>1104</v>
      </c>
      <c r="L136" s="25">
        <v>1006</v>
      </c>
    </row>
    <row r="137" spans="2:12" x14ac:dyDescent="0.3">
      <c r="B137" s="25">
        <v>70415</v>
      </c>
      <c r="C137" s="30">
        <v>43437</v>
      </c>
      <c r="D137" s="31">
        <v>0.58693287037037034</v>
      </c>
      <c r="E137" s="25">
        <v>70</v>
      </c>
      <c r="F137" s="19" t="s">
        <v>138</v>
      </c>
      <c r="G137" s="25">
        <v>12.69</v>
      </c>
      <c r="H137" s="25">
        <v>4</v>
      </c>
      <c r="I137" s="25">
        <v>50.76</v>
      </c>
      <c r="J137" s="25">
        <v>5.0759999999999996</v>
      </c>
      <c r="K137" s="25">
        <v>1104</v>
      </c>
      <c r="L137" s="25">
        <v>1008</v>
      </c>
    </row>
    <row r="138" spans="2:12" x14ac:dyDescent="0.3">
      <c r="B138" s="25">
        <v>65200</v>
      </c>
      <c r="C138" s="30">
        <v>43447</v>
      </c>
      <c r="D138" s="31">
        <v>0.52921296296296294</v>
      </c>
      <c r="E138" s="25">
        <v>58</v>
      </c>
      <c r="F138" s="19" t="s">
        <v>91</v>
      </c>
      <c r="G138" s="25">
        <v>13.49</v>
      </c>
      <c r="H138" s="25">
        <v>2</v>
      </c>
      <c r="I138" s="25">
        <v>26.98</v>
      </c>
      <c r="J138" s="25">
        <v>8.0939999999999994</v>
      </c>
      <c r="K138" s="25">
        <v>1104</v>
      </c>
      <c r="L138" s="25">
        <v>1015</v>
      </c>
    </row>
    <row r="139" spans="2:12" x14ac:dyDescent="0.3">
      <c r="B139" s="25">
        <v>13757</v>
      </c>
      <c r="C139" s="30">
        <v>43469</v>
      </c>
      <c r="D139" s="31">
        <v>0.59704861111111107</v>
      </c>
      <c r="E139" s="25">
        <v>25</v>
      </c>
      <c r="F139" s="19" t="s">
        <v>143</v>
      </c>
      <c r="G139" s="25">
        <v>23.99</v>
      </c>
      <c r="H139" s="25">
        <v>5</v>
      </c>
      <c r="I139" s="25">
        <v>119.95</v>
      </c>
      <c r="J139" s="25">
        <v>35.984999999999999</v>
      </c>
      <c r="K139" s="25">
        <v>1104</v>
      </c>
      <c r="L139" s="25">
        <v>1012</v>
      </c>
    </row>
    <row r="140" spans="2:12" x14ac:dyDescent="0.3">
      <c r="B140" s="25">
        <v>44945</v>
      </c>
      <c r="C140" s="30">
        <v>43500</v>
      </c>
      <c r="D140" s="31">
        <v>0.69207175925925923</v>
      </c>
      <c r="E140" s="25">
        <v>9</v>
      </c>
      <c r="F140" s="19" t="s">
        <v>77</v>
      </c>
      <c r="G140" s="25">
        <v>43.99</v>
      </c>
      <c r="H140" s="25">
        <v>5</v>
      </c>
      <c r="I140" s="25">
        <v>219.95</v>
      </c>
      <c r="J140" s="25">
        <v>65.984999999999999</v>
      </c>
      <c r="K140" s="25">
        <v>1104</v>
      </c>
      <c r="L140" s="25">
        <v>1017</v>
      </c>
    </row>
    <row r="141" spans="2:12" x14ac:dyDescent="0.3">
      <c r="B141" s="25">
        <v>17955</v>
      </c>
      <c r="C141" s="30">
        <v>43536</v>
      </c>
      <c r="D141" s="31">
        <v>0.72924768518518523</v>
      </c>
      <c r="E141" s="25">
        <v>35</v>
      </c>
      <c r="F141" s="19" t="s">
        <v>120</v>
      </c>
      <c r="G141" s="25">
        <v>20.99</v>
      </c>
      <c r="H141" s="25">
        <v>4</v>
      </c>
      <c r="I141" s="25">
        <v>83.96</v>
      </c>
      <c r="J141" s="25">
        <v>25.187999999999999</v>
      </c>
      <c r="K141" s="25">
        <v>1104</v>
      </c>
      <c r="L141" s="25">
        <v>1019</v>
      </c>
    </row>
    <row r="142" spans="2:12" x14ac:dyDescent="0.3">
      <c r="B142" s="25">
        <v>61941</v>
      </c>
      <c r="C142" s="30">
        <v>43565</v>
      </c>
      <c r="D142" s="31">
        <v>0.70928240740740744</v>
      </c>
      <c r="E142" s="25">
        <v>43</v>
      </c>
      <c r="F142" s="19" t="s">
        <v>75</v>
      </c>
      <c r="G142" s="25">
        <v>16.989999999999998</v>
      </c>
      <c r="H142" s="25">
        <v>3</v>
      </c>
      <c r="I142" s="25">
        <v>50.97</v>
      </c>
      <c r="J142" s="25">
        <v>15.291</v>
      </c>
      <c r="K142" s="25">
        <v>1104</v>
      </c>
      <c r="L142" s="25">
        <v>1002</v>
      </c>
    </row>
    <row r="143" spans="2:12" x14ac:dyDescent="0.3">
      <c r="B143" s="25">
        <v>89517</v>
      </c>
      <c r="C143" s="30">
        <v>43565</v>
      </c>
      <c r="D143" s="31">
        <v>0.46498842592592593</v>
      </c>
      <c r="E143" s="25">
        <v>83</v>
      </c>
      <c r="F143" s="19" t="s">
        <v>157</v>
      </c>
      <c r="G143" s="25">
        <v>10.99</v>
      </c>
      <c r="H143" s="25">
        <v>3</v>
      </c>
      <c r="I143" s="25">
        <v>32.97</v>
      </c>
      <c r="J143" s="25">
        <v>9.891</v>
      </c>
      <c r="K143" s="25">
        <v>1104</v>
      </c>
      <c r="L143" s="25">
        <v>1015</v>
      </c>
    </row>
    <row r="144" spans="2:12" x14ac:dyDescent="0.3">
      <c r="B144" s="25">
        <v>56179</v>
      </c>
      <c r="C144" s="30">
        <v>43570</v>
      </c>
      <c r="D144" s="31">
        <v>0.73559027777777775</v>
      </c>
      <c r="E144" s="25">
        <v>4</v>
      </c>
      <c r="F144" s="19" t="s">
        <v>196</v>
      </c>
      <c r="G144" s="25">
        <v>54.99</v>
      </c>
      <c r="H144" s="25">
        <v>1</v>
      </c>
      <c r="I144" s="25">
        <v>54.99</v>
      </c>
      <c r="J144" s="25">
        <v>5.4989999999999997</v>
      </c>
      <c r="K144" s="25">
        <v>1104</v>
      </c>
      <c r="L144" s="25">
        <v>1001</v>
      </c>
    </row>
    <row r="145" spans="2:12" x14ac:dyDescent="0.3">
      <c r="B145" s="25">
        <v>69524</v>
      </c>
      <c r="C145" s="30">
        <v>43581</v>
      </c>
      <c r="D145" s="31">
        <v>0.41792824074074075</v>
      </c>
      <c r="E145" s="25">
        <v>23</v>
      </c>
      <c r="F145" s="19" t="s">
        <v>128</v>
      </c>
      <c r="G145" s="25">
        <v>25.99</v>
      </c>
      <c r="H145" s="25">
        <v>2</v>
      </c>
      <c r="I145" s="25">
        <v>51.98</v>
      </c>
      <c r="J145" s="25">
        <v>10.396000000000001</v>
      </c>
      <c r="K145" s="25">
        <v>1104</v>
      </c>
      <c r="L145" s="25">
        <v>1009</v>
      </c>
    </row>
    <row r="146" spans="2:12" x14ac:dyDescent="0.3">
      <c r="B146" s="25">
        <v>75868</v>
      </c>
      <c r="C146" s="30">
        <v>43584</v>
      </c>
      <c r="D146" s="31">
        <v>0.7010763888888889</v>
      </c>
      <c r="E146" s="25">
        <v>76</v>
      </c>
      <c r="F146" s="19" t="s">
        <v>165</v>
      </c>
      <c r="G146" s="25">
        <v>11.99</v>
      </c>
      <c r="H146" s="25">
        <v>4</v>
      </c>
      <c r="I146" s="25">
        <v>47.96</v>
      </c>
      <c r="J146" s="25">
        <v>14.388</v>
      </c>
      <c r="K146" s="25">
        <v>1104</v>
      </c>
      <c r="L146" s="25">
        <v>1006</v>
      </c>
    </row>
    <row r="147" spans="2:12" x14ac:dyDescent="0.3">
      <c r="B147" s="25">
        <v>67916</v>
      </c>
      <c r="C147" s="30">
        <v>43601</v>
      </c>
      <c r="D147" s="31">
        <v>0.38049768518518517</v>
      </c>
      <c r="E147" s="25">
        <v>33</v>
      </c>
      <c r="F147" s="19" t="s">
        <v>131</v>
      </c>
      <c r="G147" s="25">
        <v>20.99</v>
      </c>
      <c r="H147" s="25">
        <v>4</v>
      </c>
      <c r="I147" s="25">
        <v>83.96</v>
      </c>
      <c r="J147" s="25">
        <v>16.792000000000002</v>
      </c>
      <c r="K147" s="25">
        <v>1104</v>
      </c>
      <c r="L147" s="25">
        <v>1020</v>
      </c>
    </row>
    <row r="148" spans="2:12" x14ac:dyDescent="0.3">
      <c r="B148" s="25">
        <v>30816</v>
      </c>
      <c r="C148" s="30">
        <v>43602</v>
      </c>
      <c r="D148" s="31">
        <v>0.45876157407407409</v>
      </c>
      <c r="E148" s="25">
        <v>49</v>
      </c>
      <c r="F148" s="19" t="s">
        <v>142</v>
      </c>
      <c r="G148" s="25">
        <v>15.99</v>
      </c>
      <c r="H148" s="25">
        <v>2</v>
      </c>
      <c r="I148" s="25">
        <v>31.98</v>
      </c>
      <c r="J148" s="25">
        <v>3.198</v>
      </c>
      <c r="K148" s="25">
        <v>1104</v>
      </c>
      <c r="L148" s="25">
        <v>1011</v>
      </c>
    </row>
    <row r="149" spans="2:12" x14ac:dyDescent="0.3">
      <c r="B149" s="25">
        <v>24670</v>
      </c>
      <c r="C149" s="30">
        <v>43605</v>
      </c>
      <c r="D149" s="31">
        <v>0.55060185185185184</v>
      </c>
      <c r="E149" s="25">
        <v>60</v>
      </c>
      <c r="F149" s="19" t="s">
        <v>97</v>
      </c>
      <c r="G149" s="25">
        <v>12.99</v>
      </c>
      <c r="H149" s="25">
        <v>3</v>
      </c>
      <c r="I149" s="25">
        <v>38.97</v>
      </c>
      <c r="J149" s="25">
        <v>3.8969999999999998</v>
      </c>
      <c r="K149" s="25">
        <v>1104</v>
      </c>
      <c r="L149" s="25">
        <v>1004</v>
      </c>
    </row>
    <row r="150" spans="2:12" x14ac:dyDescent="0.3">
      <c r="B150" s="25">
        <v>21586</v>
      </c>
      <c r="C150" s="30">
        <v>43607</v>
      </c>
      <c r="D150" s="31">
        <v>0.39315972222222223</v>
      </c>
      <c r="E150" s="25">
        <v>61</v>
      </c>
      <c r="F150" s="19" t="s">
        <v>98</v>
      </c>
      <c r="G150" s="25">
        <v>12.99</v>
      </c>
      <c r="H150" s="25">
        <v>3</v>
      </c>
      <c r="I150" s="25">
        <v>38.97</v>
      </c>
      <c r="J150" s="25">
        <v>11.691000000000001</v>
      </c>
      <c r="K150" s="25">
        <v>1104</v>
      </c>
      <c r="L150" s="25">
        <v>1013</v>
      </c>
    </row>
    <row r="151" spans="2:12" x14ac:dyDescent="0.3"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</row>
  </sheetData>
  <mergeCells count="4">
    <mergeCell ref="L1:M1"/>
    <mergeCell ref="K2:L2"/>
    <mergeCell ref="K3:L3"/>
    <mergeCell ref="K4:L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Refresh">
                <anchor moveWithCells="1" sizeWithCells="1">
                  <from>
                    <xdr:col>2</xdr:col>
                    <xdr:colOff>190195</xdr:colOff>
                    <xdr:row>0</xdr:row>
                    <xdr:rowOff>29261</xdr:rowOff>
                  </from>
                  <to>
                    <xdr:col>3</xdr:col>
                    <xdr:colOff>760781</xdr:colOff>
                    <xdr:row>2</xdr:row>
                    <xdr:rowOff>95098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3B9695-06B2-4B97-AC33-C8BB0416249A}">
          <x14:formula1>
            <xm:f>Data!$O$3:$O$13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CEF31-3F0A-4CD5-B39B-2AE85EEE7F58}">
  <sheetPr codeName="Sheet5"/>
  <dimension ref="A1:AL1521"/>
  <sheetViews>
    <sheetView workbookViewId="0">
      <selection activeCell="D11" sqref="D11"/>
    </sheetView>
  </sheetViews>
  <sheetFormatPr defaultColWidth="8.8984375" defaultRowHeight="14.4" x14ac:dyDescent="0.3"/>
  <cols>
    <col min="1" max="1" width="42.59765625" style="3" customWidth="1"/>
    <col min="2" max="2" width="8.8984375" style="3"/>
    <col min="3" max="3" width="9.69921875" style="3" bestFit="1" customWidth="1"/>
    <col min="4" max="5" width="9.69921875" style="3" customWidth="1"/>
    <col min="6" max="7" width="11" style="3" bestFit="1" customWidth="1"/>
    <col min="8" max="8" width="10.69921875" style="3" bestFit="1" customWidth="1"/>
    <col min="9" max="9" width="8.8984375" style="3"/>
    <col min="10" max="10" width="11.8984375" style="3" bestFit="1" customWidth="1"/>
    <col min="11" max="17" width="8.8984375" style="3"/>
    <col min="18" max="18" width="15.3984375" style="3" bestFit="1" customWidth="1"/>
    <col min="19" max="19" width="25.3984375" style="3" bestFit="1" customWidth="1"/>
    <col min="20" max="20" width="7" style="3" bestFit="1" customWidth="1"/>
    <col min="21" max="21" width="5.8984375" style="3" bestFit="1" customWidth="1"/>
    <col min="22" max="22" width="11.09765625" style="3" bestFit="1" customWidth="1"/>
    <col min="23" max="23" width="11.3984375" style="3" bestFit="1" customWidth="1"/>
    <col min="24" max="24" width="25.3984375" style="3" bestFit="1" customWidth="1"/>
    <col min="25" max="25" width="7" style="3" bestFit="1" customWidth="1"/>
    <col min="26" max="26" width="5.8984375" style="3" bestFit="1" customWidth="1"/>
    <col min="27" max="27" width="7" style="3" bestFit="1" customWidth="1"/>
    <col min="28" max="28" width="11.8984375" style="3" bestFit="1" customWidth="1"/>
    <col min="29" max="29" width="9.8984375" style="3" bestFit="1" customWidth="1"/>
    <col min="30" max="30" width="9.69921875" style="3" bestFit="1" customWidth="1"/>
    <col min="31" max="16384" width="8.8984375" style="3"/>
  </cols>
  <sheetData>
    <row r="1" spans="1:38" x14ac:dyDescent="0.3">
      <c r="R1" s="3" t="s">
        <v>314</v>
      </c>
      <c r="S1" t="s">
        <v>7</v>
      </c>
      <c r="T1" t="s">
        <v>8</v>
      </c>
      <c r="U1" s="3" t="s">
        <v>11</v>
      </c>
      <c r="W1" s="7" t="s">
        <v>2002</v>
      </c>
      <c r="X1" s="7"/>
    </row>
    <row r="2" spans="1:38" x14ac:dyDescent="0.3">
      <c r="A2" s="3" t="s">
        <v>1999</v>
      </c>
      <c r="R2" s="3">
        <v>84471</v>
      </c>
      <c r="S2" s="19" t="s">
        <v>77</v>
      </c>
      <c r="T2">
        <v>43.99</v>
      </c>
      <c r="U2" s="3">
        <v>2</v>
      </c>
      <c r="W2" s="3" t="s">
        <v>2000</v>
      </c>
      <c r="X2" s="3" t="s">
        <v>2001</v>
      </c>
      <c r="Y2" s="3" t="s">
        <v>2003</v>
      </c>
      <c r="Z2" s="3" t="s">
        <v>2005</v>
      </c>
      <c r="AA2" s="3" t="s">
        <v>2006</v>
      </c>
    </row>
    <row r="3" spans="1:38" x14ac:dyDescent="0.3">
      <c r="A3" s="3" t="s">
        <v>77</v>
      </c>
      <c r="R3" s="3">
        <v>81745</v>
      </c>
      <c r="S3" s="19" t="s">
        <v>77</v>
      </c>
      <c r="T3">
        <v>43.99</v>
      </c>
      <c r="U3" s="3">
        <v>1</v>
      </c>
      <c r="W3" s="3">
        <v>1</v>
      </c>
      <c r="X3" s="3">
        <f>COUNTIF(Transaction__2[Qty],1)</f>
        <v>6</v>
      </c>
      <c r="Y3" s="3">
        <f>X3/$X$8</f>
        <v>0.31578947368421051</v>
      </c>
      <c r="Z3" s="3">
        <v>0</v>
      </c>
      <c r="AA3" s="3">
        <f>Z3+Y3</f>
        <v>0.31578947368421051</v>
      </c>
    </row>
    <row r="4" spans="1:38" x14ac:dyDescent="0.3">
      <c r="R4" s="3">
        <v>51228</v>
      </c>
      <c r="S4" s="19" t="s">
        <v>77</v>
      </c>
      <c r="T4">
        <v>43.99</v>
      </c>
      <c r="U4" s="3">
        <v>1</v>
      </c>
      <c r="W4" s="3">
        <v>2</v>
      </c>
      <c r="X4" s="3">
        <f>COUNTIF(Transaction__2[Qty],2)</f>
        <v>2</v>
      </c>
      <c r="Y4" s="3">
        <f>X4/$X$8</f>
        <v>0.10526315789473684</v>
      </c>
      <c r="Z4" s="3">
        <f>AA3</f>
        <v>0.31578947368421051</v>
      </c>
      <c r="AA4" s="3">
        <f t="shared" ref="AA4:AA7" si="0">Z4+Y4</f>
        <v>0.42105263157894735</v>
      </c>
    </row>
    <row r="5" spans="1:38" x14ac:dyDescent="0.3">
      <c r="C5" s="39" t="s">
        <v>2026</v>
      </c>
      <c r="D5" s="39"/>
      <c r="E5" s="39"/>
      <c r="F5" s="39"/>
      <c r="H5" s="39" t="s">
        <v>2027</v>
      </c>
      <c r="I5" s="39"/>
      <c r="J5" s="39"/>
      <c r="K5" s="39"/>
      <c r="R5" s="3">
        <v>31840</v>
      </c>
      <c r="S5" s="19" t="s">
        <v>77</v>
      </c>
      <c r="T5">
        <v>43.99</v>
      </c>
      <c r="U5" s="3">
        <v>1</v>
      </c>
      <c r="W5" s="3">
        <v>3</v>
      </c>
      <c r="X5" s="3">
        <f>COUNTIF(Transaction__2[Qty],3)</f>
        <v>3</v>
      </c>
      <c r="Y5" s="3">
        <f>X5/$X$8</f>
        <v>0.15789473684210525</v>
      </c>
      <c r="Z5" s="3">
        <f t="shared" ref="Z5:Z7" si="1">AA4</f>
        <v>0.42105263157894735</v>
      </c>
      <c r="AA5" s="3">
        <f t="shared" si="0"/>
        <v>0.57894736842105265</v>
      </c>
      <c r="AC5" s="3" t="s">
        <v>2018</v>
      </c>
      <c r="AD5" s="3">
        <f>VLOOKUP(Table22[Product Name],Inventory[],5,TRUE)</f>
        <v>50</v>
      </c>
      <c r="AF5" s="3" t="s">
        <v>2021</v>
      </c>
      <c r="AG5" s="3">
        <v>0.05</v>
      </c>
    </row>
    <row r="6" spans="1:38" ht="28.8" x14ac:dyDescent="0.3">
      <c r="C6" s="18" t="s">
        <v>2021</v>
      </c>
      <c r="D6" s="18" t="s">
        <v>2022</v>
      </c>
      <c r="E6" s="18" t="s">
        <v>2023</v>
      </c>
      <c r="F6" s="3" t="s">
        <v>2024</v>
      </c>
      <c r="H6" s="18" t="s">
        <v>2021</v>
      </c>
      <c r="I6" s="18" t="s">
        <v>2022</v>
      </c>
      <c r="J6" s="18" t="s">
        <v>2023</v>
      </c>
      <c r="K6" s="3" t="s">
        <v>2024</v>
      </c>
      <c r="R6" s="3">
        <v>66539</v>
      </c>
      <c r="S6" s="19" t="s">
        <v>77</v>
      </c>
      <c r="T6">
        <v>43.99</v>
      </c>
      <c r="U6" s="3">
        <v>5</v>
      </c>
      <c r="W6" s="3">
        <v>4</v>
      </c>
      <c r="X6" s="3">
        <f>COUNTIF(Transaction__2[Qty],4)</f>
        <v>1</v>
      </c>
      <c r="Y6" s="3">
        <f>X6/$X$8</f>
        <v>5.2631578947368418E-2</v>
      </c>
      <c r="Z6" s="3">
        <f t="shared" si="1"/>
        <v>0.57894736842105265</v>
      </c>
      <c r="AA6" s="3">
        <f t="shared" si="0"/>
        <v>0.63157894736842102</v>
      </c>
      <c r="AC6" s="3" t="s">
        <v>2019</v>
      </c>
      <c r="AD6" s="3">
        <v>20</v>
      </c>
      <c r="AF6" s="3" t="s">
        <v>2022</v>
      </c>
      <c r="AG6" s="3">
        <f>T2</f>
        <v>43.99</v>
      </c>
    </row>
    <row r="7" spans="1:38" x14ac:dyDescent="0.3">
      <c r="C7" s="20">
        <f ca="1">AVERAGE(C12:C1521)</f>
        <v>61.852947019867493</v>
      </c>
      <c r="D7" s="20">
        <f t="shared" ref="D7:F7" ca="1" si="2">AVERAGE(D12:D1521)</f>
        <v>0</v>
      </c>
      <c r="E7" s="20">
        <f t="shared" ca="1" si="2"/>
        <v>2097.5364238410598</v>
      </c>
      <c r="F7" s="20">
        <f t="shared" ca="1" si="2"/>
        <v>2159.3893708609226</v>
      </c>
      <c r="H7" s="20">
        <f ca="1">_xlfn.STDEV.S(C12:C1521)</f>
        <v>2.7009440935585038</v>
      </c>
      <c r="I7" s="20">
        <f t="shared" ref="I7:K7" ca="1" si="3">_xlfn.STDEV.S(D12:D1521)</f>
        <v>0</v>
      </c>
      <c r="J7" s="20">
        <f t="shared" ca="1" si="3"/>
        <v>319.0694168066637</v>
      </c>
      <c r="K7" s="20">
        <f t="shared" ca="1" si="3"/>
        <v>319.46060150272251</v>
      </c>
      <c r="R7" s="3">
        <v>84952</v>
      </c>
      <c r="S7" s="19" t="s">
        <v>77</v>
      </c>
      <c r="T7">
        <v>43.99</v>
      </c>
      <c r="U7" s="3">
        <v>5</v>
      </c>
      <c r="W7" s="3">
        <v>5</v>
      </c>
      <c r="X7" s="3">
        <f>COUNTIF(Transaction__2[Qty],5)</f>
        <v>7</v>
      </c>
      <c r="Y7" s="3">
        <f>X7/$X$8</f>
        <v>0.36842105263157893</v>
      </c>
      <c r="Z7" s="3">
        <f t="shared" si="1"/>
        <v>0.63157894736842102</v>
      </c>
      <c r="AA7" s="3">
        <f t="shared" si="0"/>
        <v>1</v>
      </c>
      <c r="AF7" s="3" t="s">
        <v>2023</v>
      </c>
      <c r="AG7" s="3">
        <f>AD5*(T3*0.5)</f>
        <v>1099.75</v>
      </c>
    </row>
    <row r="8" spans="1:38" x14ac:dyDescent="0.3">
      <c r="O8" s="3" t="s">
        <v>1979</v>
      </c>
      <c r="R8" s="3">
        <v>30828</v>
      </c>
      <c r="S8" s="19" t="s">
        <v>77</v>
      </c>
      <c r="T8">
        <v>43.99</v>
      </c>
      <c r="U8" s="3">
        <v>3</v>
      </c>
      <c r="X8" s="3">
        <f>SUM(X3:X7)</f>
        <v>19</v>
      </c>
    </row>
    <row r="9" spans="1:38" x14ac:dyDescent="0.3">
      <c r="D9" s="7"/>
      <c r="E9" s="7"/>
      <c r="R9" s="3">
        <v>93426</v>
      </c>
      <c r="S9" s="19" t="s">
        <v>77</v>
      </c>
      <c r="T9">
        <v>43.99</v>
      </c>
      <c r="U9" s="3">
        <v>1</v>
      </c>
    </row>
    <row r="10" spans="1:38" ht="28.8" x14ac:dyDescent="0.3">
      <c r="B10" s="3" t="s">
        <v>2004</v>
      </c>
      <c r="D10" s="7"/>
      <c r="E10" s="7"/>
      <c r="R10" s="3">
        <v>89238</v>
      </c>
      <c r="S10" s="19" t="s">
        <v>77</v>
      </c>
      <c r="T10">
        <v>43.99</v>
      </c>
      <c r="U10" s="3">
        <v>1</v>
      </c>
      <c r="W10" s="3" t="s">
        <v>2020</v>
      </c>
      <c r="X10" s="3" t="s">
        <v>2010</v>
      </c>
      <c r="Y10" s="3" t="s">
        <v>2009</v>
      </c>
      <c r="Z10" s="3" t="s">
        <v>2012</v>
      </c>
      <c r="AA10" s="3" t="s">
        <v>2007</v>
      </c>
      <c r="AB10" s="3" t="s">
        <v>2011</v>
      </c>
      <c r="AC10" s="3" t="s">
        <v>2008</v>
      </c>
      <c r="AD10" s="3" t="s">
        <v>2013</v>
      </c>
      <c r="AE10" s="18" t="s">
        <v>2014</v>
      </c>
      <c r="AF10" s="3" t="s">
        <v>2015</v>
      </c>
      <c r="AG10" s="3" t="s">
        <v>2016</v>
      </c>
      <c r="AH10" s="18" t="s">
        <v>2017</v>
      </c>
      <c r="AI10" s="18" t="s">
        <v>2021</v>
      </c>
      <c r="AJ10" s="18" t="s">
        <v>2022</v>
      </c>
      <c r="AK10" s="18" t="s">
        <v>2023</v>
      </c>
      <c r="AL10" s="3" t="s">
        <v>2024</v>
      </c>
    </row>
    <row r="11" spans="1:38" ht="28.8" x14ac:dyDescent="0.3">
      <c r="B11" s="3" t="s">
        <v>2025</v>
      </c>
      <c r="C11" s="18" t="s">
        <v>2021</v>
      </c>
      <c r="D11" s="18" t="s">
        <v>2022</v>
      </c>
      <c r="E11" s="18" t="s">
        <v>2023</v>
      </c>
      <c r="F11" s="3" t="s">
        <v>2024</v>
      </c>
      <c r="R11" s="3">
        <v>93225</v>
      </c>
      <c r="S11" s="19" t="s">
        <v>77</v>
      </c>
      <c r="T11">
        <v>43.99</v>
      </c>
      <c r="U11" s="3">
        <v>3</v>
      </c>
      <c r="W11" s="3">
        <v>1</v>
      </c>
      <c r="X11" s="3">
        <f>AD5</f>
        <v>50</v>
      </c>
      <c r="Y11" s="3">
        <v>0</v>
      </c>
      <c r="Z11" s="3">
        <f>X11+Y11</f>
        <v>50</v>
      </c>
      <c r="AA11" s="3">
        <f ca="1">LOOKUP(RAND(),$Z$3:$Z$7,$W$3:W7)</f>
        <v>5</v>
      </c>
      <c r="AB11" s="3">
        <f ca="1">MIN(AA11,Z11)</f>
        <v>5</v>
      </c>
      <c r="AC11" s="3">
        <f ca="1">Z11-AB11</f>
        <v>45</v>
      </c>
      <c r="AD11" s="3">
        <f ca="1">AA11-AB11</f>
        <v>0</v>
      </c>
      <c r="AE11" s="3">
        <f ca="1">AC11</f>
        <v>45</v>
      </c>
      <c r="AF11" s="3">
        <f t="shared" ref="AF11:AF40" ca="1" si="4">IF(AE11&lt;=$AD$6,1,0)</f>
        <v>0</v>
      </c>
      <c r="AG11" s="3">
        <f ca="1">RANDBETWEEN(1,3)</f>
        <v>1</v>
      </c>
      <c r="AH11" s="3">
        <f ca="1">IF(AF11=1,AG11+W11+1,0)</f>
        <v>0</v>
      </c>
      <c r="AI11" s="3">
        <f t="shared" ref="AI11:AI40" ca="1" si="5">$AG$5*AE11</f>
        <v>2.25</v>
      </c>
      <c r="AJ11" s="3">
        <f t="shared" ref="AJ11:AJ40" ca="1" si="6">$AG$6*AD11</f>
        <v>0</v>
      </c>
      <c r="AK11" s="3">
        <f t="shared" ref="AK11:AK39" ca="1" si="7">IF(AF12=1,$AG$7,0)</f>
        <v>0</v>
      </c>
      <c r="AL11" s="3">
        <f ca="1">SUM(AI11:AK11)</f>
        <v>2.25</v>
      </c>
    </row>
    <row r="12" spans="1:38" x14ac:dyDescent="0.3">
      <c r="B12" s="3">
        <v>1</v>
      </c>
      <c r="C12" s="3">
        <f ca="1">AI41</f>
        <v>63.800000000000018</v>
      </c>
      <c r="D12" s="3">
        <f t="shared" ref="D12:F12" ca="1" si="8">AJ41</f>
        <v>0</v>
      </c>
      <c r="E12" s="3">
        <f t="shared" ca="1" si="8"/>
        <v>2199.5</v>
      </c>
      <c r="F12" s="3">
        <f t="shared" ca="1" si="8"/>
        <v>2263.3000000000006</v>
      </c>
      <c r="R12" s="3">
        <v>14058</v>
      </c>
      <c r="S12" s="19" t="s">
        <v>77</v>
      </c>
      <c r="T12">
        <v>43.99</v>
      </c>
      <c r="U12" s="3">
        <v>5</v>
      </c>
      <c r="W12" s="3">
        <v>2</v>
      </c>
      <c r="X12" s="3">
        <f ca="1">AC11</f>
        <v>45</v>
      </c>
      <c r="Y12" s="3">
        <f ca="1">COUNTIF($AH$11:AH11,W12)*$AD$5</f>
        <v>0</v>
      </c>
      <c r="Z12" s="3">
        <f t="shared" ref="Z12:Z40" ca="1" si="9">X12+Y12</f>
        <v>45</v>
      </c>
      <c r="AA12" s="3">
        <f ca="1">LOOKUP(RAND(),$Z$3:$Z$7,$W$3:W8)</f>
        <v>3</v>
      </c>
      <c r="AB12" s="3">
        <f t="shared" ref="AB12:AB40" ca="1" si="10">MIN(AA12,Z12)</f>
        <v>3</v>
      </c>
      <c r="AC12" s="3">
        <f t="shared" ref="AC12:AC40" ca="1" si="11">Z12-AB12</f>
        <v>42</v>
      </c>
      <c r="AD12" s="3">
        <f t="shared" ref="AD12:AD40" ca="1" si="12">AA12-AB12</f>
        <v>0</v>
      </c>
      <c r="AE12" s="3">
        <f t="shared" ref="AE12:AE40" ca="1" si="13">AE11-AB12+AF11*$AD$5</f>
        <v>42</v>
      </c>
      <c r="AF12" s="3">
        <f t="shared" ca="1" si="4"/>
        <v>0</v>
      </c>
      <c r="AG12" s="3">
        <f t="shared" ref="AG12:AG40" ca="1" si="14">RANDBETWEEN(1,3)</f>
        <v>2</v>
      </c>
      <c r="AH12" s="3">
        <f t="shared" ref="AH12:AH40" ca="1" si="15">IF(AF12=1,AG12+W12+1,0)</f>
        <v>0</v>
      </c>
      <c r="AI12" s="3">
        <f t="shared" ca="1" si="5"/>
        <v>2.1</v>
      </c>
      <c r="AJ12" s="3">
        <f t="shared" ca="1" si="6"/>
        <v>0</v>
      </c>
      <c r="AK12" s="3">
        <f t="shared" ca="1" si="7"/>
        <v>0</v>
      </c>
      <c r="AL12" s="3">
        <f t="shared" ref="AL12:AL40" ca="1" si="16">SUM(AI12:AK12)</f>
        <v>2.1</v>
      </c>
    </row>
    <row r="13" spans="1:38" x14ac:dyDescent="0.3">
      <c r="B13" s="3">
        <v>2</v>
      </c>
      <c r="C13" s="3">
        <f t="dataTable" ref="C13:F1521" dt2D="0" dtr="0" r1="I9" ca="1"/>
        <v>59.999999999999993</v>
      </c>
      <c r="D13" s="3">
        <v>0</v>
      </c>
      <c r="E13" s="3">
        <v>2199.5</v>
      </c>
      <c r="F13" s="3">
        <v>2259.5</v>
      </c>
      <c r="R13" s="3">
        <v>11801</v>
      </c>
      <c r="S13" s="19" t="s">
        <v>77</v>
      </c>
      <c r="T13">
        <v>43.99</v>
      </c>
      <c r="U13" s="3">
        <v>3</v>
      </c>
      <c r="W13" s="3">
        <v>3</v>
      </c>
      <c r="X13" s="3">
        <f t="shared" ref="X13:X40" ca="1" si="17">AC12</f>
        <v>42</v>
      </c>
      <c r="Y13" s="3">
        <f ca="1">COUNTIF($AH$11:AH12,W13)*$AD$5</f>
        <v>0</v>
      </c>
      <c r="Z13" s="3">
        <f t="shared" ca="1" si="9"/>
        <v>42</v>
      </c>
      <c r="AA13" s="3">
        <f ca="1">LOOKUP(RAND(),$Z$3:$Z$7,$W$3:W9)</f>
        <v>1</v>
      </c>
      <c r="AB13" s="3">
        <f t="shared" ca="1" si="10"/>
        <v>1</v>
      </c>
      <c r="AC13" s="3">
        <f t="shared" ca="1" si="11"/>
        <v>41</v>
      </c>
      <c r="AD13" s="3">
        <f t="shared" ca="1" si="12"/>
        <v>0</v>
      </c>
      <c r="AE13" s="3">
        <f t="shared" ca="1" si="13"/>
        <v>41</v>
      </c>
      <c r="AF13" s="3">
        <f t="shared" ca="1" si="4"/>
        <v>0</v>
      </c>
      <c r="AG13" s="3">
        <f t="shared" ca="1" si="14"/>
        <v>3</v>
      </c>
      <c r="AH13" s="3">
        <f t="shared" ca="1" si="15"/>
        <v>0</v>
      </c>
      <c r="AI13" s="3">
        <f t="shared" ca="1" si="5"/>
        <v>2.0500000000000003</v>
      </c>
      <c r="AJ13" s="3">
        <f t="shared" ca="1" si="6"/>
        <v>0</v>
      </c>
      <c r="AK13" s="3">
        <f t="shared" ca="1" si="7"/>
        <v>0</v>
      </c>
      <c r="AL13" s="3">
        <f t="shared" ca="1" si="16"/>
        <v>2.0500000000000003</v>
      </c>
    </row>
    <row r="14" spans="1:38" x14ac:dyDescent="0.3">
      <c r="B14" s="3">
        <v>3</v>
      </c>
      <c r="C14" s="3">
        <v>62.499999999999993</v>
      </c>
      <c r="D14" s="3">
        <v>0</v>
      </c>
      <c r="E14" s="3">
        <v>2199.5</v>
      </c>
      <c r="F14" s="3">
        <v>2262.0000000000009</v>
      </c>
      <c r="R14" s="3">
        <v>49296</v>
      </c>
      <c r="S14" s="19" t="s">
        <v>77</v>
      </c>
      <c r="T14">
        <v>43.99</v>
      </c>
      <c r="U14" s="3">
        <v>5</v>
      </c>
      <c r="W14" s="3">
        <v>4</v>
      </c>
      <c r="X14" s="3">
        <f t="shared" ca="1" si="17"/>
        <v>41</v>
      </c>
      <c r="Y14" s="3">
        <f ca="1">COUNTIF($AH$11:AH13,W14)*$AD$5</f>
        <v>0</v>
      </c>
      <c r="Z14" s="3">
        <f t="shared" ca="1" si="9"/>
        <v>41</v>
      </c>
      <c r="AA14" s="3">
        <f ca="1">LOOKUP(RAND(),$Z$3:$Z$7,$W$3:W9)</f>
        <v>2</v>
      </c>
      <c r="AB14" s="3">
        <f t="shared" ca="1" si="10"/>
        <v>2</v>
      </c>
      <c r="AC14" s="3">
        <f t="shared" ca="1" si="11"/>
        <v>39</v>
      </c>
      <c r="AD14" s="3">
        <f t="shared" ca="1" si="12"/>
        <v>0</v>
      </c>
      <c r="AE14" s="3">
        <f t="shared" ca="1" si="13"/>
        <v>39</v>
      </c>
      <c r="AF14" s="3">
        <f t="shared" ca="1" si="4"/>
        <v>0</v>
      </c>
      <c r="AG14" s="3">
        <f t="shared" ca="1" si="14"/>
        <v>3</v>
      </c>
      <c r="AH14" s="3">
        <f t="shared" ca="1" si="15"/>
        <v>0</v>
      </c>
      <c r="AI14" s="3">
        <f t="shared" ca="1" si="5"/>
        <v>1.9500000000000002</v>
      </c>
      <c r="AJ14" s="3">
        <f t="shared" ca="1" si="6"/>
        <v>0</v>
      </c>
      <c r="AK14" s="3">
        <f t="shared" ca="1" si="7"/>
        <v>0</v>
      </c>
      <c r="AL14" s="3">
        <f t="shared" ca="1" si="16"/>
        <v>1.9500000000000002</v>
      </c>
    </row>
    <row r="15" spans="1:38" x14ac:dyDescent="0.3">
      <c r="B15" s="3">
        <v>4</v>
      </c>
      <c r="C15" s="3">
        <v>60.85</v>
      </c>
      <c r="D15" s="3">
        <v>0</v>
      </c>
      <c r="E15" s="3">
        <v>2199.5</v>
      </c>
      <c r="F15" s="3">
        <v>2260.35</v>
      </c>
      <c r="R15" s="3">
        <v>24099</v>
      </c>
      <c r="S15" s="19" t="s">
        <v>77</v>
      </c>
      <c r="T15">
        <v>43.99</v>
      </c>
      <c r="U15" s="3">
        <v>4</v>
      </c>
      <c r="W15" s="3">
        <v>5</v>
      </c>
      <c r="X15" s="3">
        <f t="shared" ca="1" si="17"/>
        <v>39</v>
      </c>
      <c r="Y15" s="3">
        <f ca="1">COUNTIF($AH$11:AH14,W15)*$AD$5</f>
        <v>0</v>
      </c>
      <c r="Z15" s="3">
        <f t="shared" ca="1" si="9"/>
        <v>39</v>
      </c>
      <c r="AA15" s="3">
        <f ca="1">LOOKUP(RAND(),$Z$3:$Z$7,$W$3:W9)</f>
        <v>5</v>
      </c>
      <c r="AB15" s="3">
        <f t="shared" ca="1" si="10"/>
        <v>5</v>
      </c>
      <c r="AC15" s="3">
        <f t="shared" ca="1" si="11"/>
        <v>34</v>
      </c>
      <c r="AD15" s="3">
        <f t="shared" ca="1" si="12"/>
        <v>0</v>
      </c>
      <c r="AE15" s="3">
        <f t="shared" ca="1" si="13"/>
        <v>34</v>
      </c>
      <c r="AF15" s="3">
        <f t="shared" ca="1" si="4"/>
        <v>0</v>
      </c>
      <c r="AG15" s="3">
        <f t="shared" ca="1" si="14"/>
        <v>2</v>
      </c>
      <c r="AH15" s="3">
        <f t="shared" ca="1" si="15"/>
        <v>0</v>
      </c>
      <c r="AI15" s="3">
        <f t="shared" ca="1" si="5"/>
        <v>1.7000000000000002</v>
      </c>
      <c r="AJ15" s="3">
        <f t="shared" ca="1" si="6"/>
        <v>0</v>
      </c>
      <c r="AK15" s="3">
        <f t="shared" ca="1" si="7"/>
        <v>0</v>
      </c>
      <c r="AL15" s="3">
        <f t="shared" ca="1" si="16"/>
        <v>1.7000000000000002</v>
      </c>
    </row>
    <row r="16" spans="1:38" x14ac:dyDescent="0.3">
      <c r="B16" s="3">
        <v>5</v>
      </c>
      <c r="C16" s="3">
        <v>63.000000000000014</v>
      </c>
      <c r="D16" s="3">
        <v>0</v>
      </c>
      <c r="E16" s="3">
        <v>2199.5</v>
      </c>
      <c r="F16" s="3">
        <v>2262.5</v>
      </c>
      <c r="R16" s="3">
        <v>29877</v>
      </c>
      <c r="S16" s="19" t="s">
        <v>77</v>
      </c>
      <c r="T16">
        <v>43.99</v>
      </c>
      <c r="U16" s="3">
        <v>5</v>
      </c>
      <c r="W16" s="3">
        <v>6</v>
      </c>
      <c r="X16" s="3">
        <f t="shared" ca="1" si="17"/>
        <v>34</v>
      </c>
      <c r="Y16" s="3">
        <f ca="1">COUNTIF($AH$11:AH15,W16)*$AD$5</f>
        <v>0</v>
      </c>
      <c r="Z16" s="3">
        <f t="shared" ca="1" si="9"/>
        <v>34</v>
      </c>
      <c r="AA16" s="3">
        <f ca="1">LOOKUP(RAND(),$Z$3:$Z$7,$W$3:W9)</f>
        <v>1</v>
      </c>
      <c r="AB16" s="3">
        <f t="shared" ca="1" si="10"/>
        <v>1</v>
      </c>
      <c r="AC16" s="3">
        <f t="shared" ca="1" si="11"/>
        <v>33</v>
      </c>
      <c r="AD16" s="3">
        <f t="shared" ca="1" si="12"/>
        <v>0</v>
      </c>
      <c r="AE16" s="3">
        <f t="shared" ca="1" si="13"/>
        <v>33</v>
      </c>
      <c r="AF16" s="3">
        <f t="shared" ca="1" si="4"/>
        <v>0</v>
      </c>
      <c r="AG16" s="3">
        <f t="shared" ca="1" si="14"/>
        <v>2</v>
      </c>
      <c r="AH16" s="3">
        <f t="shared" ca="1" si="15"/>
        <v>0</v>
      </c>
      <c r="AI16" s="3">
        <f t="shared" ca="1" si="5"/>
        <v>1.6500000000000001</v>
      </c>
      <c r="AJ16" s="3">
        <f t="shared" ca="1" si="6"/>
        <v>0</v>
      </c>
      <c r="AK16" s="3">
        <f t="shared" ca="1" si="7"/>
        <v>0</v>
      </c>
      <c r="AL16" s="3">
        <f t="shared" ca="1" si="16"/>
        <v>1.6500000000000001</v>
      </c>
    </row>
    <row r="17" spans="2:38" x14ac:dyDescent="0.3">
      <c r="B17" s="3">
        <v>6</v>
      </c>
      <c r="C17" s="3">
        <v>63.7</v>
      </c>
      <c r="D17" s="3">
        <v>0</v>
      </c>
      <c r="E17" s="3">
        <v>2199.5</v>
      </c>
      <c r="F17" s="3">
        <v>2263.1999999999998</v>
      </c>
      <c r="R17" s="3">
        <v>67939</v>
      </c>
      <c r="S17" s="19" t="s">
        <v>77</v>
      </c>
      <c r="T17">
        <v>43.99</v>
      </c>
      <c r="U17" s="3">
        <v>5</v>
      </c>
      <c r="W17" s="3">
        <v>7</v>
      </c>
      <c r="X17" s="3">
        <f t="shared" ca="1" si="17"/>
        <v>33</v>
      </c>
      <c r="Y17" s="3">
        <f ca="1">COUNTIF($AH$11:AH16,W17)*$AD$5</f>
        <v>0</v>
      </c>
      <c r="Z17" s="3">
        <f t="shared" ca="1" si="9"/>
        <v>33</v>
      </c>
      <c r="AA17" s="3">
        <f ca="1">LOOKUP(RAND(),$Z$3:$Z$7,$W$3:W9)</f>
        <v>3</v>
      </c>
      <c r="AB17" s="3">
        <f t="shared" ca="1" si="10"/>
        <v>3</v>
      </c>
      <c r="AC17" s="3">
        <f t="shared" ca="1" si="11"/>
        <v>30</v>
      </c>
      <c r="AD17" s="3">
        <f t="shared" ca="1" si="12"/>
        <v>0</v>
      </c>
      <c r="AE17" s="3">
        <f t="shared" ca="1" si="13"/>
        <v>30</v>
      </c>
      <c r="AF17" s="3">
        <f t="shared" ca="1" si="4"/>
        <v>0</v>
      </c>
      <c r="AG17" s="3">
        <f t="shared" ca="1" si="14"/>
        <v>2</v>
      </c>
      <c r="AH17" s="3">
        <f t="shared" ca="1" si="15"/>
        <v>0</v>
      </c>
      <c r="AI17" s="3">
        <f t="shared" ca="1" si="5"/>
        <v>1.5</v>
      </c>
      <c r="AJ17" s="3">
        <f t="shared" ca="1" si="6"/>
        <v>0</v>
      </c>
      <c r="AK17" s="3">
        <f t="shared" ca="1" si="7"/>
        <v>0</v>
      </c>
      <c r="AL17" s="3">
        <f t="shared" ca="1" si="16"/>
        <v>1.5</v>
      </c>
    </row>
    <row r="18" spans="2:38" x14ac:dyDescent="0.3">
      <c r="B18" s="3">
        <v>7</v>
      </c>
      <c r="C18" s="3">
        <v>60.099999999999987</v>
      </c>
      <c r="D18" s="3">
        <v>0</v>
      </c>
      <c r="E18" s="3">
        <v>2199.5</v>
      </c>
      <c r="F18" s="3">
        <v>2259.6000000000004</v>
      </c>
      <c r="R18" s="3">
        <v>63644</v>
      </c>
      <c r="S18" s="19" t="s">
        <v>77</v>
      </c>
      <c r="T18">
        <v>43.99</v>
      </c>
      <c r="U18" s="3">
        <v>2</v>
      </c>
      <c r="W18" s="3">
        <v>8</v>
      </c>
      <c r="X18" s="3">
        <f t="shared" ca="1" si="17"/>
        <v>30</v>
      </c>
      <c r="Y18" s="3">
        <f ca="1">COUNTIF($AH$11:AH17,W18)*$AD$5</f>
        <v>0</v>
      </c>
      <c r="Z18" s="3">
        <f t="shared" ca="1" si="9"/>
        <v>30</v>
      </c>
      <c r="AA18" s="3">
        <f ca="1">LOOKUP(RAND(),$Z$3:$Z$7,$W$3:W9)</f>
        <v>1</v>
      </c>
      <c r="AB18" s="3">
        <f t="shared" ca="1" si="10"/>
        <v>1</v>
      </c>
      <c r="AC18" s="3">
        <f t="shared" ca="1" si="11"/>
        <v>29</v>
      </c>
      <c r="AD18" s="3">
        <f t="shared" ca="1" si="12"/>
        <v>0</v>
      </c>
      <c r="AE18" s="3">
        <f t="shared" ca="1" si="13"/>
        <v>29</v>
      </c>
      <c r="AF18" s="3">
        <f t="shared" ca="1" si="4"/>
        <v>0</v>
      </c>
      <c r="AG18" s="3">
        <f t="shared" ca="1" si="14"/>
        <v>3</v>
      </c>
      <c r="AH18" s="3">
        <f t="shared" ca="1" si="15"/>
        <v>0</v>
      </c>
      <c r="AI18" s="3">
        <f t="shared" ca="1" si="5"/>
        <v>1.4500000000000002</v>
      </c>
      <c r="AJ18" s="3">
        <f t="shared" ca="1" si="6"/>
        <v>0</v>
      </c>
      <c r="AK18" s="3">
        <f t="shared" ca="1" si="7"/>
        <v>0</v>
      </c>
      <c r="AL18" s="3">
        <f t="shared" ca="1" si="16"/>
        <v>1.4500000000000002</v>
      </c>
    </row>
    <row r="19" spans="2:38" x14ac:dyDescent="0.3">
      <c r="B19" s="3">
        <v>8</v>
      </c>
      <c r="C19" s="3">
        <v>61.000000000000007</v>
      </c>
      <c r="D19" s="3">
        <v>0</v>
      </c>
      <c r="E19" s="3">
        <v>2199.5</v>
      </c>
      <c r="F19" s="3">
        <v>2260.4999999999995</v>
      </c>
      <c r="R19" s="3">
        <v>44945</v>
      </c>
      <c r="S19" s="19" t="s">
        <v>77</v>
      </c>
      <c r="T19">
        <v>43.99</v>
      </c>
      <c r="U19" s="3">
        <v>5</v>
      </c>
      <c r="W19" s="3">
        <v>9</v>
      </c>
      <c r="X19" s="3">
        <f t="shared" ca="1" si="17"/>
        <v>29</v>
      </c>
      <c r="Y19" s="3">
        <f ca="1">COUNTIF($AH$11:AH18,W19)*$AD$5</f>
        <v>0</v>
      </c>
      <c r="Z19" s="3">
        <f t="shared" ca="1" si="9"/>
        <v>29</v>
      </c>
      <c r="AA19" s="3">
        <f ca="1">LOOKUP(RAND(),$Z$3:$Z$7,$W$3:W9)</f>
        <v>3</v>
      </c>
      <c r="AB19" s="3">
        <f t="shared" ca="1" si="10"/>
        <v>3</v>
      </c>
      <c r="AC19" s="3">
        <f t="shared" ca="1" si="11"/>
        <v>26</v>
      </c>
      <c r="AD19" s="3">
        <f t="shared" ca="1" si="12"/>
        <v>0</v>
      </c>
      <c r="AE19" s="3">
        <f t="shared" ca="1" si="13"/>
        <v>26</v>
      </c>
      <c r="AF19" s="3">
        <f t="shared" ca="1" si="4"/>
        <v>0</v>
      </c>
      <c r="AG19" s="3">
        <f t="shared" ca="1" si="14"/>
        <v>3</v>
      </c>
      <c r="AH19" s="3">
        <f t="shared" ca="1" si="15"/>
        <v>0</v>
      </c>
      <c r="AI19" s="3">
        <f t="shared" ca="1" si="5"/>
        <v>1.3</v>
      </c>
      <c r="AJ19" s="3">
        <f t="shared" ca="1" si="6"/>
        <v>0</v>
      </c>
      <c r="AK19" s="3">
        <f t="shared" ca="1" si="7"/>
        <v>0</v>
      </c>
      <c r="AL19" s="3">
        <f t="shared" ca="1" si="16"/>
        <v>1.3</v>
      </c>
    </row>
    <row r="20" spans="2:38" x14ac:dyDescent="0.3">
      <c r="B20" s="3">
        <v>9</v>
      </c>
      <c r="C20" s="3">
        <v>61.449999999999996</v>
      </c>
      <c r="D20" s="3">
        <v>0</v>
      </c>
      <c r="E20" s="3">
        <v>1099.75</v>
      </c>
      <c r="F20" s="3">
        <v>1161.2</v>
      </c>
      <c r="R20" s="3">
        <v>57442</v>
      </c>
      <c r="S20" s="19" t="s">
        <v>77</v>
      </c>
      <c r="T20">
        <v>43.99</v>
      </c>
      <c r="U20" s="3">
        <v>1</v>
      </c>
      <c r="W20" s="3">
        <v>10</v>
      </c>
      <c r="X20" s="3">
        <f t="shared" ca="1" si="17"/>
        <v>26</v>
      </c>
      <c r="Y20" s="3">
        <f ca="1">COUNTIF($AH$11:AH19,W20)*$AD$5</f>
        <v>0</v>
      </c>
      <c r="Z20" s="3">
        <f t="shared" ca="1" si="9"/>
        <v>26</v>
      </c>
      <c r="AA20" s="3">
        <f ca="1">LOOKUP(RAND(),$Z$3:$Z$7,$W$3:W9)</f>
        <v>1</v>
      </c>
      <c r="AB20" s="3">
        <f t="shared" ca="1" si="10"/>
        <v>1</v>
      </c>
      <c r="AC20" s="3">
        <f t="shared" ca="1" si="11"/>
        <v>25</v>
      </c>
      <c r="AD20" s="3">
        <f t="shared" ca="1" si="12"/>
        <v>0</v>
      </c>
      <c r="AE20" s="3">
        <f t="shared" ca="1" si="13"/>
        <v>25</v>
      </c>
      <c r="AF20" s="3">
        <f t="shared" ca="1" si="4"/>
        <v>0</v>
      </c>
      <c r="AG20" s="3">
        <f t="shared" ca="1" si="14"/>
        <v>1</v>
      </c>
      <c r="AH20" s="3">
        <f t="shared" ca="1" si="15"/>
        <v>0</v>
      </c>
      <c r="AI20" s="3">
        <f t="shared" ca="1" si="5"/>
        <v>1.25</v>
      </c>
      <c r="AJ20" s="3">
        <f t="shared" ca="1" si="6"/>
        <v>0</v>
      </c>
      <c r="AK20" s="3">
        <f t="shared" ca="1" si="7"/>
        <v>0</v>
      </c>
      <c r="AL20" s="3">
        <f t="shared" ca="1" si="16"/>
        <v>1.25</v>
      </c>
    </row>
    <row r="21" spans="2:38" x14ac:dyDescent="0.3">
      <c r="B21" s="3">
        <v>10</v>
      </c>
      <c r="C21" s="3">
        <v>60.6</v>
      </c>
      <c r="D21" s="3">
        <v>0</v>
      </c>
      <c r="E21" s="3">
        <v>2199.5</v>
      </c>
      <c r="F21" s="3">
        <v>2260.1</v>
      </c>
      <c r="W21" s="3">
        <v>11</v>
      </c>
      <c r="X21" s="3">
        <f t="shared" ca="1" si="17"/>
        <v>25</v>
      </c>
      <c r="Y21" s="3">
        <f ca="1">COUNTIF($AH$11:AH20,W21)*$AD$5</f>
        <v>0</v>
      </c>
      <c r="Z21" s="3">
        <f t="shared" ca="1" si="9"/>
        <v>25</v>
      </c>
      <c r="AA21" s="3">
        <f ca="1">LOOKUP(RAND(),$Z$3:$Z$7,$W$3:W9)</f>
        <v>1</v>
      </c>
      <c r="AB21" s="3">
        <f t="shared" ca="1" si="10"/>
        <v>1</v>
      </c>
      <c r="AC21" s="3">
        <f t="shared" ca="1" si="11"/>
        <v>24</v>
      </c>
      <c r="AD21" s="3">
        <f t="shared" ca="1" si="12"/>
        <v>0</v>
      </c>
      <c r="AE21" s="3">
        <f t="shared" ca="1" si="13"/>
        <v>24</v>
      </c>
      <c r="AF21" s="3">
        <f t="shared" ca="1" si="4"/>
        <v>0</v>
      </c>
      <c r="AG21" s="3">
        <f t="shared" ca="1" si="14"/>
        <v>1</v>
      </c>
      <c r="AH21" s="3">
        <f t="shared" ca="1" si="15"/>
        <v>0</v>
      </c>
      <c r="AI21" s="3">
        <f t="shared" ca="1" si="5"/>
        <v>1.2000000000000002</v>
      </c>
      <c r="AJ21" s="3">
        <f t="shared" ca="1" si="6"/>
        <v>0</v>
      </c>
      <c r="AK21" s="3">
        <f t="shared" ca="1" si="7"/>
        <v>1099.75</v>
      </c>
      <c r="AL21" s="3">
        <f t="shared" ca="1" si="16"/>
        <v>1100.95</v>
      </c>
    </row>
    <row r="22" spans="2:38" x14ac:dyDescent="0.3">
      <c r="B22" s="3">
        <v>11</v>
      </c>
      <c r="C22" s="3">
        <v>67.299999999999983</v>
      </c>
      <c r="D22" s="3">
        <v>0</v>
      </c>
      <c r="E22" s="3">
        <v>1099.75</v>
      </c>
      <c r="F22" s="3">
        <v>1167.05</v>
      </c>
      <c r="W22" s="3">
        <v>12</v>
      </c>
      <c r="X22" s="3">
        <f t="shared" ca="1" si="17"/>
        <v>24</v>
      </c>
      <c r="Y22" s="3">
        <f ca="1">COUNTIF($AH$11:AH21,W22)*$AD$5</f>
        <v>0</v>
      </c>
      <c r="Z22" s="3">
        <f t="shared" ca="1" si="9"/>
        <v>24</v>
      </c>
      <c r="AA22" s="3">
        <f ca="1">LOOKUP(RAND(),$Z$3:$Z$7,$W$3:W9)</f>
        <v>5</v>
      </c>
      <c r="AB22" s="3">
        <f t="shared" ca="1" si="10"/>
        <v>5</v>
      </c>
      <c r="AC22" s="3">
        <f t="shared" ca="1" si="11"/>
        <v>19</v>
      </c>
      <c r="AD22" s="3">
        <f t="shared" ca="1" si="12"/>
        <v>0</v>
      </c>
      <c r="AE22" s="3">
        <f t="shared" ca="1" si="13"/>
        <v>19</v>
      </c>
      <c r="AF22" s="3">
        <f t="shared" ca="1" si="4"/>
        <v>1</v>
      </c>
      <c r="AG22" s="3">
        <f t="shared" ca="1" si="14"/>
        <v>2</v>
      </c>
      <c r="AH22" s="3">
        <f t="shared" ca="1" si="15"/>
        <v>15</v>
      </c>
      <c r="AI22" s="3">
        <f t="shared" ca="1" si="5"/>
        <v>0.95000000000000007</v>
      </c>
      <c r="AJ22" s="3">
        <f t="shared" ca="1" si="6"/>
        <v>0</v>
      </c>
      <c r="AK22" s="3">
        <f t="shared" ca="1" si="7"/>
        <v>0</v>
      </c>
      <c r="AL22" s="3">
        <f t="shared" ca="1" si="16"/>
        <v>0.95000000000000007</v>
      </c>
    </row>
    <row r="23" spans="2:38" x14ac:dyDescent="0.3">
      <c r="B23" s="3">
        <v>12</v>
      </c>
      <c r="C23" s="3">
        <v>59.3</v>
      </c>
      <c r="D23" s="3">
        <v>0</v>
      </c>
      <c r="E23" s="3">
        <v>2199.5</v>
      </c>
      <c r="F23" s="3">
        <v>2258.7999999999997</v>
      </c>
      <c r="W23" s="3">
        <v>13</v>
      </c>
      <c r="X23" s="3">
        <f t="shared" ca="1" si="17"/>
        <v>19</v>
      </c>
      <c r="Y23" s="3">
        <f ca="1">COUNTIF($AH$11:AH22,W23)*$AD$5</f>
        <v>0</v>
      </c>
      <c r="Z23" s="3">
        <f t="shared" ca="1" si="9"/>
        <v>19</v>
      </c>
      <c r="AA23" s="3">
        <f ca="1">LOOKUP(RAND(),$Z$3:$Z$7,$W$3:W9)</f>
        <v>1</v>
      </c>
      <c r="AB23" s="3">
        <f t="shared" ca="1" si="10"/>
        <v>1</v>
      </c>
      <c r="AC23" s="3">
        <f t="shared" ca="1" si="11"/>
        <v>18</v>
      </c>
      <c r="AD23" s="3">
        <f t="shared" ca="1" si="12"/>
        <v>0</v>
      </c>
      <c r="AE23" s="3">
        <f t="shared" ca="1" si="13"/>
        <v>68</v>
      </c>
      <c r="AF23" s="3">
        <f t="shared" ca="1" si="4"/>
        <v>0</v>
      </c>
      <c r="AG23" s="3">
        <f t="shared" ca="1" si="14"/>
        <v>1</v>
      </c>
      <c r="AH23" s="3">
        <f t="shared" ca="1" si="15"/>
        <v>0</v>
      </c>
      <c r="AI23" s="3">
        <f t="shared" ca="1" si="5"/>
        <v>3.4000000000000004</v>
      </c>
      <c r="AJ23" s="3">
        <f t="shared" ca="1" si="6"/>
        <v>0</v>
      </c>
      <c r="AK23" s="3">
        <f t="shared" ca="1" si="7"/>
        <v>0</v>
      </c>
      <c r="AL23" s="3">
        <f t="shared" ca="1" si="16"/>
        <v>3.4000000000000004</v>
      </c>
    </row>
    <row r="24" spans="2:38" x14ac:dyDescent="0.3">
      <c r="B24" s="3">
        <v>13</v>
      </c>
      <c r="C24" s="3">
        <v>63.75</v>
      </c>
      <c r="D24" s="3">
        <v>0</v>
      </c>
      <c r="E24" s="3">
        <v>2199.5</v>
      </c>
      <c r="F24" s="3">
        <v>2263.25</v>
      </c>
      <c r="W24" s="3">
        <v>14</v>
      </c>
      <c r="X24" s="3">
        <f t="shared" ca="1" si="17"/>
        <v>18</v>
      </c>
      <c r="Y24" s="3">
        <f ca="1">COUNTIF($AH$11:AH23,W24)*$AD$5</f>
        <v>0</v>
      </c>
      <c r="Z24" s="3">
        <f t="shared" ca="1" si="9"/>
        <v>18</v>
      </c>
      <c r="AA24" s="3">
        <f ca="1">LOOKUP(RAND(),$Z$3:$Z$7,$W$3:W9)</f>
        <v>1</v>
      </c>
      <c r="AB24" s="3">
        <f t="shared" ca="1" si="10"/>
        <v>1</v>
      </c>
      <c r="AC24" s="3">
        <f t="shared" ca="1" si="11"/>
        <v>17</v>
      </c>
      <c r="AD24" s="3">
        <f t="shared" ca="1" si="12"/>
        <v>0</v>
      </c>
      <c r="AE24" s="3">
        <f t="shared" ca="1" si="13"/>
        <v>67</v>
      </c>
      <c r="AF24" s="3">
        <f t="shared" ca="1" si="4"/>
        <v>0</v>
      </c>
      <c r="AG24" s="3">
        <f t="shared" ca="1" si="14"/>
        <v>1</v>
      </c>
      <c r="AH24" s="3">
        <f t="shared" ca="1" si="15"/>
        <v>0</v>
      </c>
      <c r="AI24" s="3">
        <f t="shared" ca="1" si="5"/>
        <v>3.35</v>
      </c>
      <c r="AJ24" s="3">
        <f t="shared" ca="1" si="6"/>
        <v>0</v>
      </c>
      <c r="AK24" s="3">
        <f t="shared" ca="1" si="7"/>
        <v>0</v>
      </c>
      <c r="AL24" s="3">
        <f t="shared" ca="1" si="16"/>
        <v>3.35</v>
      </c>
    </row>
    <row r="25" spans="2:38" x14ac:dyDescent="0.3">
      <c r="B25" s="3">
        <v>14</v>
      </c>
      <c r="C25" s="3">
        <v>57.300000000000018</v>
      </c>
      <c r="D25" s="3">
        <v>0</v>
      </c>
      <c r="E25" s="3">
        <v>2199.5</v>
      </c>
      <c r="F25" s="3">
        <v>2256.7999999999997</v>
      </c>
      <c r="W25" s="3">
        <v>15</v>
      </c>
      <c r="X25" s="3">
        <f t="shared" ca="1" si="17"/>
        <v>17</v>
      </c>
      <c r="Y25" s="3">
        <f ca="1">COUNTIF($AH$11:AH24,W25)*$AD$5</f>
        <v>50</v>
      </c>
      <c r="Z25" s="3">
        <f t="shared" ca="1" si="9"/>
        <v>67</v>
      </c>
      <c r="AA25" s="3">
        <f ca="1">LOOKUP(RAND(),$Z$3:$Z$7,$W$3:W9)</f>
        <v>1</v>
      </c>
      <c r="AB25" s="3">
        <f t="shared" ca="1" si="10"/>
        <v>1</v>
      </c>
      <c r="AC25" s="3">
        <f t="shared" ca="1" si="11"/>
        <v>66</v>
      </c>
      <c r="AD25" s="3">
        <f t="shared" ca="1" si="12"/>
        <v>0</v>
      </c>
      <c r="AE25" s="3">
        <f t="shared" ca="1" si="13"/>
        <v>66</v>
      </c>
      <c r="AF25" s="3">
        <f t="shared" ca="1" si="4"/>
        <v>0</v>
      </c>
      <c r="AG25" s="3">
        <f t="shared" ca="1" si="14"/>
        <v>1</v>
      </c>
      <c r="AH25" s="3">
        <f t="shared" ca="1" si="15"/>
        <v>0</v>
      </c>
      <c r="AI25" s="3">
        <f t="shared" ca="1" si="5"/>
        <v>3.3000000000000003</v>
      </c>
      <c r="AJ25" s="3">
        <f t="shared" ca="1" si="6"/>
        <v>0</v>
      </c>
      <c r="AK25" s="3">
        <f t="shared" ca="1" si="7"/>
        <v>0</v>
      </c>
      <c r="AL25" s="3">
        <f t="shared" ca="1" si="16"/>
        <v>3.3000000000000003</v>
      </c>
    </row>
    <row r="26" spans="2:38" x14ac:dyDescent="0.3">
      <c r="B26" s="3">
        <v>15</v>
      </c>
      <c r="C26" s="3">
        <v>62.95</v>
      </c>
      <c r="D26" s="3">
        <v>0</v>
      </c>
      <c r="E26" s="3">
        <v>2199.5</v>
      </c>
      <c r="F26" s="3">
        <v>2262.4499999999998</v>
      </c>
      <c r="W26" s="3">
        <v>16</v>
      </c>
      <c r="X26" s="3">
        <f t="shared" ca="1" si="17"/>
        <v>66</v>
      </c>
      <c r="Y26" s="3">
        <f ca="1">COUNTIF($AH$11:AH25,W26)*$AD$5</f>
        <v>0</v>
      </c>
      <c r="Z26" s="3">
        <f t="shared" ca="1" si="9"/>
        <v>66</v>
      </c>
      <c r="AA26" s="3">
        <f ca="1">LOOKUP(RAND(),$Z$3:$Z$7,$W$3:W9)</f>
        <v>1</v>
      </c>
      <c r="AB26" s="3">
        <f t="shared" ca="1" si="10"/>
        <v>1</v>
      </c>
      <c r="AC26" s="3">
        <f t="shared" ca="1" si="11"/>
        <v>65</v>
      </c>
      <c r="AD26" s="3">
        <f t="shared" ca="1" si="12"/>
        <v>0</v>
      </c>
      <c r="AE26" s="3">
        <f t="shared" ca="1" si="13"/>
        <v>65</v>
      </c>
      <c r="AF26" s="3">
        <f t="shared" ca="1" si="4"/>
        <v>0</v>
      </c>
      <c r="AG26" s="3">
        <f t="shared" ca="1" si="14"/>
        <v>2</v>
      </c>
      <c r="AH26" s="3">
        <f t="shared" ca="1" si="15"/>
        <v>0</v>
      </c>
      <c r="AI26" s="3">
        <f t="shared" ca="1" si="5"/>
        <v>3.25</v>
      </c>
      <c r="AJ26" s="3">
        <f t="shared" ca="1" si="6"/>
        <v>0</v>
      </c>
      <c r="AK26" s="3">
        <f t="shared" ca="1" si="7"/>
        <v>0</v>
      </c>
      <c r="AL26" s="3">
        <f t="shared" ca="1" si="16"/>
        <v>3.25</v>
      </c>
    </row>
    <row r="27" spans="2:38" x14ac:dyDescent="0.3">
      <c r="B27" s="3">
        <v>16</v>
      </c>
      <c r="C27" s="3">
        <v>62.35</v>
      </c>
      <c r="D27" s="3">
        <v>0</v>
      </c>
      <c r="E27" s="3">
        <v>2199.5</v>
      </c>
      <c r="F27" s="3">
        <v>2261.8499999999995</v>
      </c>
      <c r="W27" s="3">
        <v>17</v>
      </c>
      <c r="X27" s="3">
        <f t="shared" ca="1" si="17"/>
        <v>65</v>
      </c>
      <c r="Y27" s="3">
        <f ca="1">COUNTIF($AH$11:AH26,W27)*$AD$5</f>
        <v>0</v>
      </c>
      <c r="Z27" s="3">
        <f t="shared" ca="1" si="9"/>
        <v>65</v>
      </c>
      <c r="AA27" s="3">
        <f ca="1">LOOKUP(RAND(),$Z$3:$Z$7,$W$3:W9)</f>
        <v>3</v>
      </c>
      <c r="AB27" s="3">
        <f t="shared" ca="1" si="10"/>
        <v>3</v>
      </c>
      <c r="AC27" s="3">
        <f t="shared" ca="1" si="11"/>
        <v>62</v>
      </c>
      <c r="AD27" s="3">
        <f t="shared" ca="1" si="12"/>
        <v>0</v>
      </c>
      <c r="AE27" s="3">
        <f t="shared" ca="1" si="13"/>
        <v>62</v>
      </c>
      <c r="AF27" s="3">
        <f t="shared" ca="1" si="4"/>
        <v>0</v>
      </c>
      <c r="AG27" s="3">
        <f t="shared" ca="1" si="14"/>
        <v>3</v>
      </c>
      <c r="AH27" s="3">
        <f t="shared" ca="1" si="15"/>
        <v>0</v>
      </c>
      <c r="AI27" s="3">
        <f t="shared" ca="1" si="5"/>
        <v>3.1</v>
      </c>
      <c r="AJ27" s="3">
        <f t="shared" ca="1" si="6"/>
        <v>0</v>
      </c>
      <c r="AK27" s="3">
        <f t="shared" ca="1" si="7"/>
        <v>0</v>
      </c>
      <c r="AL27" s="3">
        <f t="shared" ca="1" si="16"/>
        <v>3.1</v>
      </c>
    </row>
    <row r="28" spans="2:38" x14ac:dyDescent="0.3">
      <c r="B28" s="3">
        <v>17</v>
      </c>
      <c r="C28" s="3">
        <v>59.000000000000007</v>
      </c>
      <c r="D28" s="3">
        <v>0</v>
      </c>
      <c r="E28" s="3">
        <v>1099.75</v>
      </c>
      <c r="F28" s="3">
        <v>1158.7500000000002</v>
      </c>
      <c r="W28" s="3">
        <v>18</v>
      </c>
      <c r="X28" s="3">
        <f t="shared" ca="1" si="17"/>
        <v>62</v>
      </c>
      <c r="Y28" s="3">
        <f ca="1">COUNTIF($AH$11:AH27,W28)*$AD$5</f>
        <v>0</v>
      </c>
      <c r="Z28" s="3">
        <f t="shared" ca="1" si="9"/>
        <v>62</v>
      </c>
      <c r="AA28" s="3">
        <f ca="1">LOOKUP(RAND(),$Z$3:$Z$7,$W$3:W9)</f>
        <v>5</v>
      </c>
      <c r="AB28" s="3">
        <f t="shared" ca="1" si="10"/>
        <v>5</v>
      </c>
      <c r="AC28" s="3">
        <f t="shared" ca="1" si="11"/>
        <v>57</v>
      </c>
      <c r="AD28" s="3">
        <f t="shared" ca="1" si="12"/>
        <v>0</v>
      </c>
      <c r="AE28" s="3">
        <f t="shared" ca="1" si="13"/>
        <v>57</v>
      </c>
      <c r="AF28" s="3">
        <f t="shared" ca="1" si="4"/>
        <v>0</v>
      </c>
      <c r="AG28" s="3">
        <f t="shared" ca="1" si="14"/>
        <v>1</v>
      </c>
      <c r="AH28" s="3">
        <f t="shared" ca="1" si="15"/>
        <v>0</v>
      </c>
      <c r="AI28" s="3">
        <f t="shared" ca="1" si="5"/>
        <v>2.85</v>
      </c>
      <c r="AJ28" s="3">
        <f t="shared" ca="1" si="6"/>
        <v>0</v>
      </c>
      <c r="AK28" s="3">
        <f t="shared" ca="1" si="7"/>
        <v>0</v>
      </c>
      <c r="AL28" s="3">
        <f t="shared" ca="1" si="16"/>
        <v>2.85</v>
      </c>
    </row>
    <row r="29" spans="2:38" x14ac:dyDescent="0.3">
      <c r="B29" s="3">
        <v>18</v>
      </c>
      <c r="C29" s="3">
        <v>62.999999999999993</v>
      </c>
      <c r="D29" s="3">
        <v>0</v>
      </c>
      <c r="E29" s="3">
        <v>1099.75</v>
      </c>
      <c r="F29" s="3">
        <v>1162.75</v>
      </c>
      <c r="W29" s="3">
        <v>19</v>
      </c>
      <c r="X29" s="3">
        <f t="shared" ca="1" si="17"/>
        <v>57</v>
      </c>
      <c r="Y29" s="3">
        <f ca="1">COUNTIF($AH$11:AH28,W29)*$AD$5</f>
        <v>0</v>
      </c>
      <c r="Z29" s="3">
        <f t="shared" ca="1" si="9"/>
        <v>57</v>
      </c>
      <c r="AA29" s="3">
        <f ca="1">LOOKUP(RAND(),$Z$3:$Z$7,$W$3:W9)</f>
        <v>1</v>
      </c>
      <c r="AB29" s="3">
        <f t="shared" ca="1" si="10"/>
        <v>1</v>
      </c>
      <c r="AC29" s="3">
        <f t="shared" ca="1" si="11"/>
        <v>56</v>
      </c>
      <c r="AD29" s="3">
        <f t="shared" ca="1" si="12"/>
        <v>0</v>
      </c>
      <c r="AE29" s="3">
        <f t="shared" ca="1" si="13"/>
        <v>56</v>
      </c>
      <c r="AF29" s="3">
        <f t="shared" ca="1" si="4"/>
        <v>0</v>
      </c>
      <c r="AG29" s="3">
        <f t="shared" ca="1" si="14"/>
        <v>2</v>
      </c>
      <c r="AH29" s="3">
        <f t="shared" ca="1" si="15"/>
        <v>0</v>
      </c>
      <c r="AI29" s="3">
        <f t="shared" ca="1" si="5"/>
        <v>2.8000000000000003</v>
      </c>
      <c r="AJ29" s="3">
        <f t="shared" ca="1" si="6"/>
        <v>0</v>
      </c>
      <c r="AK29" s="3">
        <f t="shared" ca="1" si="7"/>
        <v>0</v>
      </c>
      <c r="AL29" s="3">
        <f t="shared" ca="1" si="16"/>
        <v>2.8000000000000003</v>
      </c>
    </row>
    <row r="30" spans="2:38" x14ac:dyDescent="0.3">
      <c r="B30" s="3">
        <v>19</v>
      </c>
      <c r="C30" s="3">
        <v>58.54999999999999</v>
      </c>
      <c r="D30" s="3">
        <v>0</v>
      </c>
      <c r="E30" s="3">
        <v>2199.5</v>
      </c>
      <c r="F30" s="3">
        <v>2258.0499999999997</v>
      </c>
      <c r="W30" s="3">
        <v>20</v>
      </c>
      <c r="X30" s="3">
        <f t="shared" ca="1" si="17"/>
        <v>56</v>
      </c>
      <c r="Y30" s="3">
        <f ca="1">COUNTIF($AH$11:AH29,W30)*$AD$5</f>
        <v>0</v>
      </c>
      <c r="Z30" s="3">
        <f t="shared" ca="1" si="9"/>
        <v>56</v>
      </c>
      <c r="AA30" s="3">
        <f ca="1">LOOKUP(RAND(),$Z$3:$Z$7,$W$3:W9)</f>
        <v>2</v>
      </c>
      <c r="AB30" s="3">
        <f t="shared" ca="1" si="10"/>
        <v>2</v>
      </c>
      <c r="AC30" s="3">
        <f t="shared" ca="1" si="11"/>
        <v>54</v>
      </c>
      <c r="AD30" s="3">
        <f t="shared" ca="1" si="12"/>
        <v>0</v>
      </c>
      <c r="AE30" s="3">
        <f t="shared" ca="1" si="13"/>
        <v>54</v>
      </c>
      <c r="AF30" s="3">
        <f t="shared" ca="1" si="4"/>
        <v>0</v>
      </c>
      <c r="AG30" s="3">
        <f t="shared" ca="1" si="14"/>
        <v>2</v>
      </c>
      <c r="AH30" s="3">
        <f t="shared" ca="1" si="15"/>
        <v>0</v>
      </c>
      <c r="AI30" s="3">
        <f t="shared" ca="1" si="5"/>
        <v>2.7</v>
      </c>
      <c r="AJ30" s="3">
        <f t="shared" ca="1" si="6"/>
        <v>0</v>
      </c>
      <c r="AK30" s="3">
        <f t="shared" ca="1" si="7"/>
        <v>0</v>
      </c>
      <c r="AL30" s="3">
        <f t="shared" ca="1" si="16"/>
        <v>2.7</v>
      </c>
    </row>
    <row r="31" spans="2:38" x14ac:dyDescent="0.3">
      <c r="B31" s="3">
        <v>20</v>
      </c>
      <c r="C31" s="3">
        <v>64.299999999999983</v>
      </c>
      <c r="D31" s="3">
        <v>0</v>
      </c>
      <c r="E31" s="3">
        <v>2199.5</v>
      </c>
      <c r="F31" s="3">
        <v>2263.8000000000002</v>
      </c>
      <c r="W31" s="3">
        <v>21</v>
      </c>
      <c r="X31" s="3">
        <f t="shared" ca="1" si="17"/>
        <v>54</v>
      </c>
      <c r="Y31" s="3">
        <f ca="1">COUNTIF($AH$11:AH30,W31)*$AD$5</f>
        <v>0</v>
      </c>
      <c r="Z31" s="3">
        <f t="shared" ca="1" si="9"/>
        <v>54</v>
      </c>
      <c r="AA31" s="3">
        <f ca="1">LOOKUP(RAND(),$Z$3:$Z$7,$W$3:W9)</f>
        <v>5</v>
      </c>
      <c r="AB31" s="3">
        <f t="shared" ca="1" si="10"/>
        <v>5</v>
      </c>
      <c r="AC31" s="3">
        <f t="shared" ca="1" si="11"/>
        <v>49</v>
      </c>
      <c r="AD31" s="3">
        <f t="shared" ca="1" si="12"/>
        <v>0</v>
      </c>
      <c r="AE31" s="3">
        <f t="shared" ca="1" si="13"/>
        <v>49</v>
      </c>
      <c r="AF31" s="3">
        <f t="shared" ca="1" si="4"/>
        <v>0</v>
      </c>
      <c r="AG31" s="3">
        <f t="shared" ca="1" si="14"/>
        <v>1</v>
      </c>
      <c r="AH31" s="3">
        <f t="shared" ca="1" si="15"/>
        <v>0</v>
      </c>
      <c r="AI31" s="3">
        <f t="shared" ca="1" si="5"/>
        <v>2.4500000000000002</v>
      </c>
      <c r="AJ31" s="3">
        <f t="shared" ca="1" si="6"/>
        <v>0</v>
      </c>
      <c r="AK31" s="3">
        <f t="shared" ca="1" si="7"/>
        <v>0</v>
      </c>
      <c r="AL31" s="3">
        <f t="shared" ca="1" si="16"/>
        <v>2.4500000000000002</v>
      </c>
    </row>
    <row r="32" spans="2:38" x14ac:dyDescent="0.3">
      <c r="B32" s="3">
        <v>21</v>
      </c>
      <c r="C32" s="3">
        <v>57.95000000000001</v>
      </c>
      <c r="D32" s="3">
        <v>0</v>
      </c>
      <c r="E32" s="3">
        <v>2199.5</v>
      </c>
      <c r="F32" s="3">
        <v>2257.4500000000003</v>
      </c>
      <c r="W32" s="3">
        <v>22</v>
      </c>
      <c r="X32" s="3">
        <f t="shared" ca="1" si="17"/>
        <v>49</v>
      </c>
      <c r="Y32" s="3">
        <f ca="1">COUNTIF($AH$11:AH31,W32)*$AD$5</f>
        <v>0</v>
      </c>
      <c r="Z32" s="3">
        <f t="shared" ca="1" si="9"/>
        <v>49</v>
      </c>
      <c r="AA32" s="3">
        <f ca="1">LOOKUP(RAND(),$Z$3:$Z$7,$W$3:W9)</f>
        <v>5</v>
      </c>
      <c r="AB32" s="3">
        <f t="shared" ca="1" si="10"/>
        <v>5</v>
      </c>
      <c r="AC32" s="3">
        <f t="shared" ca="1" si="11"/>
        <v>44</v>
      </c>
      <c r="AD32" s="3">
        <f t="shared" ca="1" si="12"/>
        <v>0</v>
      </c>
      <c r="AE32" s="3">
        <f t="shared" ca="1" si="13"/>
        <v>44</v>
      </c>
      <c r="AF32" s="3">
        <f t="shared" ca="1" si="4"/>
        <v>0</v>
      </c>
      <c r="AG32" s="3">
        <f t="shared" ca="1" si="14"/>
        <v>2</v>
      </c>
      <c r="AH32" s="3">
        <f t="shared" ca="1" si="15"/>
        <v>0</v>
      </c>
      <c r="AI32" s="3">
        <f t="shared" ca="1" si="5"/>
        <v>2.2000000000000002</v>
      </c>
      <c r="AJ32" s="3">
        <f t="shared" ca="1" si="6"/>
        <v>0</v>
      </c>
      <c r="AK32" s="3">
        <f t="shared" ca="1" si="7"/>
        <v>0</v>
      </c>
      <c r="AL32" s="3">
        <f t="shared" ca="1" si="16"/>
        <v>2.2000000000000002</v>
      </c>
    </row>
    <row r="33" spans="2:38" x14ac:dyDescent="0.3">
      <c r="B33" s="3">
        <v>22</v>
      </c>
      <c r="C33" s="3">
        <v>60.1</v>
      </c>
      <c r="D33" s="3">
        <v>0</v>
      </c>
      <c r="E33" s="3">
        <v>2199.5</v>
      </c>
      <c r="F33" s="3">
        <v>2259.6000000000004</v>
      </c>
      <c r="W33" s="3">
        <v>23</v>
      </c>
      <c r="X33" s="3">
        <f t="shared" ca="1" si="17"/>
        <v>44</v>
      </c>
      <c r="Y33" s="3">
        <f ca="1">COUNTIF($AH$11:AH32,W33)*$AD$5</f>
        <v>0</v>
      </c>
      <c r="Z33" s="3">
        <f t="shared" ca="1" si="9"/>
        <v>44</v>
      </c>
      <c r="AA33" s="3">
        <f ca="1">LOOKUP(RAND(),$Z$3:$Z$7,$W$3:W9)</f>
        <v>5</v>
      </c>
      <c r="AB33" s="3">
        <f t="shared" ca="1" si="10"/>
        <v>5</v>
      </c>
      <c r="AC33" s="3">
        <f t="shared" ca="1" si="11"/>
        <v>39</v>
      </c>
      <c r="AD33" s="3">
        <f t="shared" ca="1" si="12"/>
        <v>0</v>
      </c>
      <c r="AE33" s="3">
        <f t="shared" ca="1" si="13"/>
        <v>39</v>
      </c>
      <c r="AF33" s="3">
        <f t="shared" ca="1" si="4"/>
        <v>0</v>
      </c>
      <c r="AG33" s="3">
        <f t="shared" ca="1" si="14"/>
        <v>3</v>
      </c>
      <c r="AH33" s="3">
        <f t="shared" ca="1" si="15"/>
        <v>0</v>
      </c>
      <c r="AI33" s="3">
        <f t="shared" ca="1" si="5"/>
        <v>1.9500000000000002</v>
      </c>
      <c r="AJ33" s="3">
        <f t="shared" ca="1" si="6"/>
        <v>0</v>
      </c>
      <c r="AK33" s="3">
        <f t="shared" ca="1" si="7"/>
        <v>0</v>
      </c>
      <c r="AL33" s="3">
        <f t="shared" ca="1" si="16"/>
        <v>1.9500000000000002</v>
      </c>
    </row>
    <row r="34" spans="2:38" x14ac:dyDescent="0.3">
      <c r="B34" s="3">
        <v>23</v>
      </c>
      <c r="C34" s="3">
        <v>60.199999999999996</v>
      </c>
      <c r="D34" s="3">
        <v>0</v>
      </c>
      <c r="E34" s="3">
        <v>2199.5</v>
      </c>
      <c r="F34" s="3">
        <v>2259.6999999999998</v>
      </c>
      <c r="W34" s="3">
        <v>24</v>
      </c>
      <c r="X34" s="3">
        <f t="shared" ca="1" si="17"/>
        <v>39</v>
      </c>
      <c r="Y34" s="3">
        <f ca="1">COUNTIF($AH$11:AH33,W34)*$AD$5</f>
        <v>0</v>
      </c>
      <c r="Z34" s="3">
        <f t="shared" ca="1" si="9"/>
        <v>39</v>
      </c>
      <c r="AA34" s="3">
        <f ca="1">LOOKUP(RAND(),$Z$3:$Z$7,$W$3:W9)</f>
        <v>5</v>
      </c>
      <c r="AB34" s="3">
        <f t="shared" ca="1" si="10"/>
        <v>5</v>
      </c>
      <c r="AC34" s="3">
        <f t="shared" ca="1" si="11"/>
        <v>34</v>
      </c>
      <c r="AD34" s="3">
        <f t="shared" ca="1" si="12"/>
        <v>0</v>
      </c>
      <c r="AE34" s="3">
        <f t="shared" ca="1" si="13"/>
        <v>34</v>
      </c>
      <c r="AF34" s="3">
        <f t="shared" ca="1" si="4"/>
        <v>0</v>
      </c>
      <c r="AG34" s="3">
        <f t="shared" ca="1" si="14"/>
        <v>2</v>
      </c>
      <c r="AH34" s="3">
        <f t="shared" ca="1" si="15"/>
        <v>0</v>
      </c>
      <c r="AI34" s="3">
        <f t="shared" ca="1" si="5"/>
        <v>1.7000000000000002</v>
      </c>
      <c r="AJ34" s="3">
        <f t="shared" ca="1" si="6"/>
        <v>0</v>
      </c>
      <c r="AK34" s="3">
        <f t="shared" ca="1" si="7"/>
        <v>0</v>
      </c>
      <c r="AL34" s="3">
        <f t="shared" ca="1" si="16"/>
        <v>1.7000000000000002</v>
      </c>
    </row>
    <row r="35" spans="2:38" x14ac:dyDescent="0.3">
      <c r="B35" s="3">
        <v>24</v>
      </c>
      <c r="C35" s="3">
        <v>63.34999999999998</v>
      </c>
      <c r="D35" s="3">
        <v>0</v>
      </c>
      <c r="E35" s="3">
        <v>2199.5</v>
      </c>
      <c r="F35" s="3">
        <v>2262.8500000000004</v>
      </c>
      <c r="W35" s="3">
        <v>25</v>
      </c>
      <c r="X35" s="3">
        <f t="shared" ca="1" si="17"/>
        <v>34</v>
      </c>
      <c r="Y35" s="3">
        <f ca="1">COUNTIF($AH$11:AH34,W35)*$AD$5</f>
        <v>0</v>
      </c>
      <c r="Z35" s="3">
        <f t="shared" ca="1" si="9"/>
        <v>34</v>
      </c>
      <c r="AA35" s="3">
        <f ca="1">LOOKUP(RAND(),$Z$3:$Z$7,$W$3:W9)</f>
        <v>5</v>
      </c>
      <c r="AB35" s="3">
        <f t="shared" ca="1" si="10"/>
        <v>5</v>
      </c>
      <c r="AC35" s="3">
        <f t="shared" ca="1" si="11"/>
        <v>29</v>
      </c>
      <c r="AD35" s="3">
        <f t="shared" ca="1" si="12"/>
        <v>0</v>
      </c>
      <c r="AE35" s="3">
        <f t="shared" ca="1" si="13"/>
        <v>29</v>
      </c>
      <c r="AF35" s="3">
        <f t="shared" ca="1" si="4"/>
        <v>0</v>
      </c>
      <c r="AG35" s="3">
        <f t="shared" ca="1" si="14"/>
        <v>3</v>
      </c>
      <c r="AH35" s="3">
        <f t="shared" ca="1" si="15"/>
        <v>0</v>
      </c>
      <c r="AI35" s="3">
        <f t="shared" ca="1" si="5"/>
        <v>1.4500000000000002</v>
      </c>
      <c r="AJ35" s="3">
        <f t="shared" ca="1" si="6"/>
        <v>0</v>
      </c>
      <c r="AK35" s="3">
        <f t="shared" ca="1" si="7"/>
        <v>0</v>
      </c>
      <c r="AL35" s="3">
        <f t="shared" ca="1" si="16"/>
        <v>1.4500000000000002</v>
      </c>
    </row>
    <row r="36" spans="2:38" x14ac:dyDescent="0.3">
      <c r="B36" s="3">
        <v>25</v>
      </c>
      <c r="C36" s="3">
        <v>63.399999999999991</v>
      </c>
      <c r="D36" s="3">
        <v>0</v>
      </c>
      <c r="E36" s="3">
        <v>2199.5</v>
      </c>
      <c r="F36" s="3">
        <v>2262.9000000000005</v>
      </c>
      <c r="W36" s="3">
        <v>26</v>
      </c>
      <c r="X36" s="3">
        <f t="shared" ca="1" si="17"/>
        <v>29</v>
      </c>
      <c r="Y36" s="3">
        <f ca="1">COUNTIF($AH$11:AH35,W36)*$AD$5</f>
        <v>0</v>
      </c>
      <c r="Z36" s="3">
        <f t="shared" ca="1" si="9"/>
        <v>29</v>
      </c>
      <c r="AA36" s="3">
        <f ca="1">LOOKUP(RAND(),$Z$3:$Z$7,$W$3:W9)</f>
        <v>1</v>
      </c>
      <c r="AB36" s="3">
        <f t="shared" ca="1" si="10"/>
        <v>1</v>
      </c>
      <c r="AC36" s="3">
        <f t="shared" ca="1" si="11"/>
        <v>28</v>
      </c>
      <c r="AD36" s="3">
        <f t="shared" ca="1" si="12"/>
        <v>0</v>
      </c>
      <c r="AE36" s="3">
        <f t="shared" ca="1" si="13"/>
        <v>28</v>
      </c>
      <c r="AF36" s="3">
        <f t="shared" ca="1" si="4"/>
        <v>0</v>
      </c>
      <c r="AG36" s="3">
        <f t="shared" ca="1" si="14"/>
        <v>2</v>
      </c>
      <c r="AH36" s="3">
        <f t="shared" ca="1" si="15"/>
        <v>0</v>
      </c>
      <c r="AI36" s="3">
        <f t="shared" ca="1" si="5"/>
        <v>1.4000000000000001</v>
      </c>
      <c r="AJ36" s="3">
        <f t="shared" ca="1" si="6"/>
        <v>0</v>
      </c>
      <c r="AK36" s="3">
        <f t="shared" ca="1" si="7"/>
        <v>0</v>
      </c>
      <c r="AL36" s="3">
        <f t="shared" ca="1" si="16"/>
        <v>1.4000000000000001</v>
      </c>
    </row>
    <row r="37" spans="2:38" x14ac:dyDescent="0.3">
      <c r="B37" s="3">
        <v>26</v>
      </c>
      <c r="C37" s="3">
        <v>62.8</v>
      </c>
      <c r="D37" s="3">
        <v>0</v>
      </c>
      <c r="E37" s="3">
        <v>2199.5</v>
      </c>
      <c r="F37" s="3">
        <v>2262.3000000000002</v>
      </c>
      <c r="W37" s="3">
        <v>27</v>
      </c>
      <c r="X37" s="3">
        <f t="shared" ca="1" si="17"/>
        <v>28</v>
      </c>
      <c r="Y37" s="3">
        <f ca="1">COUNTIF($AH$11:AH36,W37)*$AD$5</f>
        <v>0</v>
      </c>
      <c r="Z37" s="3">
        <f t="shared" ca="1" si="9"/>
        <v>28</v>
      </c>
      <c r="AA37" s="3">
        <f ca="1">LOOKUP(RAND(),$Z$3:$Z$7,$W$3:W9)</f>
        <v>5</v>
      </c>
      <c r="AB37" s="3">
        <f t="shared" ca="1" si="10"/>
        <v>5</v>
      </c>
      <c r="AC37" s="3">
        <f t="shared" ca="1" si="11"/>
        <v>23</v>
      </c>
      <c r="AD37" s="3">
        <f t="shared" ca="1" si="12"/>
        <v>0</v>
      </c>
      <c r="AE37" s="3">
        <f t="shared" ca="1" si="13"/>
        <v>23</v>
      </c>
      <c r="AF37" s="3">
        <f t="shared" ca="1" si="4"/>
        <v>0</v>
      </c>
      <c r="AG37" s="3">
        <f t="shared" ca="1" si="14"/>
        <v>2</v>
      </c>
      <c r="AH37" s="3">
        <f t="shared" ca="1" si="15"/>
        <v>0</v>
      </c>
      <c r="AI37" s="3">
        <f t="shared" ca="1" si="5"/>
        <v>1.1500000000000001</v>
      </c>
      <c r="AJ37" s="3">
        <f t="shared" ca="1" si="6"/>
        <v>0</v>
      </c>
      <c r="AK37" s="3">
        <f t="shared" ca="1" si="7"/>
        <v>1099.75</v>
      </c>
      <c r="AL37" s="3">
        <f t="shared" ca="1" si="16"/>
        <v>1100.9000000000001</v>
      </c>
    </row>
    <row r="38" spans="2:38" x14ac:dyDescent="0.3">
      <c r="B38" s="3">
        <v>27</v>
      </c>
      <c r="C38" s="3">
        <v>63.650000000000013</v>
      </c>
      <c r="D38" s="3">
        <v>0</v>
      </c>
      <c r="E38" s="3">
        <v>2199.5</v>
      </c>
      <c r="F38" s="3">
        <v>2263.15</v>
      </c>
      <c r="W38" s="3">
        <v>28</v>
      </c>
      <c r="X38" s="3">
        <f t="shared" ca="1" si="17"/>
        <v>23</v>
      </c>
      <c r="Y38" s="3">
        <f ca="1">COUNTIF($AH$11:AH37,W38)*$AD$5</f>
        <v>0</v>
      </c>
      <c r="Z38" s="3">
        <f t="shared" ca="1" si="9"/>
        <v>23</v>
      </c>
      <c r="AA38" s="3">
        <f ca="1">LOOKUP(RAND(),$Z$3:$Z$7,$W$3:W9)</f>
        <v>3</v>
      </c>
      <c r="AB38" s="3">
        <f t="shared" ca="1" si="10"/>
        <v>3</v>
      </c>
      <c r="AC38" s="3">
        <f t="shared" ca="1" si="11"/>
        <v>20</v>
      </c>
      <c r="AD38" s="3">
        <f t="shared" ca="1" si="12"/>
        <v>0</v>
      </c>
      <c r="AE38" s="3">
        <f t="shared" ca="1" si="13"/>
        <v>20</v>
      </c>
      <c r="AF38" s="3">
        <f t="shared" ca="1" si="4"/>
        <v>1</v>
      </c>
      <c r="AG38" s="3">
        <f t="shared" ca="1" si="14"/>
        <v>3</v>
      </c>
      <c r="AH38" s="3">
        <f t="shared" ca="1" si="15"/>
        <v>32</v>
      </c>
      <c r="AI38" s="3">
        <f t="shared" ca="1" si="5"/>
        <v>1</v>
      </c>
      <c r="AJ38" s="3">
        <f t="shared" ca="1" si="6"/>
        <v>0</v>
      </c>
      <c r="AK38" s="3">
        <f t="shared" ca="1" si="7"/>
        <v>0</v>
      </c>
      <c r="AL38" s="3">
        <f t="shared" ca="1" si="16"/>
        <v>1</v>
      </c>
    </row>
    <row r="39" spans="2:38" x14ac:dyDescent="0.3">
      <c r="B39" s="3">
        <v>28</v>
      </c>
      <c r="C39" s="3">
        <v>66.150000000000006</v>
      </c>
      <c r="D39" s="3">
        <v>0</v>
      </c>
      <c r="E39" s="3">
        <v>2199.5</v>
      </c>
      <c r="F39" s="3">
        <v>2265.650000000001</v>
      </c>
      <c r="W39" s="3">
        <v>29</v>
      </c>
      <c r="X39" s="3">
        <f t="shared" ca="1" si="17"/>
        <v>20</v>
      </c>
      <c r="Y39" s="3">
        <f ca="1">COUNTIF($AH$11:AH38,W39)*$AD$5</f>
        <v>0</v>
      </c>
      <c r="Z39" s="3">
        <f t="shared" ca="1" si="9"/>
        <v>20</v>
      </c>
      <c r="AA39" s="3">
        <f ca="1">LOOKUP(RAND(),$Z$3:$Z$7,$W$3:W9)</f>
        <v>5</v>
      </c>
      <c r="AB39" s="3">
        <f t="shared" ca="1" si="10"/>
        <v>5</v>
      </c>
      <c r="AC39" s="3">
        <f t="shared" ca="1" si="11"/>
        <v>15</v>
      </c>
      <c r="AD39" s="3">
        <f t="shared" ca="1" si="12"/>
        <v>0</v>
      </c>
      <c r="AE39" s="3">
        <f t="shared" ca="1" si="13"/>
        <v>65</v>
      </c>
      <c r="AF39" s="3">
        <f t="shared" ca="1" si="4"/>
        <v>0</v>
      </c>
      <c r="AG39" s="3">
        <f t="shared" ca="1" si="14"/>
        <v>2</v>
      </c>
      <c r="AH39" s="3">
        <f t="shared" ca="1" si="15"/>
        <v>0</v>
      </c>
      <c r="AI39" s="3">
        <f t="shared" ca="1" si="5"/>
        <v>3.25</v>
      </c>
      <c r="AJ39" s="3">
        <f t="shared" ca="1" si="6"/>
        <v>0</v>
      </c>
      <c r="AK39" s="3">
        <f t="shared" ca="1" si="7"/>
        <v>0</v>
      </c>
      <c r="AL39" s="3">
        <f t="shared" ca="1" si="16"/>
        <v>3.25</v>
      </c>
    </row>
    <row r="40" spans="2:38" x14ac:dyDescent="0.3">
      <c r="B40" s="3">
        <v>29</v>
      </c>
      <c r="C40" s="3">
        <v>59.7</v>
      </c>
      <c r="D40" s="3">
        <v>0</v>
      </c>
      <c r="E40" s="3">
        <v>2199.5</v>
      </c>
      <c r="F40" s="3">
        <v>2259.1999999999998</v>
      </c>
      <c r="W40" s="3">
        <v>30</v>
      </c>
      <c r="X40" s="3">
        <f t="shared" ca="1" si="17"/>
        <v>15</v>
      </c>
      <c r="Y40" s="3">
        <f ca="1">COUNTIF($AH$11:AH39,W40)*$AD$5</f>
        <v>0</v>
      </c>
      <c r="Z40" s="3">
        <f t="shared" ca="1" si="9"/>
        <v>15</v>
      </c>
      <c r="AA40" s="3">
        <f ca="1">LOOKUP(RAND(),$Z$3:$Z$7,$W$3:W9)</f>
        <v>2</v>
      </c>
      <c r="AB40" s="3">
        <f t="shared" ca="1" si="10"/>
        <v>2</v>
      </c>
      <c r="AC40" s="3">
        <f t="shared" ca="1" si="11"/>
        <v>13</v>
      </c>
      <c r="AD40" s="3">
        <f t="shared" ca="1" si="12"/>
        <v>0</v>
      </c>
      <c r="AE40" s="3">
        <f t="shared" ca="1" si="13"/>
        <v>63</v>
      </c>
      <c r="AF40" s="3">
        <f t="shared" ca="1" si="4"/>
        <v>0</v>
      </c>
      <c r="AG40" s="3">
        <f t="shared" ca="1" si="14"/>
        <v>2</v>
      </c>
      <c r="AH40" s="3">
        <f t="shared" ca="1" si="15"/>
        <v>0</v>
      </c>
      <c r="AI40" s="3">
        <f t="shared" ca="1" si="5"/>
        <v>3.1500000000000004</v>
      </c>
      <c r="AJ40" s="3">
        <f t="shared" ca="1" si="6"/>
        <v>0</v>
      </c>
      <c r="AK40" s="3">
        <f>IF(J43=1,$AG$7,0)</f>
        <v>0</v>
      </c>
      <c r="AL40" s="3">
        <f t="shared" ca="1" si="16"/>
        <v>3.1500000000000004</v>
      </c>
    </row>
    <row r="41" spans="2:38" x14ac:dyDescent="0.3">
      <c r="B41" s="3">
        <v>30</v>
      </c>
      <c r="C41" s="3">
        <v>58.150000000000006</v>
      </c>
      <c r="D41" s="3">
        <v>0</v>
      </c>
      <c r="E41" s="3">
        <v>2199.5</v>
      </c>
      <c r="F41" s="3">
        <v>2257.65</v>
      </c>
      <c r="AI41" s="3">
        <f ca="1">SUM(AI11:AI40)</f>
        <v>63.800000000000018</v>
      </c>
      <c r="AJ41" s="3">
        <f t="shared" ref="AJ41:AL41" ca="1" si="18">SUM(AJ11:AJ40)</f>
        <v>0</v>
      </c>
      <c r="AK41" s="3">
        <f t="shared" ca="1" si="18"/>
        <v>2199.5</v>
      </c>
      <c r="AL41" s="3">
        <f t="shared" ca="1" si="18"/>
        <v>2263.3000000000006</v>
      </c>
    </row>
    <row r="42" spans="2:38" x14ac:dyDescent="0.3">
      <c r="B42" s="3">
        <v>31</v>
      </c>
      <c r="C42" s="3">
        <v>57.900000000000006</v>
      </c>
      <c r="D42" s="3">
        <v>0</v>
      </c>
      <c r="E42" s="3">
        <v>2199.5</v>
      </c>
      <c r="F42" s="3">
        <v>2257.3999999999992</v>
      </c>
    </row>
    <row r="43" spans="2:38" x14ac:dyDescent="0.3">
      <c r="B43" s="3">
        <v>32</v>
      </c>
      <c r="C43" s="3">
        <v>60.449999999999989</v>
      </c>
      <c r="D43" s="3">
        <v>0</v>
      </c>
      <c r="E43" s="3">
        <v>2199.5</v>
      </c>
      <c r="F43" s="3">
        <v>2259.9500000000007</v>
      </c>
      <c r="M43" s="3">
        <f ca="1">SUM(AI11:AI40)</f>
        <v>63.800000000000018</v>
      </c>
    </row>
    <row r="44" spans="2:38" x14ac:dyDescent="0.3">
      <c r="B44" s="3">
        <v>33</v>
      </c>
      <c r="C44" s="3">
        <v>56.95000000000001</v>
      </c>
      <c r="D44" s="3">
        <v>0</v>
      </c>
      <c r="E44" s="3">
        <v>1099.75</v>
      </c>
      <c r="F44" s="3">
        <v>1156.6999999999998</v>
      </c>
    </row>
    <row r="45" spans="2:38" x14ac:dyDescent="0.3">
      <c r="B45" s="3">
        <v>34</v>
      </c>
      <c r="C45" s="3">
        <v>60.500000000000007</v>
      </c>
      <c r="D45" s="3">
        <v>0</v>
      </c>
      <c r="E45" s="3">
        <v>2199.5</v>
      </c>
      <c r="F45" s="3">
        <v>2260</v>
      </c>
    </row>
    <row r="46" spans="2:38" x14ac:dyDescent="0.3">
      <c r="B46" s="3">
        <v>35</v>
      </c>
      <c r="C46" s="3">
        <v>61.949999999999996</v>
      </c>
      <c r="D46" s="3">
        <v>0</v>
      </c>
      <c r="E46" s="3">
        <v>1099.75</v>
      </c>
      <c r="F46" s="3">
        <v>1161.7000000000003</v>
      </c>
    </row>
    <row r="47" spans="2:38" x14ac:dyDescent="0.3">
      <c r="B47" s="3">
        <v>36</v>
      </c>
      <c r="C47" s="3">
        <v>54.70000000000001</v>
      </c>
      <c r="D47" s="3">
        <v>0</v>
      </c>
      <c r="E47" s="3">
        <v>2199.5</v>
      </c>
      <c r="F47" s="3">
        <v>2254.1999999999998</v>
      </c>
    </row>
    <row r="48" spans="2:38" x14ac:dyDescent="0.3">
      <c r="B48" s="3">
        <v>37</v>
      </c>
      <c r="C48" s="3">
        <v>64.850000000000009</v>
      </c>
      <c r="D48" s="3">
        <v>0</v>
      </c>
      <c r="E48" s="3">
        <v>2199.5</v>
      </c>
      <c r="F48" s="3">
        <v>2264.3499999999995</v>
      </c>
    </row>
    <row r="49" spans="2:6" x14ac:dyDescent="0.3">
      <c r="B49" s="3">
        <v>38</v>
      </c>
      <c r="C49" s="3">
        <v>64.2</v>
      </c>
      <c r="D49" s="3">
        <v>0</v>
      </c>
      <c r="E49" s="3">
        <v>1099.75</v>
      </c>
      <c r="F49" s="3">
        <v>1163.95</v>
      </c>
    </row>
    <row r="50" spans="2:6" x14ac:dyDescent="0.3">
      <c r="B50" s="3">
        <v>39</v>
      </c>
      <c r="C50" s="3">
        <v>63.199999999999996</v>
      </c>
      <c r="D50" s="3">
        <v>0</v>
      </c>
      <c r="E50" s="3">
        <v>2199.5</v>
      </c>
      <c r="F50" s="3">
        <v>2262.6999999999998</v>
      </c>
    </row>
    <row r="51" spans="2:6" x14ac:dyDescent="0.3">
      <c r="B51" s="3">
        <v>40</v>
      </c>
      <c r="C51" s="3">
        <v>60.599999999999994</v>
      </c>
      <c r="D51" s="3">
        <v>0</v>
      </c>
      <c r="E51" s="3">
        <v>2199.5</v>
      </c>
      <c r="F51" s="3">
        <v>2260.1000000000008</v>
      </c>
    </row>
    <row r="52" spans="2:6" x14ac:dyDescent="0.3">
      <c r="B52" s="3">
        <v>41</v>
      </c>
      <c r="C52" s="3">
        <v>64.500000000000028</v>
      </c>
      <c r="D52" s="3">
        <v>0</v>
      </c>
      <c r="E52" s="3">
        <v>2199.5</v>
      </c>
      <c r="F52" s="3">
        <v>2263.9999999999982</v>
      </c>
    </row>
    <row r="53" spans="2:6" x14ac:dyDescent="0.3">
      <c r="B53" s="3">
        <v>42</v>
      </c>
      <c r="C53" s="3">
        <v>67.349999999999994</v>
      </c>
      <c r="D53" s="3">
        <v>0</v>
      </c>
      <c r="E53" s="3">
        <v>2199.5</v>
      </c>
      <c r="F53" s="3">
        <v>2266.85</v>
      </c>
    </row>
    <row r="54" spans="2:6" x14ac:dyDescent="0.3">
      <c r="B54" s="3">
        <v>43</v>
      </c>
      <c r="C54" s="3">
        <v>59.65000000000002</v>
      </c>
      <c r="D54" s="3">
        <v>0</v>
      </c>
      <c r="E54" s="3">
        <v>2199.5</v>
      </c>
      <c r="F54" s="3">
        <v>2259.1499999999996</v>
      </c>
    </row>
    <row r="55" spans="2:6" x14ac:dyDescent="0.3">
      <c r="B55" s="3">
        <v>44</v>
      </c>
      <c r="C55" s="3">
        <v>62.100000000000009</v>
      </c>
      <c r="D55" s="3">
        <v>0</v>
      </c>
      <c r="E55" s="3">
        <v>2199.5</v>
      </c>
      <c r="F55" s="3">
        <v>2261.6000000000004</v>
      </c>
    </row>
    <row r="56" spans="2:6" x14ac:dyDescent="0.3">
      <c r="B56" s="3">
        <v>45</v>
      </c>
      <c r="C56" s="3">
        <v>57.699999999999996</v>
      </c>
      <c r="D56" s="3">
        <v>0</v>
      </c>
      <c r="E56" s="3">
        <v>2199.5</v>
      </c>
      <c r="F56" s="3">
        <v>2257.2000000000003</v>
      </c>
    </row>
    <row r="57" spans="2:6" x14ac:dyDescent="0.3">
      <c r="B57" s="3">
        <v>46</v>
      </c>
      <c r="C57" s="3">
        <v>61.85</v>
      </c>
      <c r="D57" s="3">
        <v>0</v>
      </c>
      <c r="E57" s="3">
        <v>1099.75</v>
      </c>
      <c r="F57" s="3">
        <v>1161.5999999999999</v>
      </c>
    </row>
    <row r="58" spans="2:6" x14ac:dyDescent="0.3">
      <c r="B58" s="3">
        <v>47</v>
      </c>
      <c r="C58" s="3">
        <v>63.199999999999996</v>
      </c>
      <c r="D58" s="3">
        <v>0</v>
      </c>
      <c r="E58" s="3">
        <v>2199.5</v>
      </c>
      <c r="F58" s="3">
        <v>2262.7000000000003</v>
      </c>
    </row>
    <row r="59" spans="2:6" x14ac:dyDescent="0.3">
      <c r="B59" s="3">
        <v>48</v>
      </c>
      <c r="C59" s="3">
        <v>69.899999999999963</v>
      </c>
      <c r="D59" s="3">
        <v>0</v>
      </c>
      <c r="E59" s="3">
        <v>2199.5</v>
      </c>
      <c r="F59" s="3">
        <v>2269.4</v>
      </c>
    </row>
    <row r="60" spans="2:6" x14ac:dyDescent="0.3">
      <c r="B60" s="3">
        <v>49</v>
      </c>
      <c r="C60" s="3">
        <v>60.400000000000013</v>
      </c>
      <c r="D60" s="3">
        <v>0</v>
      </c>
      <c r="E60" s="3">
        <v>2199.5</v>
      </c>
      <c r="F60" s="3">
        <v>2259.8999999999996</v>
      </c>
    </row>
    <row r="61" spans="2:6" x14ac:dyDescent="0.3">
      <c r="B61" s="3">
        <v>50</v>
      </c>
      <c r="C61" s="3">
        <v>61.449999999999989</v>
      </c>
      <c r="D61" s="3">
        <v>0</v>
      </c>
      <c r="E61" s="3">
        <v>2199.5</v>
      </c>
      <c r="F61" s="3">
        <v>2260.9499999999998</v>
      </c>
    </row>
    <row r="62" spans="2:6" x14ac:dyDescent="0.3">
      <c r="B62" s="3">
        <v>51</v>
      </c>
      <c r="C62" s="3">
        <v>58.85</v>
      </c>
      <c r="D62" s="3">
        <v>0</v>
      </c>
      <c r="E62" s="3">
        <v>2199.5</v>
      </c>
      <c r="F62" s="3">
        <v>2258.35</v>
      </c>
    </row>
    <row r="63" spans="2:6" x14ac:dyDescent="0.3">
      <c r="B63" s="3">
        <v>52</v>
      </c>
      <c r="C63" s="3">
        <v>65.7</v>
      </c>
      <c r="D63" s="3">
        <v>0</v>
      </c>
      <c r="E63" s="3">
        <v>2199.5</v>
      </c>
      <c r="F63" s="3">
        <v>2265.2000000000003</v>
      </c>
    </row>
    <row r="64" spans="2:6" x14ac:dyDescent="0.3">
      <c r="B64" s="3">
        <v>53</v>
      </c>
      <c r="C64" s="3">
        <v>60.05</v>
      </c>
      <c r="D64" s="3">
        <v>0</v>
      </c>
      <c r="E64" s="3">
        <v>2199.5</v>
      </c>
      <c r="F64" s="3">
        <v>2259.5500000000002</v>
      </c>
    </row>
    <row r="65" spans="2:6" x14ac:dyDescent="0.3">
      <c r="B65" s="3">
        <v>54</v>
      </c>
      <c r="C65" s="3">
        <v>63.000000000000007</v>
      </c>
      <c r="D65" s="3">
        <v>0</v>
      </c>
      <c r="E65" s="3">
        <v>2199.5</v>
      </c>
      <c r="F65" s="3">
        <v>2262.4999999999991</v>
      </c>
    </row>
    <row r="66" spans="2:6" x14ac:dyDescent="0.3">
      <c r="B66" s="3">
        <v>55</v>
      </c>
      <c r="C66" s="3">
        <v>61.499999999999993</v>
      </c>
      <c r="D66" s="3">
        <v>0</v>
      </c>
      <c r="E66" s="3">
        <v>1099.75</v>
      </c>
      <c r="F66" s="3">
        <v>1161.2500000000002</v>
      </c>
    </row>
    <row r="67" spans="2:6" x14ac:dyDescent="0.3">
      <c r="B67" s="3">
        <v>56</v>
      </c>
      <c r="C67" s="3">
        <v>63.600000000000009</v>
      </c>
      <c r="D67" s="3">
        <v>0</v>
      </c>
      <c r="E67" s="3">
        <v>2199.5</v>
      </c>
      <c r="F67" s="3">
        <v>2263.1</v>
      </c>
    </row>
    <row r="68" spans="2:6" x14ac:dyDescent="0.3">
      <c r="B68" s="3">
        <v>57</v>
      </c>
      <c r="C68" s="3">
        <v>64.800000000000011</v>
      </c>
      <c r="D68" s="3">
        <v>0</v>
      </c>
      <c r="E68" s="3">
        <v>2199.5</v>
      </c>
      <c r="F68" s="3">
        <v>2264.3000000000006</v>
      </c>
    </row>
    <row r="69" spans="2:6" x14ac:dyDescent="0.3">
      <c r="B69" s="3">
        <v>58</v>
      </c>
      <c r="C69" s="3">
        <v>60.250000000000014</v>
      </c>
      <c r="D69" s="3">
        <v>0</v>
      </c>
      <c r="E69" s="3">
        <v>2199.5</v>
      </c>
      <c r="F69" s="3">
        <v>2259.7499999999995</v>
      </c>
    </row>
    <row r="70" spans="2:6" x14ac:dyDescent="0.3">
      <c r="B70" s="3">
        <v>59</v>
      </c>
      <c r="C70" s="3">
        <v>63.6</v>
      </c>
      <c r="D70" s="3">
        <v>0</v>
      </c>
      <c r="E70" s="3">
        <v>2199.5</v>
      </c>
      <c r="F70" s="3">
        <v>2263.1</v>
      </c>
    </row>
    <row r="71" spans="2:6" x14ac:dyDescent="0.3">
      <c r="B71" s="3">
        <v>60</v>
      </c>
      <c r="C71" s="3">
        <v>61.099999999999994</v>
      </c>
      <c r="D71" s="3">
        <v>0</v>
      </c>
      <c r="E71" s="3">
        <v>2199.5</v>
      </c>
      <c r="F71" s="3">
        <v>2260.6000000000004</v>
      </c>
    </row>
    <row r="72" spans="2:6" x14ac:dyDescent="0.3">
      <c r="B72" s="3">
        <v>61</v>
      </c>
      <c r="C72" s="3">
        <v>62.75</v>
      </c>
      <c r="D72" s="3">
        <v>0</v>
      </c>
      <c r="E72" s="3">
        <v>2199.5</v>
      </c>
      <c r="F72" s="3">
        <v>2262.25</v>
      </c>
    </row>
    <row r="73" spans="2:6" x14ac:dyDescent="0.3">
      <c r="B73" s="3">
        <v>62</v>
      </c>
      <c r="C73" s="3">
        <v>65.650000000000006</v>
      </c>
      <c r="D73" s="3">
        <v>0</v>
      </c>
      <c r="E73" s="3">
        <v>2199.5</v>
      </c>
      <c r="F73" s="3">
        <v>2265.1500000000005</v>
      </c>
    </row>
    <row r="74" spans="2:6" x14ac:dyDescent="0.3">
      <c r="B74" s="3">
        <v>63</v>
      </c>
      <c r="C74" s="3">
        <v>61.400000000000006</v>
      </c>
      <c r="D74" s="3">
        <v>0</v>
      </c>
      <c r="E74" s="3">
        <v>2199.5</v>
      </c>
      <c r="F74" s="3">
        <v>2260.8999999999996</v>
      </c>
    </row>
    <row r="75" spans="2:6" x14ac:dyDescent="0.3">
      <c r="B75" s="3">
        <v>64</v>
      </c>
      <c r="C75" s="3">
        <v>62.400000000000006</v>
      </c>
      <c r="D75" s="3">
        <v>0</v>
      </c>
      <c r="E75" s="3">
        <v>2199.5</v>
      </c>
      <c r="F75" s="3">
        <v>2261.8999999999996</v>
      </c>
    </row>
    <row r="76" spans="2:6" x14ac:dyDescent="0.3">
      <c r="B76" s="3">
        <v>65</v>
      </c>
      <c r="C76" s="3">
        <v>65.65000000000002</v>
      </c>
      <c r="D76" s="3">
        <v>0</v>
      </c>
      <c r="E76" s="3">
        <v>2199.5</v>
      </c>
      <c r="F76" s="3">
        <v>2265.15</v>
      </c>
    </row>
    <row r="77" spans="2:6" x14ac:dyDescent="0.3">
      <c r="B77" s="3">
        <v>66</v>
      </c>
      <c r="C77" s="3">
        <v>66.95</v>
      </c>
      <c r="D77" s="3">
        <v>0</v>
      </c>
      <c r="E77" s="3">
        <v>2199.5</v>
      </c>
      <c r="F77" s="3">
        <v>2266.4500000000003</v>
      </c>
    </row>
    <row r="78" spans="2:6" x14ac:dyDescent="0.3">
      <c r="B78" s="3">
        <v>67</v>
      </c>
      <c r="C78" s="3">
        <v>61.349999999999987</v>
      </c>
      <c r="D78" s="3">
        <v>0</v>
      </c>
      <c r="E78" s="3">
        <v>2199.5</v>
      </c>
      <c r="F78" s="3">
        <v>2260.85</v>
      </c>
    </row>
    <row r="79" spans="2:6" x14ac:dyDescent="0.3">
      <c r="B79" s="3">
        <v>68</v>
      </c>
      <c r="C79" s="3">
        <v>64.75</v>
      </c>
      <c r="D79" s="3">
        <v>0</v>
      </c>
      <c r="E79" s="3">
        <v>2199.5</v>
      </c>
      <c r="F79" s="3">
        <v>2264.2499999999995</v>
      </c>
    </row>
    <row r="80" spans="2:6" x14ac:dyDescent="0.3">
      <c r="B80" s="3">
        <v>69</v>
      </c>
      <c r="C80" s="3">
        <v>58.650000000000006</v>
      </c>
      <c r="D80" s="3">
        <v>0</v>
      </c>
      <c r="E80" s="3">
        <v>2199.5</v>
      </c>
      <c r="F80" s="3">
        <v>2258.1500000000005</v>
      </c>
    </row>
    <row r="81" spans="2:6" x14ac:dyDescent="0.3">
      <c r="B81" s="3">
        <v>70</v>
      </c>
      <c r="C81" s="3">
        <v>66.550000000000011</v>
      </c>
      <c r="D81" s="3">
        <v>0</v>
      </c>
      <c r="E81" s="3">
        <v>2199.5</v>
      </c>
      <c r="F81" s="3">
        <v>2266.0500000000002</v>
      </c>
    </row>
    <row r="82" spans="2:6" x14ac:dyDescent="0.3">
      <c r="B82" s="3">
        <v>71</v>
      </c>
      <c r="C82" s="3">
        <v>61.349999999999994</v>
      </c>
      <c r="D82" s="3">
        <v>0</v>
      </c>
      <c r="E82" s="3">
        <v>2199.5</v>
      </c>
      <c r="F82" s="3">
        <v>2260.8500000000008</v>
      </c>
    </row>
    <row r="83" spans="2:6" x14ac:dyDescent="0.3">
      <c r="B83" s="3">
        <v>72</v>
      </c>
      <c r="C83" s="3">
        <v>61.699999999999996</v>
      </c>
      <c r="D83" s="3">
        <v>0</v>
      </c>
      <c r="E83" s="3">
        <v>2199.5</v>
      </c>
      <c r="F83" s="3">
        <v>2261.1999999999998</v>
      </c>
    </row>
    <row r="84" spans="2:6" x14ac:dyDescent="0.3">
      <c r="B84" s="3">
        <v>73</v>
      </c>
      <c r="C84" s="3">
        <v>63.100000000000009</v>
      </c>
      <c r="D84" s="3">
        <v>0</v>
      </c>
      <c r="E84" s="3">
        <v>2199.5</v>
      </c>
      <c r="F84" s="3">
        <v>2262.6000000000004</v>
      </c>
    </row>
    <row r="85" spans="2:6" x14ac:dyDescent="0.3">
      <c r="B85" s="3">
        <v>74</v>
      </c>
      <c r="C85" s="3">
        <v>59.25</v>
      </c>
      <c r="D85" s="3">
        <v>0</v>
      </c>
      <c r="E85" s="3">
        <v>2199.5</v>
      </c>
      <c r="F85" s="3">
        <v>2258.75</v>
      </c>
    </row>
    <row r="86" spans="2:6" x14ac:dyDescent="0.3">
      <c r="B86" s="3">
        <v>75</v>
      </c>
      <c r="C86" s="3">
        <v>60.099999999999994</v>
      </c>
      <c r="D86" s="3">
        <v>0</v>
      </c>
      <c r="E86" s="3">
        <v>2199.5</v>
      </c>
      <c r="F86" s="3">
        <v>2259.6000000000008</v>
      </c>
    </row>
    <row r="87" spans="2:6" x14ac:dyDescent="0.3">
      <c r="B87" s="3">
        <v>76</v>
      </c>
      <c r="C87" s="3">
        <v>64.450000000000017</v>
      </c>
      <c r="D87" s="3">
        <v>0</v>
      </c>
      <c r="E87" s="3">
        <v>2199.5</v>
      </c>
      <c r="F87" s="3">
        <v>2263.9499999999994</v>
      </c>
    </row>
    <row r="88" spans="2:6" x14ac:dyDescent="0.3">
      <c r="B88" s="3">
        <v>77</v>
      </c>
      <c r="C88" s="3">
        <v>63.599999999999994</v>
      </c>
      <c r="D88" s="3">
        <v>0</v>
      </c>
      <c r="E88" s="3">
        <v>2199.5</v>
      </c>
      <c r="F88" s="3">
        <v>2263.1000000000004</v>
      </c>
    </row>
    <row r="89" spans="2:6" x14ac:dyDescent="0.3">
      <c r="B89" s="3">
        <v>78</v>
      </c>
      <c r="C89" s="3">
        <v>62.849999999999994</v>
      </c>
      <c r="D89" s="3">
        <v>0</v>
      </c>
      <c r="E89" s="3">
        <v>1099.75</v>
      </c>
      <c r="F89" s="3">
        <v>1162.6000000000001</v>
      </c>
    </row>
    <row r="90" spans="2:6" x14ac:dyDescent="0.3">
      <c r="B90" s="3">
        <v>79</v>
      </c>
      <c r="C90" s="3">
        <v>65.400000000000006</v>
      </c>
      <c r="D90" s="3">
        <v>0</v>
      </c>
      <c r="E90" s="3">
        <v>2199.5</v>
      </c>
      <c r="F90" s="3">
        <v>2264.8999999999996</v>
      </c>
    </row>
    <row r="91" spans="2:6" x14ac:dyDescent="0.3">
      <c r="B91" s="3">
        <v>80</v>
      </c>
      <c r="C91" s="3">
        <v>63.199999999999989</v>
      </c>
      <c r="D91" s="3">
        <v>0</v>
      </c>
      <c r="E91" s="3">
        <v>2199.5</v>
      </c>
      <c r="F91" s="3">
        <v>2262.7000000000003</v>
      </c>
    </row>
    <row r="92" spans="2:6" x14ac:dyDescent="0.3">
      <c r="B92" s="3">
        <v>81</v>
      </c>
      <c r="C92" s="3">
        <v>62.8</v>
      </c>
      <c r="D92" s="3">
        <v>0</v>
      </c>
      <c r="E92" s="3">
        <v>2199.5</v>
      </c>
      <c r="F92" s="3">
        <v>2262.3000000000002</v>
      </c>
    </row>
    <row r="93" spans="2:6" x14ac:dyDescent="0.3">
      <c r="B93" s="3">
        <v>82</v>
      </c>
      <c r="C93" s="3">
        <v>59.300000000000011</v>
      </c>
      <c r="D93" s="3">
        <v>0</v>
      </c>
      <c r="E93" s="3">
        <v>1099.75</v>
      </c>
      <c r="F93" s="3">
        <v>1159.0499999999997</v>
      </c>
    </row>
    <row r="94" spans="2:6" x14ac:dyDescent="0.3">
      <c r="B94" s="3">
        <v>83</v>
      </c>
      <c r="C94" s="3">
        <v>59.850000000000009</v>
      </c>
      <c r="D94" s="3">
        <v>0</v>
      </c>
      <c r="E94" s="3">
        <v>2199.5</v>
      </c>
      <c r="F94" s="3">
        <v>2259.35</v>
      </c>
    </row>
    <row r="95" spans="2:6" x14ac:dyDescent="0.3">
      <c r="B95" s="3">
        <v>84</v>
      </c>
      <c r="C95" s="3">
        <v>62.750000000000007</v>
      </c>
      <c r="D95" s="3">
        <v>0</v>
      </c>
      <c r="E95" s="3">
        <v>2199.5</v>
      </c>
      <c r="F95" s="3">
        <v>2262.2500000000005</v>
      </c>
    </row>
    <row r="96" spans="2:6" x14ac:dyDescent="0.3">
      <c r="B96" s="3">
        <v>85</v>
      </c>
      <c r="C96" s="3">
        <v>58.199999999999996</v>
      </c>
      <c r="D96" s="3">
        <v>0</v>
      </c>
      <c r="E96" s="3">
        <v>1099.75</v>
      </c>
      <c r="F96" s="3">
        <v>1157.9500000000003</v>
      </c>
    </row>
    <row r="97" spans="2:6" x14ac:dyDescent="0.3">
      <c r="B97" s="3">
        <v>86</v>
      </c>
      <c r="C97" s="3">
        <v>59.9</v>
      </c>
      <c r="D97" s="3">
        <v>0</v>
      </c>
      <c r="E97" s="3">
        <v>2199.5</v>
      </c>
      <c r="F97" s="3">
        <v>2259.3999999999996</v>
      </c>
    </row>
    <row r="98" spans="2:6" x14ac:dyDescent="0.3">
      <c r="B98" s="3">
        <v>87</v>
      </c>
      <c r="C98" s="3">
        <v>61.95</v>
      </c>
      <c r="D98" s="3">
        <v>0</v>
      </c>
      <c r="E98" s="3">
        <v>2199.5</v>
      </c>
      <c r="F98" s="3">
        <v>2261.4500000000003</v>
      </c>
    </row>
    <row r="99" spans="2:6" x14ac:dyDescent="0.3">
      <c r="B99" s="3">
        <v>88</v>
      </c>
      <c r="C99" s="3">
        <v>59.450000000000017</v>
      </c>
      <c r="D99" s="3">
        <v>0</v>
      </c>
      <c r="E99" s="3">
        <v>2199.5</v>
      </c>
      <c r="F99" s="3">
        <v>2258.9499999999994</v>
      </c>
    </row>
    <row r="100" spans="2:6" x14ac:dyDescent="0.3">
      <c r="B100" s="3">
        <v>89</v>
      </c>
      <c r="C100" s="3">
        <v>61.800000000000004</v>
      </c>
      <c r="D100" s="3">
        <v>0</v>
      </c>
      <c r="E100" s="3">
        <v>2199.5</v>
      </c>
      <c r="F100" s="3">
        <v>2261.2999999999993</v>
      </c>
    </row>
    <row r="101" spans="2:6" x14ac:dyDescent="0.3">
      <c r="B101" s="3">
        <v>90</v>
      </c>
      <c r="C101" s="3">
        <v>61.699999999999996</v>
      </c>
      <c r="D101" s="3">
        <v>0</v>
      </c>
      <c r="E101" s="3">
        <v>2199.5</v>
      </c>
      <c r="F101" s="3">
        <v>2261.2000000000003</v>
      </c>
    </row>
    <row r="102" spans="2:6" x14ac:dyDescent="0.3">
      <c r="B102" s="3">
        <v>91</v>
      </c>
      <c r="C102" s="3">
        <v>60.900000000000006</v>
      </c>
      <c r="D102" s="3">
        <v>0</v>
      </c>
      <c r="E102" s="3">
        <v>2199.5</v>
      </c>
      <c r="F102" s="3">
        <v>2260.3999999999996</v>
      </c>
    </row>
    <row r="103" spans="2:6" x14ac:dyDescent="0.3">
      <c r="B103" s="3">
        <v>92</v>
      </c>
      <c r="C103" s="3">
        <v>62.900000000000013</v>
      </c>
      <c r="D103" s="3">
        <v>0</v>
      </c>
      <c r="E103" s="3">
        <v>2199.5</v>
      </c>
      <c r="F103" s="3">
        <v>2262.4</v>
      </c>
    </row>
    <row r="104" spans="2:6" x14ac:dyDescent="0.3">
      <c r="B104" s="3">
        <v>93</v>
      </c>
      <c r="C104" s="3">
        <v>58</v>
      </c>
      <c r="D104" s="3">
        <v>0</v>
      </c>
      <c r="E104" s="3">
        <v>2199.5</v>
      </c>
      <c r="F104" s="3">
        <v>2257.4999999999991</v>
      </c>
    </row>
    <row r="105" spans="2:6" x14ac:dyDescent="0.3">
      <c r="B105" s="3">
        <v>94</v>
      </c>
      <c r="C105" s="3">
        <v>62.199999999999996</v>
      </c>
      <c r="D105" s="3">
        <v>0</v>
      </c>
      <c r="E105" s="3">
        <v>2199.5</v>
      </c>
      <c r="F105" s="3">
        <v>2261.7000000000003</v>
      </c>
    </row>
    <row r="106" spans="2:6" x14ac:dyDescent="0.3">
      <c r="B106" s="3">
        <v>95</v>
      </c>
      <c r="C106" s="3">
        <v>63.400000000000006</v>
      </c>
      <c r="D106" s="3">
        <v>0</v>
      </c>
      <c r="E106" s="3">
        <v>2199.5</v>
      </c>
      <c r="F106" s="3">
        <v>2262.9</v>
      </c>
    </row>
    <row r="107" spans="2:6" x14ac:dyDescent="0.3">
      <c r="B107" s="3">
        <v>96</v>
      </c>
      <c r="C107" s="3">
        <v>61.000000000000007</v>
      </c>
      <c r="D107" s="3">
        <v>0</v>
      </c>
      <c r="E107" s="3">
        <v>2199.5</v>
      </c>
      <c r="F107" s="3">
        <v>2260.5</v>
      </c>
    </row>
    <row r="108" spans="2:6" x14ac:dyDescent="0.3">
      <c r="B108" s="3">
        <v>97</v>
      </c>
      <c r="C108" s="3">
        <v>59.55</v>
      </c>
      <c r="D108" s="3">
        <v>0</v>
      </c>
      <c r="E108" s="3">
        <v>2199.5</v>
      </c>
      <c r="F108" s="3">
        <v>2259.0500000000002</v>
      </c>
    </row>
    <row r="109" spans="2:6" x14ac:dyDescent="0.3">
      <c r="B109" s="3">
        <v>98</v>
      </c>
      <c r="C109" s="3">
        <v>62.050000000000004</v>
      </c>
      <c r="D109" s="3">
        <v>0</v>
      </c>
      <c r="E109" s="3">
        <v>2199.5</v>
      </c>
      <c r="F109" s="3">
        <v>2261.5500000000006</v>
      </c>
    </row>
    <row r="110" spans="2:6" x14ac:dyDescent="0.3">
      <c r="B110" s="3">
        <v>99</v>
      </c>
      <c r="C110" s="3">
        <v>62.649999999999984</v>
      </c>
      <c r="D110" s="3">
        <v>0</v>
      </c>
      <c r="E110" s="3">
        <v>2199.5</v>
      </c>
      <c r="F110" s="3">
        <v>2262.1500000000005</v>
      </c>
    </row>
    <row r="111" spans="2:6" x14ac:dyDescent="0.3">
      <c r="B111" s="3">
        <v>100</v>
      </c>
      <c r="C111" s="3">
        <v>64.09999999999998</v>
      </c>
      <c r="D111" s="3">
        <v>0</v>
      </c>
      <c r="E111" s="3">
        <v>2199.5</v>
      </c>
      <c r="F111" s="3">
        <v>2263.6000000000004</v>
      </c>
    </row>
    <row r="112" spans="2:6" x14ac:dyDescent="0.3">
      <c r="B112" s="3">
        <v>101</v>
      </c>
      <c r="C112" s="3">
        <v>61.000000000000007</v>
      </c>
      <c r="D112" s="3">
        <v>0</v>
      </c>
      <c r="E112" s="3">
        <v>2199.5</v>
      </c>
      <c r="F112" s="3">
        <v>2260.5000000000005</v>
      </c>
    </row>
    <row r="113" spans="2:6" x14ac:dyDescent="0.3">
      <c r="B113" s="3">
        <v>102</v>
      </c>
      <c r="C113" s="3">
        <v>63.149999999999991</v>
      </c>
      <c r="D113" s="3">
        <v>0</v>
      </c>
      <c r="E113" s="3">
        <v>2199.5</v>
      </c>
      <c r="F113" s="3">
        <v>2262.65</v>
      </c>
    </row>
    <row r="114" spans="2:6" x14ac:dyDescent="0.3">
      <c r="B114" s="3">
        <v>103</v>
      </c>
      <c r="C114" s="3">
        <v>65.100000000000009</v>
      </c>
      <c r="D114" s="3">
        <v>0</v>
      </c>
      <c r="E114" s="3">
        <v>2199.5</v>
      </c>
      <c r="F114" s="3">
        <v>2264.5999999999995</v>
      </c>
    </row>
    <row r="115" spans="2:6" x14ac:dyDescent="0.3">
      <c r="B115" s="3">
        <v>104</v>
      </c>
      <c r="C115" s="3">
        <v>61.850000000000016</v>
      </c>
      <c r="D115" s="3">
        <v>0</v>
      </c>
      <c r="E115" s="3">
        <v>2199.5</v>
      </c>
      <c r="F115" s="3">
        <v>2261.3499999999995</v>
      </c>
    </row>
    <row r="116" spans="2:6" x14ac:dyDescent="0.3">
      <c r="B116" s="3">
        <v>105</v>
      </c>
      <c r="C116" s="3">
        <v>54.649999999999991</v>
      </c>
      <c r="D116" s="3">
        <v>0</v>
      </c>
      <c r="E116" s="3">
        <v>2199.5</v>
      </c>
      <c r="F116" s="3">
        <v>2254.15</v>
      </c>
    </row>
    <row r="117" spans="2:6" x14ac:dyDescent="0.3">
      <c r="B117" s="3">
        <v>106</v>
      </c>
      <c r="C117" s="3">
        <v>63.95000000000001</v>
      </c>
      <c r="D117" s="3">
        <v>0</v>
      </c>
      <c r="E117" s="3">
        <v>2199.5</v>
      </c>
      <c r="F117" s="3">
        <v>2263.4499999999994</v>
      </c>
    </row>
    <row r="118" spans="2:6" x14ac:dyDescent="0.3">
      <c r="B118" s="3">
        <v>107</v>
      </c>
      <c r="C118" s="3">
        <v>63.100000000000009</v>
      </c>
      <c r="D118" s="3">
        <v>0</v>
      </c>
      <c r="E118" s="3">
        <v>2199.5</v>
      </c>
      <c r="F118" s="3">
        <v>2262.5999999999995</v>
      </c>
    </row>
    <row r="119" spans="2:6" x14ac:dyDescent="0.3">
      <c r="B119" s="3">
        <v>108</v>
      </c>
      <c r="C119" s="3">
        <v>63.199999999999989</v>
      </c>
      <c r="D119" s="3">
        <v>0</v>
      </c>
      <c r="E119" s="3">
        <v>2199.5</v>
      </c>
      <c r="F119" s="3">
        <v>2262.7000000000003</v>
      </c>
    </row>
    <row r="120" spans="2:6" x14ac:dyDescent="0.3">
      <c r="B120" s="3">
        <v>109</v>
      </c>
      <c r="C120" s="3">
        <v>58.749999999999993</v>
      </c>
      <c r="D120" s="3">
        <v>0</v>
      </c>
      <c r="E120" s="3">
        <v>2199.5</v>
      </c>
      <c r="F120" s="3">
        <v>2258.2500000000005</v>
      </c>
    </row>
    <row r="121" spans="2:6" x14ac:dyDescent="0.3">
      <c r="B121" s="3">
        <v>110</v>
      </c>
      <c r="C121" s="3">
        <v>61.45</v>
      </c>
      <c r="D121" s="3">
        <v>0</v>
      </c>
      <c r="E121" s="3">
        <v>2199.5</v>
      </c>
      <c r="F121" s="3">
        <v>2260.9499999999998</v>
      </c>
    </row>
    <row r="122" spans="2:6" x14ac:dyDescent="0.3">
      <c r="B122" s="3">
        <v>111</v>
      </c>
      <c r="C122" s="3">
        <v>60.500000000000021</v>
      </c>
      <c r="D122" s="3">
        <v>0</v>
      </c>
      <c r="E122" s="3">
        <v>2199.5</v>
      </c>
      <c r="F122" s="3">
        <v>2259.9999999999991</v>
      </c>
    </row>
    <row r="123" spans="2:6" x14ac:dyDescent="0.3">
      <c r="B123" s="3">
        <v>112</v>
      </c>
      <c r="C123" s="3">
        <v>61.250000000000021</v>
      </c>
      <c r="D123" s="3">
        <v>0</v>
      </c>
      <c r="E123" s="3">
        <v>2199.5</v>
      </c>
      <c r="F123" s="3">
        <v>2260.7499999999991</v>
      </c>
    </row>
    <row r="124" spans="2:6" x14ac:dyDescent="0.3">
      <c r="B124" s="3">
        <v>113</v>
      </c>
      <c r="C124" s="3">
        <v>57.95</v>
      </c>
      <c r="D124" s="3">
        <v>0</v>
      </c>
      <c r="E124" s="3">
        <v>1099.75</v>
      </c>
      <c r="F124" s="3">
        <v>1157.7000000000003</v>
      </c>
    </row>
    <row r="125" spans="2:6" x14ac:dyDescent="0.3">
      <c r="B125" s="3">
        <v>114</v>
      </c>
      <c r="C125" s="3">
        <v>56.150000000000006</v>
      </c>
      <c r="D125" s="3">
        <v>0</v>
      </c>
      <c r="E125" s="3">
        <v>2199.5</v>
      </c>
      <c r="F125" s="3">
        <v>2255.6499999999996</v>
      </c>
    </row>
    <row r="126" spans="2:6" x14ac:dyDescent="0.3">
      <c r="B126" s="3">
        <v>115</v>
      </c>
      <c r="C126" s="3">
        <v>63.20000000000001</v>
      </c>
      <c r="D126" s="3">
        <v>0</v>
      </c>
      <c r="E126" s="3">
        <v>2199.5</v>
      </c>
      <c r="F126" s="3">
        <v>2262.6999999999994</v>
      </c>
    </row>
    <row r="127" spans="2:6" x14ac:dyDescent="0.3">
      <c r="B127" s="3">
        <v>116</v>
      </c>
      <c r="C127" s="3">
        <v>61.1</v>
      </c>
      <c r="D127" s="3">
        <v>0</v>
      </c>
      <c r="E127" s="3">
        <v>2199.5</v>
      </c>
      <c r="F127" s="3">
        <v>2260.599999999999</v>
      </c>
    </row>
    <row r="128" spans="2:6" x14ac:dyDescent="0.3">
      <c r="B128" s="3">
        <v>117</v>
      </c>
      <c r="C128" s="3">
        <v>61.099999999999994</v>
      </c>
      <c r="D128" s="3">
        <v>0</v>
      </c>
      <c r="E128" s="3">
        <v>2199.5</v>
      </c>
      <c r="F128" s="3">
        <v>2260.6000000000004</v>
      </c>
    </row>
    <row r="129" spans="2:6" x14ac:dyDescent="0.3">
      <c r="B129" s="3">
        <v>118</v>
      </c>
      <c r="C129" s="3">
        <v>58.3</v>
      </c>
      <c r="D129" s="3">
        <v>0</v>
      </c>
      <c r="E129" s="3">
        <v>2199.5</v>
      </c>
      <c r="F129" s="3">
        <v>2257.8000000000002</v>
      </c>
    </row>
    <row r="130" spans="2:6" x14ac:dyDescent="0.3">
      <c r="B130" s="3">
        <v>119</v>
      </c>
      <c r="C130" s="3">
        <v>62.150000000000006</v>
      </c>
      <c r="D130" s="3">
        <v>0</v>
      </c>
      <c r="E130" s="3">
        <v>1099.75</v>
      </c>
      <c r="F130" s="3">
        <v>1161.8999999999999</v>
      </c>
    </row>
    <row r="131" spans="2:6" x14ac:dyDescent="0.3">
      <c r="B131" s="3">
        <v>120</v>
      </c>
      <c r="C131" s="3">
        <v>63.399999999999977</v>
      </c>
      <c r="D131" s="3">
        <v>0</v>
      </c>
      <c r="E131" s="3">
        <v>2199.5</v>
      </c>
      <c r="F131" s="3">
        <v>2262.9</v>
      </c>
    </row>
    <row r="132" spans="2:6" x14ac:dyDescent="0.3">
      <c r="B132" s="3">
        <v>121</v>
      </c>
      <c r="C132" s="3">
        <v>67.200000000000017</v>
      </c>
      <c r="D132" s="3">
        <v>0</v>
      </c>
      <c r="E132" s="3">
        <v>2199.5</v>
      </c>
      <c r="F132" s="3">
        <v>2266.7000000000003</v>
      </c>
    </row>
    <row r="133" spans="2:6" x14ac:dyDescent="0.3">
      <c r="B133" s="3">
        <v>122</v>
      </c>
      <c r="C133" s="3">
        <v>63.4</v>
      </c>
      <c r="D133" s="3">
        <v>0</v>
      </c>
      <c r="E133" s="3">
        <v>2199.5</v>
      </c>
      <c r="F133" s="3">
        <v>2262.9</v>
      </c>
    </row>
    <row r="134" spans="2:6" x14ac:dyDescent="0.3">
      <c r="B134" s="3">
        <v>123</v>
      </c>
      <c r="C134" s="3">
        <v>58.1</v>
      </c>
      <c r="D134" s="3">
        <v>0</v>
      </c>
      <c r="E134" s="3">
        <v>2199.5</v>
      </c>
      <c r="F134" s="3">
        <v>2257.6</v>
      </c>
    </row>
    <row r="135" spans="2:6" x14ac:dyDescent="0.3">
      <c r="B135" s="3">
        <v>124</v>
      </c>
      <c r="C135" s="3">
        <v>57.599999999999987</v>
      </c>
      <c r="D135" s="3">
        <v>0</v>
      </c>
      <c r="E135" s="3">
        <v>2199.5</v>
      </c>
      <c r="F135" s="3">
        <v>2257.1000000000004</v>
      </c>
    </row>
    <row r="136" spans="2:6" x14ac:dyDescent="0.3">
      <c r="B136" s="3">
        <v>125</v>
      </c>
      <c r="C136" s="3">
        <v>67.850000000000009</v>
      </c>
      <c r="D136" s="3">
        <v>0</v>
      </c>
      <c r="E136" s="3">
        <v>2199.5</v>
      </c>
      <c r="F136" s="3">
        <v>2267.35</v>
      </c>
    </row>
    <row r="137" spans="2:6" x14ac:dyDescent="0.3">
      <c r="B137" s="3">
        <v>126</v>
      </c>
      <c r="C137" s="3">
        <v>66.899999999999991</v>
      </c>
      <c r="D137" s="3">
        <v>0</v>
      </c>
      <c r="E137" s="3">
        <v>2199.5</v>
      </c>
      <c r="F137" s="3">
        <v>2266.3999999999996</v>
      </c>
    </row>
    <row r="138" spans="2:6" x14ac:dyDescent="0.3">
      <c r="B138" s="3">
        <v>127</v>
      </c>
      <c r="C138" s="3">
        <v>63.05</v>
      </c>
      <c r="D138" s="3">
        <v>0</v>
      </c>
      <c r="E138" s="3">
        <v>2199.5</v>
      </c>
      <c r="F138" s="3">
        <v>2262.5500000000002</v>
      </c>
    </row>
    <row r="139" spans="2:6" x14ac:dyDescent="0.3">
      <c r="B139" s="3">
        <v>128</v>
      </c>
      <c r="C139" s="3">
        <v>63.300000000000004</v>
      </c>
      <c r="D139" s="3">
        <v>0</v>
      </c>
      <c r="E139" s="3">
        <v>2199.5</v>
      </c>
      <c r="F139" s="3">
        <v>2262.8000000000011</v>
      </c>
    </row>
    <row r="140" spans="2:6" x14ac:dyDescent="0.3">
      <c r="B140" s="3">
        <v>129</v>
      </c>
      <c r="C140" s="3">
        <v>64.449999999999989</v>
      </c>
      <c r="D140" s="3">
        <v>0</v>
      </c>
      <c r="E140" s="3">
        <v>2199.5</v>
      </c>
      <c r="F140" s="3">
        <v>2263.9500000000003</v>
      </c>
    </row>
    <row r="141" spans="2:6" x14ac:dyDescent="0.3">
      <c r="B141" s="3">
        <v>130</v>
      </c>
      <c r="C141" s="3">
        <v>63.799999999999976</v>
      </c>
      <c r="D141" s="3">
        <v>0</v>
      </c>
      <c r="E141" s="3">
        <v>2199.5</v>
      </c>
      <c r="F141" s="3">
        <v>2263.3000000000011</v>
      </c>
    </row>
    <row r="142" spans="2:6" x14ac:dyDescent="0.3">
      <c r="B142" s="3">
        <v>131</v>
      </c>
      <c r="C142" s="3">
        <v>62.650000000000013</v>
      </c>
      <c r="D142" s="3">
        <v>0</v>
      </c>
      <c r="E142" s="3">
        <v>2199.5</v>
      </c>
      <c r="F142" s="3">
        <v>2262.1499999999992</v>
      </c>
    </row>
    <row r="143" spans="2:6" x14ac:dyDescent="0.3">
      <c r="B143" s="3">
        <v>132</v>
      </c>
      <c r="C143" s="3">
        <v>61.65</v>
      </c>
      <c r="D143" s="3">
        <v>0</v>
      </c>
      <c r="E143" s="3">
        <v>2199.5</v>
      </c>
      <c r="F143" s="3">
        <v>2261.15</v>
      </c>
    </row>
    <row r="144" spans="2:6" x14ac:dyDescent="0.3">
      <c r="B144" s="3">
        <v>133</v>
      </c>
      <c r="C144" s="3">
        <v>58.250000000000014</v>
      </c>
      <c r="D144" s="3">
        <v>0</v>
      </c>
      <c r="E144" s="3">
        <v>1099.75</v>
      </c>
      <c r="F144" s="3">
        <v>1157.9999999999998</v>
      </c>
    </row>
    <row r="145" spans="2:6" x14ac:dyDescent="0.3">
      <c r="B145" s="3">
        <v>134</v>
      </c>
      <c r="C145" s="3">
        <v>58.25</v>
      </c>
      <c r="D145" s="3">
        <v>0</v>
      </c>
      <c r="E145" s="3">
        <v>2199.5</v>
      </c>
      <c r="F145" s="3">
        <v>2257.7500000000005</v>
      </c>
    </row>
    <row r="146" spans="2:6" x14ac:dyDescent="0.3">
      <c r="B146" s="3">
        <v>135</v>
      </c>
      <c r="C146" s="3">
        <v>65.700000000000017</v>
      </c>
      <c r="D146" s="3">
        <v>0</v>
      </c>
      <c r="E146" s="3">
        <v>2199.5</v>
      </c>
      <c r="F146" s="3">
        <v>2265.1999999999998</v>
      </c>
    </row>
    <row r="147" spans="2:6" x14ac:dyDescent="0.3">
      <c r="B147" s="3">
        <v>136</v>
      </c>
      <c r="C147" s="3">
        <v>62.499999999999993</v>
      </c>
      <c r="D147" s="3">
        <v>0</v>
      </c>
      <c r="E147" s="3">
        <v>2199.5</v>
      </c>
      <c r="F147" s="3">
        <v>2261.9999999999995</v>
      </c>
    </row>
    <row r="148" spans="2:6" x14ac:dyDescent="0.3">
      <c r="B148" s="3">
        <v>137</v>
      </c>
      <c r="C148" s="3">
        <v>60.85000000000003</v>
      </c>
      <c r="D148" s="3">
        <v>0</v>
      </c>
      <c r="E148" s="3">
        <v>2199.5</v>
      </c>
      <c r="F148" s="3">
        <v>2260.3499999999995</v>
      </c>
    </row>
    <row r="149" spans="2:6" x14ac:dyDescent="0.3">
      <c r="B149" s="3">
        <v>138</v>
      </c>
      <c r="C149" s="3">
        <v>60.850000000000009</v>
      </c>
      <c r="D149" s="3">
        <v>0</v>
      </c>
      <c r="E149" s="3">
        <v>2199.5</v>
      </c>
      <c r="F149" s="3">
        <v>2260.3500000000004</v>
      </c>
    </row>
    <row r="150" spans="2:6" x14ac:dyDescent="0.3">
      <c r="B150" s="3">
        <v>139</v>
      </c>
      <c r="C150" s="3">
        <v>57.750000000000007</v>
      </c>
      <c r="D150" s="3">
        <v>0</v>
      </c>
      <c r="E150" s="3">
        <v>2199.5</v>
      </c>
      <c r="F150" s="3">
        <v>2257.25</v>
      </c>
    </row>
    <row r="151" spans="2:6" x14ac:dyDescent="0.3">
      <c r="B151" s="3">
        <v>140</v>
      </c>
      <c r="C151" s="3">
        <v>61.400000000000006</v>
      </c>
      <c r="D151" s="3">
        <v>0</v>
      </c>
      <c r="E151" s="3">
        <v>2199.5</v>
      </c>
      <c r="F151" s="3">
        <v>2260.8999999999996</v>
      </c>
    </row>
    <row r="152" spans="2:6" x14ac:dyDescent="0.3">
      <c r="B152" s="3">
        <v>141</v>
      </c>
      <c r="C152" s="3">
        <v>55.600000000000016</v>
      </c>
      <c r="D152" s="3">
        <v>0</v>
      </c>
      <c r="E152" s="3">
        <v>2199.5</v>
      </c>
      <c r="F152" s="3">
        <v>2255.0999999999995</v>
      </c>
    </row>
    <row r="153" spans="2:6" x14ac:dyDescent="0.3">
      <c r="B153" s="3">
        <v>142</v>
      </c>
      <c r="C153" s="3">
        <v>64.250000000000014</v>
      </c>
      <c r="D153" s="3">
        <v>0</v>
      </c>
      <c r="E153" s="3">
        <v>2199.5</v>
      </c>
      <c r="F153" s="3">
        <v>2263.7499999999995</v>
      </c>
    </row>
    <row r="154" spans="2:6" x14ac:dyDescent="0.3">
      <c r="B154" s="3">
        <v>143</v>
      </c>
      <c r="C154" s="3">
        <v>56</v>
      </c>
      <c r="D154" s="3">
        <v>0</v>
      </c>
      <c r="E154" s="3">
        <v>2199.5</v>
      </c>
      <c r="F154" s="3">
        <v>2255.5</v>
      </c>
    </row>
    <row r="155" spans="2:6" x14ac:dyDescent="0.3">
      <c r="B155" s="3">
        <v>144</v>
      </c>
      <c r="C155" s="3">
        <v>60.199999999999996</v>
      </c>
      <c r="D155" s="3">
        <v>0</v>
      </c>
      <c r="E155" s="3">
        <v>2199.5</v>
      </c>
      <c r="F155" s="3">
        <v>2259.6999999999998</v>
      </c>
    </row>
    <row r="156" spans="2:6" x14ac:dyDescent="0.3">
      <c r="B156" s="3">
        <v>145</v>
      </c>
      <c r="C156" s="3">
        <v>61.449999999999989</v>
      </c>
      <c r="D156" s="3">
        <v>0</v>
      </c>
      <c r="E156" s="3">
        <v>2199.5</v>
      </c>
      <c r="F156" s="3">
        <v>2260.9499999999998</v>
      </c>
    </row>
    <row r="157" spans="2:6" x14ac:dyDescent="0.3">
      <c r="B157" s="3">
        <v>146</v>
      </c>
      <c r="C157" s="3">
        <v>57.700000000000017</v>
      </c>
      <c r="D157" s="3">
        <v>0</v>
      </c>
      <c r="E157" s="3">
        <v>2199.5</v>
      </c>
      <c r="F157" s="3">
        <v>2257.1999999999994</v>
      </c>
    </row>
    <row r="158" spans="2:6" x14ac:dyDescent="0.3">
      <c r="B158" s="3">
        <v>147</v>
      </c>
      <c r="C158" s="3">
        <v>58.8</v>
      </c>
      <c r="D158" s="3">
        <v>0</v>
      </c>
      <c r="E158" s="3">
        <v>2199.5</v>
      </c>
      <c r="F158" s="3">
        <v>2258.3000000000002</v>
      </c>
    </row>
    <row r="159" spans="2:6" x14ac:dyDescent="0.3">
      <c r="B159" s="3">
        <v>148</v>
      </c>
      <c r="C159" s="3">
        <v>64.75</v>
      </c>
      <c r="D159" s="3">
        <v>0</v>
      </c>
      <c r="E159" s="3">
        <v>2199.5</v>
      </c>
      <c r="F159" s="3">
        <v>2264.25</v>
      </c>
    </row>
    <row r="160" spans="2:6" x14ac:dyDescent="0.3">
      <c r="B160" s="3">
        <v>149</v>
      </c>
      <c r="C160" s="3">
        <v>62.249999999999993</v>
      </c>
      <c r="D160" s="3">
        <v>0</v>
      </c>
      <c r="E160" s="3">
        <v>2199.5</v>
      </c>
      <c r="F160" s="3">
        <v>2261.7499999999995</v>
      </c>
    </row>
    <row r="161" spans="2:6" x14ac:dyDescent="0.3">
      <c r="B161" s="3">
        <v>150</v>
      </c>
      <c r="C161" s="3">
        <v>60.999999999999993</v>
      </c>
      <c r="D161" s="3">
        <v>0</v>
      </c>
      <c r="E161" s="3">
        <v>2199.5</v>
      </c>
      <c r="F161" s="3">
        <v>2260.5</v>
      </c>
    </row>
    <row r="162" spans="2:6" x14ac:dyDescent="0.3">
      <c r="B162" s="3">
        <v>151</v>
      </c>
      <c r="C162" s="3">
        <v>57.750000000000007</v>
      </c>
      <c r="D162" s="3">
        <v>0</v>
      </c>
      <c r="E162" s="3">
        <v>2199.5</v>
      </c>
      <c r="F162" s="3">
        <v>2257.2499999999995</v>
      </c>
    </row>
    <row r="163" spans="2:6" x14ac:dyDescent="0.3">
      <c r="B163" s="3">
        <v>152</v>
      </c>
      <c r="C163" s="3">
        <v>64.59999999999998</v>
      </c>
      <c r="D163" s="3">
        <v>0</v>
      </c>
      <c r="E163" s="3">
        <v>2199.5</v>
      </c>
      <c r="F163" s="3">
        <v>2264.0999999999995</v>
      </c>
    </row>
    <row r="164" spans="2:6" x14ac:dyDescent="0.3">
      <c r="B164" s="3">
        <v>153</v>
      </c>
      <c r="C164" s="3">
        <v>58.499999999999986</v>
      </c>
      <c r="D164" s="3">
        <v>0</v>
      </c>
      <c r="E164" s="3">
        <v>1099.75</v>
      </c>
      <c r="F164" s="3">
        <v>1158.2500000000005</v>
      </c>
    </row>
    <row r="165" spans="2:6" x14ac:dyDescent="0.3">
      <c r="B165" s="3">
        <v>154</v>
      </c>
      <c r="C165" s="3">
        <v>60.150000000000006</v>
      </c>
      <c r="D165" s="3">
        <v>0</v>
      </c>
      <c r="E165" s="3">
        <v>2199.5</v>
      </c>
      <c r="F165" s="3">
        <v>2259.65</v>
      </c>
    </row>
    <row r="166" spans="2:6" x14ac:dyDescent="0.3">
      <c r="B166" s="3">
        <v>155</v>
      </c>
      <c r="C166" s="3">
        <v>62.250000000000014</v>
      </c>
      <c r="D166" s="3">
        <v>0</v>
      </c>
      <c r="E166" s="3">
        <v>2199.5</v>
      </c>
      <c r="F166" s="3">
        <v>2261.7499999999995</v>
      </c>
    </row>
    <row r="167" spans="2:6" x14ac:dyDescent="0.3">
      <c r="B167" s="3">
        <v>156</v>
      </c>
      <c r="C167" s="3">
        <v>63.250000000000007</v>
      </c>
      <c r="D167" s="3">
        <v>0</v>
      </c>
      <c r="E167" s="3">
        <v>2199.5</v>
      </c>
      <c r="F167" s="3">
        <v>2262.75</v>
      </c>
    </row>
    <row r="168" spans="2:6" x14ac:dyDescent="0.3">
      <c r="B168" s="3">
        <v>157</v>
      </c>
      <c r="C168" s="3">
        <v>64.800000000000011</v>
      </c>
      <c r="D168" s="3">
        <v>0</v>
      </c>
      <c r="E168" s="3">
        <v>2199.5</v>
      </c>
      <c r="F168" s="3">
        <v>2264.2999999999997</v>
      </c>
    </row>
    <row r="169" spans="2:6" x14ac:dyDescent="0.3">
      <c r="B169" s="3">
        <v>158</v>
      </c>
      <c r="C169" s="3">
        <v>62.750000000000007</v>
      </c>
      <c r="D169" s="3">
        <v>0</v>
      </c>
      <c r="E169" s="3">
        <v>2199.5</v>
      </c>
      <c r="F169" s="3">
        <v>2262.25</v>
      </c>
    </row>
    <row r="170" spans="2:6" x14ac:dyDescent="0.3">
      <c r="B170" s="3">
        <v>159</v>
      </c>
      <c r="C170" s="3">
        <v>59.20000000000001</v>
      </c>
      <c r="D170" s="3">
        <v>0</v>
      </c>
      <c r="E170" s="3">
        <v>2199.5</v>
      </c>
      <c r="F170" s="3">
        <v>2258.6999999999998</v>
      </c>
    </row>
    <row r="171" spans="2:6" x14ac:dyDescent="0.3">
      <c r="B171" s="3">
        <v>160</v>
      </c>
      <c r="C171" s="3">
        <v>63.85</v>
      </c>
      <c r="D171" s="3">
        <v>0</v>
      </c>
      <c r="E171" s="3">
        <v>2199.5</v>
      </c>
      <c r="F171" s="3">
        <v>2263.3499999999995</v>
      </c>
    </row>
    <row r="172" spans="2:6" x14ac:dyDescent="0.3">
      <c r="B172" s="3">
        <v>161</v>
      </c>
      <c r="C172" s="3">
        <v>59.449999999999996</v>
      </c>
      <c r="D172" s="3">
        <v>0</v>
      </c>
      <c r="E172" s="3">
        <v>2199.5</v>
      </c>
      <c r="F172" s="3">
        <v>2258.9500000000003</v>
      </c>
    </row>
    <row r="173" spans="2:6" x14ac:dyDescent="0.3">
      <c r="B173" s="3">
        <v>162</v>
      </c>
      <c r="C173" s="3">
        <v>64.2</v>
      </c>
      <c r="D173" s="3">
        <v>0</v>
      </c>
      <c r="E173" s="3">
        <v>2199.5</v>
      </c>
      <c r="F173" s="3">
        <v>2263.7000000000003</v>
      </c>
    </row>
    <row r="174" spans="2:6" x14ac:dyDescent="0.3">
      <c r="B174" s="3">
        <v>163</v>
      </c>
      <c r="C174" s="3">
        <v>58.199999999999989</v>
      </c>
      <c r="D174" s="3">
        <v>0</v>
      </c>
      <c r="E174" s="3">
        <v>2199.5</v>
      </c>
      <c r="F174" s="3">
        <v>2257.7000000000003</v>
      </c>
    </row>
    <row r="175" spans="2:6" x14ac:dyDescent="0.3">
      <c r="B175" s="3">
        <v>164</v>
      </c>
      <c r="C175" s="3">
        <v>64.300000000000011</v>
      </c>
      <c r="D175" s="3">
        <v>0</v>
      </c>
      <c r="E175" s="3">
        <v>2199.5</v>
      </c>
      <c r="F175" s="3">
        <v>2263.8000000000002</v>
      </c>
    </row>
    <row r="176" spans="2:6" x14ac:dyDescent="0.3">
      <c r="B176" s="3">
        <v>165</v>
      </c>
      <c r="C176" s="3">
        <v>62.499999999999993</v>
      </c>
      <c r="D176" s="3">
        <v>0</v>
      </c>
      <c r="E176" s="3">
        <v>2199.5</v>
      </c>
      <c r="F176" s="3">
        <v>2262.0000000000009</v>
      </c>
    </row>
    <row r="177" spans="2:6" x14ac:dyDescent="0.3">
      <c r="B177" s="3">
        <v>166</v>
      </c>
      <c r="C177" s="3">
        <v>64.45</v>
      </c>
      <c r="D177" s="3">
        <v>0</v>
      </c>
      <c r="E177" s="3">
        <v>2199.5</v>
      </c>
      <c r="F177" s="3">
        <v>2263.9499999999994</v>
      </c>
    </row>
    <row r="178" spans="2:6" x14ac:dyDescent="0.3">
      <c r="B178" s="3">
        <v>167</v>
      </c>
      <c r="C178" s="3">
        <v>63.050000000000004</v>
      </c>
      <c r="D178" s="3">
        <v>0</v>
      </c>
      <c r="E178" s="3">
        <v>2199.5</v>
      </c>
      <c r="F178" s="3">
        <v>2262.5499999999993</v>
      </c>
    </row>
    <row r="179" spans="2:6" x14ac:dyDescent="0.3">
      <c r="B179" s="3">
        <v>168</v>
      </c>
      <c r="C179" s="3">
        <v>57.25</v>
      </c>
      <c r="D179" s="3">
        <v>0</v>
      </c>
      <c r="E179" s="3">
        <v>1099.75</v>
      </c>
      <c r="F179" s="3">
        <v>1156.9999999999998</v>
      </c>
    </row>
    <row r="180" spans="2:6" x14ac:dyDescent="0.3">
      <c r="B180" s="3">
        <v>169</v>
      </c>
      <c r="C180" s="3">
        <v>62.449999999999996</v>
      </c>
      <c r="D180" s="3">
        <v>0</v>
      </c>
      <c r="E180" s="3">
        <v>2199.5</v>
      </c>
      <c r="F180" s="3">
        <v>2261.9500000000003</v>
      </c>
    </row>
    <row r="181" spans="2:6" x14ac:dyDescent="0.3">
      <c r="B181" s="3">
        <v>170</v>
      </c>
      <c r="C181" s="3">
        <v>63.85</v>
      </c>
      <c r="D181" s="3">
        <v>0</v>
      </c>
      <c r="E181" s="3">
        <v>2199.5</v>
      </c>
      <c r="F181" s="3">
        <v>2263.35</v>
      </c>
    </row>
    <row r="182" spans="2:6" x14ac:dyDescent="0.3">
      <c r="B182" s="3">
        <v>171</v>
      </c>
      <c r="C182" s="3">
        <v>60.7</v>
      </c>
      <c r="D182" s="3">
        <v>0</v>
      </c>
      <c r="E182" s="3">
        <v>2199.5</v>
      </c>
      <c r="F182" s="3">
        <v>2260.2000000000007</v>
      </c>
    </row>
    <row r="183" spans="2:6" x14ac:dyDescent="0.3">
      <c r="B183" s="3">
        <v>172</v>
      </c>
      <c r="C183" s="3">
        <v>63.000000000000007</v>
      </c>
      <c r="D183" s="3">
        <v>0</v>
      </c>
      <c r="E183" s="3">
        <v>2199.5</v>
      </c>
      <c r="F183" s="3">
        <v>2262.4999999999995</v>
      </c>
    </row>
    <row r="184" spans="2:6" x14ac:dyDescent="0.3">
      <c r="B184" s="3">
        <v>173</v>
      </c>
      <c r="C184" s="3">
        <v>61.099999999999987</v>
      </c>
      <c r="D184" s="3">
        <v>0</v>
      </c>
      <c r="E184" s="3">
        <v>1099.75</v>
      </c>
      <c r="F184" s="3">
        <v>1160.8500000000004</v>
      </c>
    </row>
    <row r="185" spans="2:6" x14ac:dyDescent="0.3">
      <c r="B185" s="3">
        <v>174</v>
      </c>
      <c r="C185" s="3">
        <v>57.2</v>
      </c>
      <c r="D185" s="3">
        <v>0</v>
      </c>
      <c r="E185" s="3">
        <v>2199.5</v>
      </c>
      <c r="F185" s="3">
        <v>2256.7000000000007</v>
      </c>
    </row>
    <row r="186" spans="2:6" x14ac:dyDescent="0.3">
      <c r="B186" s="3">
        <v>175</v>
      </c>
      <c r="C186" s="3">
        <v>65.100000000000009</v>
      </c>
      <c r="D186" s="3">
        <v>0</v>
      </c>
      <c r="E186" s="3">
        <v>2199.5</v>
      </c>
      <c r="F186" s="3">
        <v>2264.6000000000004</v>
      </c>
    </row>
    <row r="187" spans="2:6" x14ac:dyDescent="0.3">
      <c r="B187" s="3">
        <v>176</v>
      </c>
      <c r="C187" s="3">
        <v>64.099999999999994</v>
      </c>
      <c r="D187" s="3">
        <v>0</v>
      </c>
      <c r="E187" s="3">
        <v>2199.5</v>
      </c>
      <c r="F187" s="3">
        <v>2263.5999999999995</v>
      </c>
    </row>
    <row r="188" spans="2:6" x14ac:dyDescent="0.3">
      <c r="B188" s="3">
        <v>177</v>
      </c>
      <c r="C188" s="3">
        <v>57.650000000000006</v>
      </c>
      <c r="D188" s="3">
        <v>0</v>
      </c>
      <c r="E188" s="3">
        <v>2199.5</v>
      </c>
      <c r="F188" s="3">
        <v>2257.1499999999996</v>
      </c>
    </row>
    <row r="189" spans="2:6" x14ac:dyDescent="0.3">
      <c r="B189" s="3">
        <v>178</v>
      </c>
      <c r="C189" s="3">
        <v>58.300000000000004</v>
      </c>
      <c r="D189" s="3">
        <v>0</v>
      </c>
      <c r="E189" s="3">
        <v>2199.5</v>
      </c>
      <c r="F189" s="3">
        <v>2257.8000000000002</v>
      </c>
    </row>
    <row r="190" spans="2:6" x14ac:dyDescent="0.3">
      <c r="B190" s="3">
        <v>179</v>
      </c>
      <c r="C190" s="3">
        <v>58.250000000000014</v>
      </c>
      <c r="D190" s="3">
        <v>0</v>
      </c>
      <c r="E190" s="3">
        <v>2199.5</v>
      </c>
      <c r="F190" s="3">
        <v>2257.7499999999991</v>
      </c>
    </row>
    <row r="191" spans="2:6" x14ac:dyDescent="0.3">
      <c r="B191" s="3">
        <v>180</v>
      </c>
      <c r="C191" s="3">
        <v>64.349999999999994</v>
      </c>
      <c r="D191" s="3">
        <v>0</v>
      </c>
      <c r="E191" s="3">
        <v>2199.5</v>
      </c>
      <c r="F191" s="3">
        <v>2263.85</v>
      </c>
    </row>
    <row r="192" spans="2:6" x14ac:dyDescent="0.3">
      <c r="B192" s="3">
        <v>181</v>
      </c>
      <c r="C192" s="3">
        <v>66.850000000000009</v>
      </c>
      <c r="D192" s="3">
        <v>0</v>
      </c>
      <c r="E192" s="3">
        <v>2199.5</v>
      </c>
      <c r="F192" s="3">
        <v>2266.3500000000008</v>
      </c>
    </row>
    <row r="193" spans="2:6" x14ac:dyDescent="0.3">
      <c r="B193" s="3">
        <v>182</v>
      </c>
      <c r="C193" s="3">
        <v>58.250000000000007</v>
      </c>
      <c r="D193" s="3">
        <v>0</v>
      </c>
      <c r="E193" s="3">
        <v>2199.5</v>
      </c>
      <c r="F193" s="3">
        <v>2257.7500000000005</v>
      </c>
    </row>
    <row r="194" spans="2:6" x14ac:dyDescent="0.3">
      <c r="B194" s="3">
        <v>183</v>
      </c>
      <c r="C194" s="3">
        <v>57.95</v>
      </c>
      <c r="D194" s="3">
        <v>0</v>
      </c>
      <c r="E194" s="3">
        <v>1099.75</v>
      </c>
      <c r="F194" s="3">
        <v>1157.6999999999996</v>
      </c>
    </row>
    <row r="195" spans="2:6" x14ac:dyDescent="0.3">
      <c r="B195" s="3">
        <v>184</v>
      </c>
      <c r="C195" s="3">
        <v>61.550000000000004</v>
      </c>
      <c r="D195" s="3">
        <v>0</v>
      </c>
      <c r="E195" s="3">
        <v>2199.5</v>
      </c>
      <c r="F195" s="3">
        <v>2261.0499999999997</v>
      </c>
    </row>
    <row r="196" spans="2:6" x14ac:dyDescent="0.3">
      <c r="B196" s="3">
        <v>185</v>
      </c>
      <c r="C196" s="3">
        <v>63.800000000000004</v>
      </c>
      <c r="D196" s="3">
        <v>0</v>
      </c>
      <c r="E196" s="3">
        <v>2199.5</v>
      </c>
      <c r="F196" s="3">
        <v>2263.3000000000002</v>
      </c>
    </row>
    <row r="197" spans="2:6" x14ac:dyDescent="0.3">
      <c r="B197" s="3">
        <v>186</v>
      </c>
      <c r="C197" s="3">
        <v>62.699999999999982</v>
      </c>
      <c r="D197" s="3">
        <v>0</v>
      </c>
      <c r="E197" s="3">
        <v>2199.5</v>
      </c>
      <c r="F197" s="3">
        <v>2262.1999999999998</v>
      </c>
    </row>
    <row r="198" spans="2:6" x14ac:dyDescent="0.3">
      <c r="B198" s="3">
        <v>187</v>
      </c>
      <c r="C198" s="3">
        <v>62.15</v>
      </c>
      <c r="D198" s="3">
        <v>0</v>
      </c>
      <c r="E198" s="3">
        <v>2199.5</v>
      </c>
      <c r="F198" s="3">
        <v>2261.6499999999996</v>
      </c>
    </row>
    <row r="199" spans="2:6" x14ac:dyDescent="0.3">
      <c r="B199" s="3">
        <v>188</v>
      </c>
      <c r="C199" s="3">
        <v>58.8</v>
      </c>
      <c r="D199" s="3">
        <v>0</v>
      </c>
      <c r="E199" s="3">
        <v>2199.5</v>
      </c>
      <c r="F199" s="3">
        <v>2258.3000000000006</v>
      </c>
    </row>
    <row r="200" spans="2:6" x14ac:dyDescent="0.3">
      <c r="B200" s="3">
        <v>189</v>
      </c>
      <c r="C200" s="3">
        <v>63.90000000000002</v>
      </c>
      <c r="D200" s="3">
        <v>0</v>
      </c>
      <c r="E200" s="3">
        <v>2199.5</v>
      </c>
      <c r="F200" s="3">
        <v>2263.3999999999992</v>
      </c>
    </row>
    <row r="201" spans="2:6" x14ac:dyDescent="0.3">
      <c r="B201" s="3">
        <v>190</v>
      </c>
      <c r="C201" s="3">
        <v>62.6</v>
      </c>
      <c r="D201" s="3">
        <v>0</v>
      </c>
      <c r="E201" s="3">
        <v>2199.5</v>
      </c>
      <c r="F201" s="3">
        <v>2262.1</v>
      </c>
    </row>
    <row r="202" spans="2:6" x14ac:dyDescent="0.3">
      <c r="B202" s="3">
        <v>191</v>
      </c>
      <c r="C202" s="3">
        <v>57.050000000000011</v>
      </c>
      <c r="D202" s="3">
        <v>0</v>
      </c>
      <c r="E202" s="3">
        <v>1099.75</v>
      </c>
      <c r="F202" s="3">
        <v>1156.7999999999997</v>
      </c>
    </row>
    <row r="203" spans="2:6" x14ac:dyDescent="0.3">
      <c r="B203" s="3">
        <v>192</v>
      </c>
      <c r="C203" s="3">
        <v>64.800000000000011</v>
      </c>
      <c r="D203" s="3">
        <v>0</v>
      </c>
      <c r="E203" s="3">
        <v>2199.5</v>
      </c>
      <c r="F203" s="3">
        <v>2264.2999999999993</v>
      </c>
    </row>
    <row r="204" spans="2:6" x14ac:dyDescent="0.3">
      <c r="B204" s="3">
        <v>193</v>
      </c>
      <c r="C204" s="3">
        <v>58.449999999999996</v>
      </c>
      <c r="D204" s="3">
        <v>0</v>
      </c>
      <c r="E204" s="3">
        <v>2199.5</v>
      </c>
      <c r="F204" s="3">
        <v>2257.9499999999998</v>
      </c>
    </row>
    <row r="205" spans="2:6" x14ac:dyDescent="0.3">
      <c r="B205" s="3">
        <v>194</v>
      </c>
      <c r="C205" s="3">
        <v>61.2</v>
      </c>
      <c r="D205" s="3">
        <v>0</v>
      </c>
      <c r="E205" s="3">
        <v>2199.5</v>
      </c>
      <c r="F205" s="3">
        <v>2260.6999999999998</v>
      </c>
    </row>
    <row r="206" spans="2:6" x14ac:dyDescent="0.3">
      <c r="B206" s="3">
        <v>195</v>
      </c>
      <c r="C206" s="3">
        <v>63.099999999999987</v>
      </c>
      <c r="D206" s="3">
        <v>0</v>
      </c>
      <c r="E206" s="3">
        <v>2199.5</v>
      </c>
      <c r="F206" s="3">
        <v>2262.6</v>
      </c>
    </row>
    <row r="207" spans="2:6" x14ac:dyDescent="0.3">
      <c r="B207" s="3">
        <v>196</v>
      </c>
      <c r="C207" s="3">
        <v>62.800000000000004</v>
      </c>
      <c r="D207" s="3">
        <v>0</v>
      </c>
      <c r="E207" s="3">
        <v>2199.5</v>
      </c>
      <c r="F207" s="3">
        <v>2262.2999999999993</v>
      </c>
    </row>
    <row r="208" spans="2:6" x14ac:dyDescent="0.3">
      <c r="B208" s="3">
        <v>197</v>
      </c>
      <c r="C208" s="3">
        <v>59.150000000000006</v>
      </c>
      <c r="D208" s="3">
        <v>0</v>
      </c>
      <c r="E208" s="3">
        <v>2199.5</v>
      </c>
      <c r="F208" s="3">
        <v>2258.6499999999996</v>
      </c>
    </row>
    <row r="209" spans="2:6" x14ac:dyDescent="0.3">
      <c r="B209" s="3">
        <v>198</v>
      </c>
      <c r="C209" s="3">
        <v>59.399999999999991</v>
      </c>
      <c r="D209" s="3">
        <v>0</v>
      </c>
      <c r="E209" s="3">
        <v>2199.5</v>
      </c>
      <c r="F209" s="3">
        <v>2258.9000000000005</v>
      </c>
    </row>
    <row r="210" spans="2:6" x14ac:dyDescent="0.3">
      <c r="B210" s="3">
        <v>199</v>
      </c>
      <c r="C210" s="3">
        <v>63.950000000000017</v>
      </c>
      <c r="D210" s="3">
        <v>0</v>
      </c>
      <c r="E210" s="3">
        <v>2199.5</v>
      </c>
      <c r="F210" s="3">
        <v>2263.4499999999998</v>
      </c>
    </row>
    <row r="211" spans="2:6" x14ac:dyDescent="0.3">
      <c r="B211" s="3">
        <v>200</v>
      </c>
      <c r="C211" s="3">
        <v>57.650000000000006</v>
      </c>
      <c r="D211" s="3">
        <v>0</v>
      </c>
      <c r="E211" s="3">
        <v>2199.5</v>
      </c>
      <c r="F211" s="3">
        <v>2257.1499999999996</v>
      </c>
    </row>
    <row r="212" spans="2:6" x14ac:dyDescent="0.3">
      <c r="B212" s="3">
        <v>201</v>
      </c>
      <c r="C212" s="3">
        <v>63.95</v>
      </c>
      <c r="D212" s="3">
        <v>0</v>
      </c>
      <c r="E212" s="3">
        <v>2199.5</v>
      </c>
      <c r="F212" s="3">
        <v>2263.4499999999994</v>
      </c>
    </row>
    <row r="213" spans="2:6" x14ac:dyDescent="0.3">
      <c r="B213" s="3">
        <v>202</v>
      </c>
      <c r="C213" s="3">
        <v>61.149999999999991</v>
      </c>
      <c r="D213" s="3">
        <v>0</v>
      </c>
      <c r="E213" s="3">
        <v>2199.5</v>
      </c>
      <c r="F213" s="3">
        <v>2260.6499999999996</v>
      </c>
    </row>
    <row r="214" spans="2:6" x14ac:dyDescent="0.3">
      <c r="B214" s="3">
        <v>203</v>
      </c>
      <c r="C214" s="3">
        <v>62.550000000000011</v>
      </c>
      <c r="D214" s="3">
        <v>0</v>
      </c>
      <c r="E214" s="3">
        <v>2199.5</v>
      </c>
      <c r="F214" s="3">
        <v>2262.0499999999988</v>
      </c>
    </row>
    <row r="215" spans="2:6" x14ac:dyDescent="0.3">
      <c r="B215" s="3">
        <v>204</v>
      </c>
      <c r="C215" s="3">
        <v>62.649999999999984</v>
      </c>
      <c r="D215" s="3">
        <v>0</v>
      </c>
      <c r="E215" s="3">
        <v>2199.5</v>
      </c>
      <c r="F215" s="3">
        <v>2262.150000000001</v>
      </c>
    </row>
    <row r="216" spans="2:6" x14ac:dyDescent="0.3">
      <c r="B216" s="3">
        <v>205</v>
      </c>
      <c r="C216" s="3">
        <v>62.1</v>
      </c>
      <c r="D216" s="3">
        <v>0</v>
      </c>
      <c r="E216" s="3">
        <v>2199.5</v>
      </c>
      <c r="F216" s="3">
        <v>2261.6</v>
      </c>
    </row>
    <row r="217" spans="2:6" x14ac:dyDescent="0.3">
      <c r="B217" s="3">
        <v>206</v>
      </c>
      <c r="C217" s="3">
        <v>58.7</v>
      </c>
      <c r="D217" s="3">
        <v>0</v>
      </c>
      <c r="E217" s="3">
        <v>2199.5</v>
      </c>
      <c r="F217" s="3">
        <v>2258.2000000000007</v>
      </c>
    </row>
    <row r="218" spans="2:6" x14ac:dyDescent="0.3">
      <c r="B218" s="3">
        <v>207</v>
      </c>
      <c r="C218" s="3">
        <v>59.85</v>
      </c>
      <c r="D218" s="3">
        <v>0</v>
      </c>
      <c r="E218" s="3">
        <v>1099.75</v>
      </c>
      <c r="F218" s="3">
        <v>1159.5999999999997</v>
      </c>
    </row>
    <row r="219" spans="2:6" x14ac:dyDescent="0.3">
      <c r="B219" s="3">
        <v>208</v>
      </c>
      <c r="C219" s="3">
        <v>64.000000000000014</v>
      </c>
      <c r="D219" s="3">
        <v>0</v>
      </c>
      <c r="E219" s="3">
        <v>2199.5</v>
      </c>
      <c r="F219" s="3">
        <v>2263.4999999999995</v>
      </c>
    </row>
    <row r="220" spans="2:6" x14ac:dyDescent="0.3">
      <c r="B220" s="3">
        <v>209</v>
      </c>
      <c r="C220" s="3">
        <v>60.900000000000013</v>
      </c>
      <c r="D220" s="3">
        <v>0</v>
      </c>
      <c r="E220" s="3">
        <v>1099.75</v>
      </c>
      <c r="F220" s="3">
        <v>1160.6499999999999</v>
      </c>
    </row>
    <row r="221" spans="2:6" x14ac:dyDescent="0.3">
      <c r="B221" s="3">
        <v>210</v>
      </c>
      <c r="C221" s="3">
        <v>61.849999999999987</v>
      </c>
      <c r="D221" s="3">
        <v>0</v>
      </c>
      <c r="E221" s="3">
        <v>2199.5</v>
      </c>
      <c r="F221" s="3">
        <v>2261.3500000000004</v>
      </c>
    </row>
    <row r="222" spans="2:6" x14ac:dyDescent="0.3">
      <c r="B222" s="3">
        <v>211</v>
      </c>
      <c r="C222" s="3">
        <v>63.45000000000001</v>
      </c>
      <c r="D222" s="3">
        <v>0</v>
      </c>
      <c r="E222" s="3">
        <v>2199.5</v>
      </c>
      <c r="F222" s="3">
        <v>2262.9500000000003</v>
      </c>
    </row>
    <row r="223" spans="2:6" x14ac:dyDescent="0.3">
      <c r="B223" s="3">
        <v>212</v>
      </c>
      <c r="C223" s="3">
        <v>63.800000000000018</v>
      </c>
      <c r="D223" s="3">
        <v>0</v>
      </c>
      <c r="E223" s="3">
        <v>2199.5</v>
      </c>
      <c r="F223" s="3">
        <v>2263.2999999999997</v>
      </c>
    </row>
    <row r="224" spans="2:6" x14ac:dyDescent="0.3">
      <c r="B224" s="3">
        <v>213</v>
      </c>
      <c r="C224" s="3">
        <v>57.399999999999991</v>
      </c>
      <c r="D224" s="3">
        <v>0</v>
      </c>
      <c r="E224" s="3">
        <v>2199.5</v>
      </c>
      <c r="F224" s="3">
        <v>2256.900000000001</v>
      </c>
    </row>
    <row r="225" spans="2:6" x14ac:dyDescent="0.3">
      <c r="B225" s="3">
        <v>214</v>
      </c>
      <c r="C225" s="3">
        <v>59.800000000000004</v>
      </c>
      <c r="D225" s="3">
        <v>0</v>
      </c>
      <c r="E225" s="3">
        <v>1099.75</v>
      </c>
      <c r="F225" s="3">
        <v>1159.5500000000002</v>
      </c>
    </row>
    <row r="226" spans="2:6" x14ac:dyDescent="0.3">
      <c r="B226" s="3">
        <v>215</v>
      </c>
      <c r="C226" s="3">
        <v>60.600000000000009</v>
      </c>
      <c r="D226" s="3">
        <v>0</v>
      </c>
      <c r="E226" s="3">
        <v>2199.5</v>
      </c>
      <c r="F226" s="3">
        <v>2260.1</v>
      </c>
    </row>
    <row r="227" spans="2:6" x14ac:dyDescent="0.3">
      <c r="B227" s="3">
        <v>216</v>
      </c>
      <c r="C227" s="3">
        <v>57</v>
      </c>
      <c r="D227" s="3">
        <v>0</v>
      </c>
      <c r="E227" s="3">
        <v>2199.5</v>
      </c>
      <c r="F227" s="3">
        <v>2256.4999999999995</v>
      </c>
    </row>
    <row r="228" spans="2:6" x14ac:dyDescent="0.3">
      <c r="B228" s="3">
        <v>217</v>
      </c>
      <c r="C228" s="3">
        <v>60.199999999999989</v>
      </c>
      <c r="D228" s="3">
        <v>0</v>
      </c>
      <c r="E228" s="3">
        <v>2199.5</v>
      </c>
      <c r="F228" s="3">
        <v>2259.7000000000007</v>
      </c>
    </row>
    <row r="229" spans="2:6" x14ac:dyDescent="0.3">
      <c r="B229" s="3">
        <v>218</v>
      </c>
      <c r="C229" s="3">
        <v>63.6</v>
      </c>
      <c r="D229" s="3">
        <v>0</v>
      </c>
      <c r="E229" s="3">
        <v>2199.5</v>
      </c>
      <c r="F229" s="3">
        <v>2263.1</v>
      </c>
    </row>
    <row r="230" spans="2:6" x14ac:dyDescent="0.3">
      <c r="B230" s="3">
        <v>219</v>
      </c>
      <c r="C230" s="3">
        <v>63.000000000000014</v>
      </c>
      <c r="D230" s="3">
        <v>0</v>
      </c>
      <c r="E230" s="3">
        <v>2199.5</v>
      </c>
      <c r="F230" s="3">
        <v>2262.5000000000005</v>
      </c>
    </row>
    <row r="231" spans="2:6" x14ac:dyDescent="0.3">
      <c r="B231" s="3">
        <v>220</v>
      </c>
      <c r="C231" s="3">
        <v>61.800000000000004</v>
      </c>
      <c r="D231" s="3">
        <v>0</v>
      </c>
      <c r="E231" s="3">
        <v>2199.5</v>
      </c>
      <c r="F231" s="3">
        <v>2261.2999999999993</v>
      </c>
    </row>
    <row r="232" spans="2:6" x14ac:dyDescent="0.3">
      <c r="B232" s="3">
        <v>221</v>
      </c>
      <c r="C232" s="3">
        <v>67.150000000000006</v>
      </c>
      <c r="D232" s="3">
        <v>0</v>
      </c>
      <c r="E232" s="3">
        <v>2199.5</v>
      </c>
      <c r="F232" s="3">
        <v>2266.6499999999996</v>
      </c>
    </row>
    <row r="233" spans="2:6" x14ac:dyDescent="0.3">
      <c r="B233" s="3">
        <v>222</v>
      </c>
      <c r="C233" s="3">
        <v>61.400000000000006</v>
      </c>
      <c r="D233" s="3">
        <v>0</v>
      </c>
      <c r="E233" s="3">
        <v>2199.5</v>
      </c>
      <c r="F233" s="3">
        <v>2260.9</v>
      </c>
    </row>
    <row r="234" spans="2:6" x14ac:dyDescent="0.3">
      <c r="B234" s="3">
        <v>223</v>
      </c>
      <c r="C234" s="3">
        <v>61.2</v>
      </c>
      <c r="D234" s="3">
        <v>0</v>
      </c>
      <c r="E234" s="3">
        <v>2199.5</v>
      </c>
      <c r="F234" s="3">
        <v>2260.7000000000007</v>
      </c>
    </row>
    <row r="235" spans="2:6" x14ac:dyDescent="0.3">
      <c r="B235" s="3">
        <v>224</v>
      </c>
      <c r="C235" s="3">
        <v>62.600000000000016</v>
      </c>
      <c r="D235" s="3">
        <v>0</v>
      </c>
      <c r="E235" s="3">
        <v>2199.5</v>
      </c>
      <c r="F235" s="3">
        <v>2262.1000000000004</v>
      </c>
    </row>
    <row r="236" spans="2:6" x14ac:dyDescent="0.3">
      <c r="B236" s="3">
        <v>225</v>
      </c>
      <c r="C236" s="3">
        <v>58.5</v>
      </c>
      <c r="D236" s="3">
        <v>0</v>
      </c>
      <c r="E236" s="3">
        <v>2199.5</v>
      </c>
      <c r="F236" s="3">
        <v>2258.0000000000005</v>
      </c>
    </row>
    <row r="237" spans="2:6" x14ac:dyDescent="0.3">
      <c r="B237" s="3">
        <v>226</v>
      </c>
      <c r="C237" s="3">
        <v>60.000000000000014</v>
      </c>
      <c r="D237" s="3">
        <v>0</v>
      </c>
      <c r="E237" s="3">
        <v>2199.5</v>
      </c>
      <c r="F237" s="3">
        <v>2259.4999999999991</v>
      </c>
    </row>
    <row r="238" spans="2:6" x14ac:dyDescent="0.3">
      <c r="B238" s="3">
        <v>227</v>
      </c>
      <c r="C238" s="3">
        <v>63.949999999999996</v>
      </c>
      <c r="D238" s="3">
        <v>0</v>
      </c>
      <c r="E238" s="3">
        <v>2199.5</v>
      </c>
      <c r="F238" s="3">
        <v>2263.4500000000003</v>
      </c>
    </row>
    <row r="239" spans="2:6" x14ac:dyDescent="0.3">
      <c r="B239" s="3">
        <v>228</v>
      </c>
      <c r="C239" s="3">
        <v>61.249999999999993</v>
      </c>
      <c r="D239" s="3">
        <v>0</v>
      </c>
      <c r="E239" s="3">
        <v>2199.5</v>
      </c>
      <c r="F239" s="3">
        <v>2260.75</v>
      </c>
    </row>
    <row r="240" spans="2:6" x14ac:dyDescent="0.3">
      <c r="B240" s="3">
        <v>229</v>
      </c>
      <c r="C240" s="3">
        <v>61.050000000000011</v>
      </c>
      <c r="D240" s="3">
        <v>0</v>
      </c>
      <c r="E240" s="3">
        <v>2199.5</v>
      </c>
      <c r="F240" s="3">
        <v>2260.5499999999997</v>
      </c>
    </row>
    <row r="241" spans="2:6" x14ac:dyDescent="0.3">
      <c r="B241" s="3">
        <v>230</v>
      </c>
      <c r="C241" s="3">
        <v>59.7</v>
      </c>
      <c r="D241" s="3">
        <v>0</v>
      </c>
      <c r="E241" s="3">
        <v>2199.5</v>
      </c>
      <c r="F241" s="3">
        <v>2259.1999999999994</v>
      </c>
    </row>
    <row r="242" spans="2:6" x14ac:dyDescent="0.3">
      <c r="B242" s="3">
        <v>231</v>
      </c>
      <c r="C242" s="3">
        <v>58.199999999999974</v>
      </c>
      <c r="D242" s="3">
        <v>0</v>
      </c>
      <c r="E242" s="3">
        <v>2199.5</v>
      </c>
      <c r="F242" s="3">
        <v>2257.7000000000003</v>
      </c>
    </row>
    <row r="243" spans="2:6" x14ac:dyDescent="0.3">
      <c r="B243" s="3">
        <v>232</v>
      </c>
      <c r="C243" s="3">
        <v>61.399999999999991</v>
      </c>
      <c r="D243" s="3">
        <v>0</v>
      </c>
      <c r="E243" s="3">
        <v>2199.5</v>
      </c>
      <c r="F243" s="3">
        <v>2260.9</v>
      </c>
    </row>
    <row r="244" spans="2:6" x14ac:dyDescent="0.3">
      <c r="B244" s="3">
        <v>233</v>
      </c>
      <c r="C244" s="3">
        <v>61.65</v>
      </c>
      <c r="D244" s="3">
        <v>0</v>
      </c>
      <c r="E244" s="3">
        <v>2199.5</v>
      </c>
      <c r="F244" s="3">
        <v>2261.1499999999996</v>
      </c>
    </row>
    <row r="245" spans="2:6" x14ac:dyDescent="0.3">
      <c r="B245" s="3">
        <v>234</v>
      </c>
      <c r="C245" s="3">
        <v>62.549999999999983</v>
      </c>
      <c r="D245" s="3">
        <v>0</v>
      </c>
      <c r="E245" s="3">
        <v>2199.5</v>
      </c>
      <c r="F245" s="3">
        <v>2262.0500000000002</v>
      </c>
    </row>
    <row r="246" spans="2:6" x14ac:dyDescent="0.3">
      <c r="B246" s="3">
        <v>235</v>
      </c>
      <c r="C246" s="3">
        <v>60.3</v>
      </c>
      <c r="D246" s="3">
        <v>0</v>
      </c>
      <c r="E246" s="3">
        <v>2199.5</v>
      </c>
      <c r="F246" s="3">
        <v>2259.8000000000002</v>
      </c>
    </row>
    <row r="247" spans="2:6" x14ac:dyDescent="0.3">
      <c r="B247" s="3">
        <v>236</v>
      </c>
      <c r="C247" s="3">
        <v>62.649999999999991</v>
      </c>
      <c r="D247" s="3">
        <v>0</v>
      </c>
      <c r="E247" s="3">
        <v>2199.5</v>
      </c>
      <c r="F247" s="3">
        <v>2262.15</v>
      </c>
    </row>
    <row r="248" spans="2:6" x14ac:dyDescent="0.3">
      <c r="B248" s="3">
        <v>237</v>
      </c>
      <c r="C248" s="3">
        <v>55.9</v>
      </c>
      <c r="D248" s="3">
        <v>0</v>
      </c>
      <c r="E248" s="3">
        <v>2199.5</v>
      </c>
      <c r="F248" s="3">
        <v>2255.4</v>
      </c>
    </row>
    <row r="249" spans="2:6" x14ac:dyDescent="0.3">
      <c r="B249" s="3">
        <v>238</v>
      </c>
      <c r="C249" s="3">
        <v>60.150000000000013</v>
      </c>
      <c r="D249" s="3">
        <v>0</v>
      </c>
      <c r="E249" s="3">
        <v>2199.5</v>
      </c>
      <c r="F249" s="3">
        <v>2259.6499999999996</v>
      </c>
    </row>
    <row r="250" spans="2:6" x14ac:dyDescent="0.3">
      <c r="B250" s="3">
        <v>239</v>
      </c>
      <c r="C250" s="3">
        <v>56.250000000000007</v>
      </c>
      <c r="D250" s="3">
        <v>0</v>
      </c>
      <c r="E250" s="3">
        <v>2199.5</v>
      </c>
      <c r="F250" s="3">
        <v>2255.75</v>
      </c>
    </row>
    <row r="251" spans="2:6" x14ac:dyDescent="0.3">
      <c r="B251" s="3">
        <v>240</v>
      </c>
      <c r="C251" s="3">
        <v>58.800000000000018</v>
      </c>
      <c r="D251" s="3">
        <v>0</v>
      </c>
      <c r="E251" s="3">
        <v>2199.5</v>
      </c>
      <c r="F251" s="3">
        <v>2258.2999999999993</v>
      </c>
    </row>
    <row r="252" spans="2:6" x14ac:dyDescent="0.3">
      <c r="B252" s="3">
        <v>241</v>
      </c>
      <c r="C252" s="3">
        <v>63.849999999999994</v>
      </c>
      <c r="D252" s="3">
        <v>0</v>
      </c>
      <c r="E252" s="3">
        <v>2199.5</v>
      </c>
      <c r="F252" s="3">
        <v>2263.3500000000004</v>
      </c>
    </row>
    <row r="253" spans="2:6" x14ac:dyDescent="0.3">
      <c r="B253" s="3">
        <v>242</v>
      </c>
      <c r="C253" s="3">
        <v>62.95</v>
      </c>
      <c r="D253" s="3">
        <v>0</v>
      </c>
      <c r="E253" s="3">
        <v>2199.5</v>
      </c>
      <c r="F253" s="3">
        <v>2262.4499999999998</v>
      </c>
    </row>
    <row r="254" spans="2:6" x14ac:dyDescent="0.3">
      <c r="B254" s="3">
        <v>243</v>
      </c>
      <c r="C254" s="3">
        <v>64.650000000000006</v>
      </c>
      <c r="D254" s="3">
        <v>0</v>
      </c>
      <c r="E254" s="3">
        <v>2199.5</v>
      </c>
      <c r="F254" s="3">
        <v>2264.1499999999996</v>
      </c>
    </row>
    <row r="255" spans="2:6" x14ac:dyDescent="0.3">
      <c r="B255" s="3">
        <v>244</v>
      </c>
      <c r="C255" s="3">
        <v>58.999999999999993</v>
      </c>
      <c r="D255" s="3">
        <v>0</v>
      </c>
      <c r="E255" s="3">
        <v>2199.5</v>
      </c>
      <c r="F255" s="3">
        <v>2258.5</v>
      </c>
    </row>
    <row r="256" spans="2:6" x14ac:dyDescent="0.3">
      <c r="B256" s="3">
        <v>245</v>
      </c>
      <c r="C256" s="3">
        <v>62.150000000000006</v>
      </c>
      <c r="D256" s="3">
        <v>0</v>
      </c>
      <c r="E256" s="3">
        <v>2199.5</v>
      </c>
      <c r="F256" s="3">
        <v>2261.65</v>
      </c>
    </row>
    <row r="257" spans="2:6" x14ac:dyDescent="0.3">
      <c r="B257" s="3">
        <v>246</v>
      </c>
      <c r="C257" s="3">
        <v>59.600000000000016</v>
      </c>
      <c r="D257" s="3">
        <v>0</v>
      </c>
      <c r="E257" s="3">
        <v>2199.5</v>
      </c>
      <c r="F257" s="3">
        <v>2259.1000000000004</v>
      </c>
    </row>
    <row r="258" spans="2:6" x14ac:dyDescent="0.3">
      <c r="B258" s="3">
        <v>247</v>
      </c>
      <c r="C258" s="3">
        <v>59.249999999999993</v>
      </c>
      <c r="D258" s="3">
        <v>0</v>
      </c>
      <c r="E258" s="3">
        <v>2199.5</v>
      </c>
      <c r="F258" s="3">
        <v>2258.75</v>
      </c>
    </row>
    <row r="259" spans="2:6" x14ac:dyDescent="0.3">
      <c r="B259" s="3">
        <v>248</v>
      </c>
      <c r="C259" s="3">
        <v>63.650000000000006</v>
      </c>
      <c r="D259" s="3">
        <v>0</v>
      </c>
      <c r="E259" s="3">
        <v>2199.5</v>
      </c>
      <c r="F259" s="3">
        <v>2263.1499999999996</v>
      </c>
    </row>
    <row r="260" spans="2:6" x14ac:dyDescent="0.3">
      <c r="B260" s="3">
        <v>249</v>
      </c>
      <c r="C260" s="3">
        <v>55.15</v>
      </c>
      <c r="D260" s="3">
        <v>0</v>
      </c>
      <c r="E260" s="3">
        <v>2199.5</v>
      </c>
      <c r="F260" s="3">
        <v>2254.65</v>
      </c>
    </row>
    <row r="261" spans="2:6" x14ac:dyDescent="0.3">
      <c r="B261" s="3">
        <v>250</v>
      </c>
      <c r="C261" s="3">
        <v>66.40000000000002</v>
      </c>
      <c r="D261" s="3">
        <v>0</v>
      </c>
      <c r="E261" s="3">
        <v>2199.5</v>
      </c>
      <c r="F261" s="3">
        <v>2265.8999999999987</v>
      </c>
    </row>
    <row r="262" spans="2:6" x14ac:dyDescent="0.3">
      <c r="B262" s="3">
        <v>251</v>
      </c>
      <c r="C262" s="3">
        <v>62.15</v>
      </c>
      <c r="D262" s="3">
        <v>0</v>
      </c>
      <c r="E262" s="3">
        <v>2199.5</v>
      </c>
      <c r="F262" s="3">
        <v>2261.6500000000005</v>
      </c>
    </row>
    <row r="263" spans="2:6" x14ac:dyDescent="0.3">
      <c r="B263" s="3">
        <v>252</v>
      </c>
      <c r="C263" s="3">
        <v>63.800000000000011</v>
      </c>
      <c r="D263" s="3">
        <v>0</v>
      </c>
      <c r="E263" s="3">
        <v>2199.5</v>
      </c>
      <c r="F263" s="3">
        <v>2263.2999999999993</v>
      </c>
    </row>
    <row r="264" spans="2:6" x14ac:dyDescent="0.3">
      <c r="B264" s="3">
        <v>253</v>
      </c>
      <c r="C264" s="3">
        <v>61.850000000000009</v>
      </c>
      <c r="D264" s="3">
        <v>0</v>
      </c>
      <c r="E264" s="3">
        <v>1099.75</v>
      </c>
      <c r="F264" s="3">
        <v>1161.6000000000004</v>
      </c>
    </row>
    <row r="265" spans="2:6" x14ac:dyDescent="0.3">
      <c r="B265" s="3">
        <v>254</v>
      </c>
      <c r="C265" s="3">
        <v>58.199999999999989</v>
      </c>
      <c r="D265" s="3">
        <v>0</v>
      </c>
      <c r="E265" s="3">
        <v>2199.5</v>
      </c>
      <c r="F265" s="3">
        <v>2257.6999999999998</v>
      </c>
    </row>
    <row r="266" spans="2:6" x14ac:dyDescent="0.3">
      <c r="B266" s="3">
        <v>255</v>
      </c>
      <c r="C266" s="3">
        <v>61.949999999999996</v>
      </c>
      <c r="D266" s="3">
        <v>0</v>
      </c>
      <c r="E266" s="3">
        <v>2199.5</v>
      </c>
      <c r="F266" s="3">
        <v>2261.4500000000007</v>
      </c>
    </row>
    <row r="267" spans="2:6" x14ac:dyDescent="0.3">
      <c r="B267" s="3">
        <v>256</v>
      </c>
      <c r="C267" s="3">
        <v>60.149999999999977</v>
      </c>
      <c r="D267" s="3">
        <v>0</v>
      </c>
      <c r="E267" s="3">
        <v>2199.5</v>
      </c>
      <c r="F267" s="3">
        <v>2259.6500000000005</v>
      </c>
    </row>
    <row r="268" spans="2:6" x14ac:dyDescent="0.3">
      <c r="B268" s="3">
        <v>257</v>
      </c>
      <c r="C268" s="3">
        <v>65.40000000000002</v>
      </c>
      <c r="D268" s="3">
        <v>0</v>
      </c>
      <c r="E268" s="3">
        <v>2199.5</v>
      </c>
      <c r="F268" s="3">
        <v>2264.8999999999996</v>
      </c>
    </row>
    <row r="269" spans="2:6" x14ac:dyDescent="0.3">
      <c r="B269" s="3">
        <v>258</v>
      </c>
      <c r="C269" s="3">
        <v>61.70000000000001</v>
      </c>
      <c r="D269" s="3">
        <v>0</v>
      </c>
      <c r="E269" s="3">
        <v>2199.5</v>
      </c>
      <c r="F269" s="3">
        <v>2261.1999999999998</v>
      </c>
    </row>
    <row r="270" spans="2:6" x14ac:dyDescent="0.3">
      <c r="B270" s="3">
        <v>259</v>
      </c>
      <c r="C270" s="3">
        <v>65.850000000000023</v>
      </c>
      <c r="D270" s="3">
        <v>0</v>
      </c>
      <c r="E270" s="3">
        <v>2199.5</v>
      </c>
      <c r="F270" s="3">
        <v>2265.35</v>
      </c>
    </row>
    <row r="271" spans="2:6" x14ac:dyDescent="0.3">
      <c r="B271" s="3">
        <v>260</v>
      </c>
      <c r="C271" s="3">
        <v>58.949999999999989</v>
      </c>
      <c r="D271" s="3">
        <v>0</v>
      </c>
      <c r="E271" s="3">
        <v>2199.5</v>
      </c>
      <c r="F271" s="3">
        <v>2258.4500000000003</v>
      </c>
    </row>
    <row r="272" spans="2:6" x14ac:dyDescent="0.3">
      <c r="B272" s="3">
        <v>261</v>
      </c>
      <c r="C272" s="3">
        <v>61.95000000000001</v>
      </c>
      <c r="D272" s="3">
        <v>0</v>
      </c>
      <c r="E272" s="3">
        <v>2199.5</v>
      </c>
      <c r="F272" s="3">
        <v>2261.4499999999994</v>
      </c>
    </row>
    <row r="273" spans="2:6" x14ac:dyDescent="0.3">
      <c r="B273" s="3">
        <v>262</v>
      </c>
      <c r="C273" s="3">
        <v>61.199999999999996</v>
      </c>
      <c r="D273" s="3">
        <v>0</v>
      </c>
      <c r="E273" s="3">
        <v>1099.75</v>
      </c>
      <c r="F273" s="3">
        <v>1160.95</v>
      </c>
    </row>
    <row r="274" spans="2:6" x14ac:dyDescent="0.3">
      <c r="B274" s="3">
        <v>263</v>
      </c>
      <c r="C274" s="3">
        <v>61.499999999999993</v>
      </c>
      <c r="D274" s="3">
        <v>0</v>
      </c>
      <c r="E274" s="3">
        <v>2199.5</v>
      </c>
      <c r="F274" s="3">
        <v>2261.0000000000005</v>
      </c>
    </row>
    <row r="275" spans="2:6" x14ac:dyDescent="0.3">
      <c r="B275" s="3">
        <v>264</v>
      </c>
      <c r="C275" s="3">
        <v>59.349999999999994</v>
      </c>
      <c r="D275" s="3">
        <v>0</v>
      </c>
      <c r="E275" s="3">
        <v>1099.75</v>
      </c>
      <c r="F275" s="3">
        <v>1159.0999999999997</v>
      </c>
    </row>
    <row r="276" spans="2:6" x14ac:dyDescent="0.3">
      <c r="B276" s="3">
        <v>265</v>
      </c>
      <c r="C276" s="3">
        <v>64.15000000000002</v>
      </c>
      <c r="D276" s="3">
        <v>0</v>
      </c>
      <c r="E276" s="3">
        <v>2199.5</v>
      </c>
      <c r="F276" s="3">
        <v>2263.6499999999992</v>
      </c>
    </row>
    <row r="277" spans="2:6" x14ac:dyDescent="0.3">
      <c r="B277" s="3">
        <v>266</v>
      </c>
      <c r="C277" s="3">
        <v>59.199999999999996</v>
      </c>
      <c r="D277" s="3">
        <v>0</v>
      </c>
      <c r="E277" s="3">
        <v>2199.5</v>
      </c>
      <c r="F277" s="3">
        <v>2258.7000000000007</v>
      </c>
    </row>
    <row r="278" spans="2:6" x14ac:dyDescent="0.3">
      <c r="B278" s="3">
        <v>267</v>
      </c>
      <c r="C278" s="3">
        <v>63.350000000000009</v>
      </c>
      <c r="D278" s="3">
        <v>0</v>
      </c>
      <c r="E278" s="3">
        <v>2199.5</v>
      </c>
      <c r="F278" s="3">
        <v>2262.8500000000004</v>
      </c>
    </row>
    <row r="279" spans="2:6" x14ac:dyDescent="0.3">
      <c r="B279" s="3">
        <v>268</v>
      </c>
      <c r="C279" s="3">
        <v>63.6</v>
      </c>
      <c r="D279" s="3">
        <v>0</v>
      </c>
      <c r="E279" s="3">
        <v>2199.5</v>
      </c>
      <c r="F279" s="3">
        <v>2263.1000000000004</v>
      </c>
    </row>
    <row r="280" spans="2:6" x14ac:dyDescent="0.3">
      <c r="B280" s="3">
        <v>269</v>
      </c>
      <c r="C280" s="3">
        <v>63.449999999999989</v>
      </c>
      <c r="D280" s="3">
        <v>0</v>
      </c>
      <c r="E280" s="3">
        <v>2199.5</v>
      </c>
      <c r="F280" s="3">
        <v>2262.9500000000007</v>
      </c>
    </row>
    <row r="281" spans="2:6" x14ac:dyDescent="0.3">
      <c r="B281" s="3">
        <v>270</v>
      </c>
      <c r="C281" s="3">
        <v>63.650000000000013</v>
      </c>
      <c r="D281" s="3">
        <v>0</v>
      </c>
      <c r="E281" s="3">
        <v>2199.5</v>
      </c>
      <c r="F281" s="3">
        <v>2263.15</v>
      </c>
    </row>
    <row r="282" spans="2:6" x14ac:dyDescent="0.3">
      <c r="B282" s="3">
        <v>271</v>
      </c>
      <c r="C282" s="3">
        <v>63.050000000000004</v>
      </c>
      <c r="D282" s="3">
        <v>0</v>
      </c>
      <c r="E282" s="3">
        <v>2199.5</v>
      </c>
      <c r="F282" s="3">
        <v>2262.5499999999997</v>
      </c>
    </row>
    <row r="283" spans="2:6" x14ac:dyDescent="0.3">
      <c r="B283" s="3">
        <v>272</v>
      </c>
      <c r="C283" s="3">
        <v>62.55</v>
      </c>
      <c r="D283" s="3">
        <v>0</v>
      </c>
      <c r="E283" s="3">
        <v>2199.5</v>
      </c>
      <c r="F283" s="3">
        <v>2262.0500000000006</v>
      </c>
    </row>
    <row r="284" spans="2:6" x14ac:dyDescent="0.3">
      <c r="B284" s="3">
        <v>273</v>
      </c>
      <c r="C284" s="3">
        <v>59.749999999999986</v>
      </c>
      <c r="D284" s="3">
        <v>0</v>
      </c>
      <c r="E284" s="3">
        <v>1099.75</v>
      </c>
      <c r="F284" s="3">
        <v>1159.5000000000005</v>
      </c>
    </row>
    <row r="285" spans="2:6" x14ac:dyDescent="0.3">
      <c r="B285" s="3">
        <v>274</v>
      </c>
      <c r="C285" s="3">
        <v>58.35</v>
      </c>
      <c r="D285" s="3">
        <v>0</v>
      </c>
      <c r="E285" s="3">
        <v>2199.5</v>
      </c>
      <c r="F285" s="3">
        <v>2257.8499999999995</v>
      </c>
    </row>
    <row r="286" spans="2:6" x14ac:dyDescent="0.3">
      <c r="B286" s="3">
        <v>275</v>
      </c>
      <c r="C286" s="3">
        <v>59.399999999999991</v>
      </c>
      <c r="D286" s="3">
        <v>0</v>
      </c>
      <c r="E286" s="3">
        <v>2199.5</v>
      </c>
      <c r="F286" s="3">
        <v>2258.9000000000005</v>
      </c>
    </row>
    <row r="287" spans="2:6" x14ac:dyDescent="0.3">
      <c r="B287" s="3">
        <v>276</v>
      </c>
      <c r="C287" s="3">
        <v>59.6</v>
      </c>
      <c r="D287" s="3">
        <v>0</v>
      </c>
      <c r="E287" s="3">
        <v>2199.5</v>
      </c>
      <c r="F287" s="3">
        <v>2259.0999999999995</v>
      </c>
    </row>
    <row r="288" spans="2:6" x14ac:dyDescent="0.3">
      <c r="B288" s="3">
        <v>277</v>
      </c>
      <c r="C288" s="3">
        <v>62.15</v>
      </c>
      <c r="D288" s="3">
        <v>0</v>
      </c>
      <c r="E288" s="3">
        <v>2199.5</v>
      </c>
      <c r="F288" s="3">
        <v>2261.6500000000005</v>
      </c>
    </row>
    <row r="289" spans="2:6" x14ac:dyDescent="0.3">
      <c r="B289" s="3">
        <v>278</v>
      </c>
      <c r="C289" s="3">
        <v>62.8</v>
      </c>
      <c r="D289" s="3">
        <v>0</v>
      </c>
      <c r="E289" s="3">
        <v>2199.5</v>
      </c>
      <c r="F289" s="3">
        <v>2262.2999999999993</v>
      </c>
    </row>
    <row r="290" spans="2:6" x14ac:dyDescent="0.3">
      <c r="B290" s="3">
        <v>279</v>
      </c>
      <c r="C290" s="3">
        <v>61.7</v>
      </c>
      <c r="D290" s="3">
        <v>0</v>
      </c>
      <c r="E290" s="3">
        <v>2199.5</v>
      </c>
      <c r="F290" s="3">
        <v>2261.1999999999994</v>
      </c>
    </row>
    <row r="291" spans="2:6" x14ac:dyDescent="0.3">
      <c r="B291" s="3">
        <v>280</v>
      </c>
      <c r="C291" s="3">
        <v>60.65</v>
      </c>
      <c r="D291" s="3">
        <v>0</v>
      </c>
      <c r="E291" s="3">
        <v>2199.5</v>
      </c>
      <c r="F291" s="3">
        <v>2260.150000000001</v>
      </c>
    </row>
    <row r="292" spans="2:6" x14ac:dyDescent="0.3">
      <c r="B292" s="3">
        <v>281</v>
      </c>
      <c r="C292" s="3">
        <v>67.700000000000017</v>
      </c>
      <c r="D292" s="3">
        <v>0</v>
      </c>
      <c r="E292" s="3">
        <v>2199.5</v>
      </c>
      <c r="F292" s="3">
        <v>2267.1999999999998</v>
      </c>
    </row>
    <row r="293" spans="2:6" x14ac:dyDescent="0.3">
      <c r="B293" s="3">
        <v>282</v>
      </c>
      <c r="C293" s="3">
        <v>64.499999999999986</v>
      </c>
      <c r="D293" s="3">
        <v>0</v>
      </c>
      <c r="E293" s="3">
        <v>2199.5</v>
      </c>
      <c r="F293" s="3">
        <v>2264</v>
      </c>
    </row>
    <row r="294" spans="2:6" x14ac:dyDescent="0.3">
      <c r="B294" s="3">
        <v>283</v>
      </c>
      <c r="C294" s="3">
        <v>61.999999999999986</v>
      </c>
      <c r="D294" s="3">
        <v>0</v>
      </c>
      <c r="E294" s="3">
        <v>2199.5</v>
      </c>
      <c r="F294" s="3">
        <v>2261.5000000000009</v>
      </c>
    </row>
    <row r="295" spans="2:6" x14ac:dyDescent="0.3">
      <c r="B295" s="3">
        <v>284</v>
      </c>
      <c r="C295" s="3">
        <v>60.750000000000014</v>
      </c>
      <c r="D295" s="3">
        <v>0</v>
      </c>
      <c r="E295" s="3">
        <v>2199.5</v>
      </c>
      <c r="F295" s="3">
        <v>2260.25</v>
      </c>
    </row>
    <row r="296" spans="2:6" x14ac:dyDescent="0.3">
      <c r="B296" s="3">
        <v>285</v>
      </c>
      <c r="C296" s="3">
        <v>63.650000000000013</v>
      </c>
      <c r="D296" s="3">
        <v>0</v>
      </c>
      <c r="E296" s="3">
        <v>2199.5</v>
      </c>
      <c r="F296" s="3">
        <v>2263.1499999999996</v>
      </c>
    </row>
    <row r="297" spans="2:6" x14ac:dyDescent="0.3">
      <c r="B297" s="3">
        <v>286</v>
      </c>
      <c r="C297" s="3">
        <v>68.05</v>
      </c>
      <c r="D297" s="3">
        <v>0</v>
      </c>
      <c r="E297" s="3">
        <v>2199.5</v>
      </c>
      <c r="F297" s="3">
        <v>2267.5499999999997</v>
      </c>
    </row>
    <row r="298" spans="2:6" x14ac:dyDescent="0.3">
      <c r="B298" s="3">
        <v>287</v>
      </c>
      <c r="C298" s="3">
        <v>64.2</v>
      </c>
      <c r="D298" s="3">
        <v>0</v>
      </c>
      <c r="E298" s="3">
        <v>2199.5</v>
      </c>
      <c r="F298" s="3">
        <v>2263.6999999999994</v>
      </c>
    </row>
    <row r="299" spans="2:6" x14ac:dyDescent="0.3">
      <c r="B299" s="3">
        <v>288</v>
      </c>
      <c r="C299" s="3">
        <v>67.25</v>
      </c>
      <c r="D299" s="3">
        <v>0</v>
      </c>
      <c r="E299" s="3">
        <v>2199.5</v>
      </c>
      <c r="F299" s="3">
        <v>2266.7500000000005</v>
      </c>
    </row>
    <row r="300" spans="2:6" x14ac:dyDescent="0.3">
      <c r="B300" s="3">
        <v>289</v>
      </c>
      <c r="C300" s="3">
        <v>58.70000000000001</v>
      </c>
      <c r="D300" s="3">
        <v>0</v>
      </c>
      <c r="E300" s="3">
        <v>2199.5</v>
      </c>
      <c r="F300" s="3">
        <v>2258.1999999999998</v>
      </c>
    </row>
    <row r="301" spans="2:6" x14ac:dyDescent="0.3">
      <c r="B301" s="3">
        <v>290</v>
      </c>
      <c r="C301" s="3">
        <v>59.15</v>
      </c>
      <c r="D301" s="3">
        <v>0</v>
      </c>
      <c r="E301" s="3">
        <v>2199.5</v>
      </c>
      <c r="F301" s="3">
        <v>2258.6499999999992</v>
      </c>
    </row>
    <row r="302" spans="2:6" x14ac:dyDescent="0.3">
      <c r="B302" s="3">
        <v>291</v>
      </c>
      <c r="C302" s="3">
        <v>57.6</v>
      </c>
      <c r="D302" s="3">
        <v>0</v>
      </c>
      <c r="E302" s="3">
        <v>2199.5</v>
      </c>
      <c r="F302" s="3">
        <v>2257.1000000000004</v>
      </c>
    </row>
    <row r="303" spans="2:6" x14ac:dyDescent="0.3">
      <c r="B303" s="3">
        <v>292</v>
      </c>
      <c r="C303" s="3">
        <v>62.349999999999994</v>
      </c>
      <c r="D303" s="3">
        <v>0</v>
      </c>
      <c r="E303" s="3">
        <v>2199.5</v>
      </c>
      <c r="F303" s="3">
        <v>2261.85</v>
      </c>
    </row>
    <row r="304" spans="2:6" x14ac:dyDescent="0.3">
      <c r="B304" s="3">
        <v>293</v>
      </c>
      <c r="C304" s="3">
        <v>59.95</v>
      </c>
      <c r="D304" s="3">
        <v>0</v>
      </c>
      <c r="E304" s="3">
        <v>2199.5</v>
      </c>
      <c r="F304" s="3">
        <v>2259.4500000000007</v>
      </c>
    </row>
    <row r="305" spans="2:6" x14ac:dyDescent="0.3">
      <c r="B305" s="3">
        <v>294</v>
      </c>
      <c r="C305" s="3">
        <v>64.300000000000011</v>
      </c>
      <c r="D305" s="3">
        <v>0</v>
      </c>
      <c r="E305" s="3">
        <v>2199.5</v>
      </c>
      <c r="F305" s="3">
        <v>2263.7999999999997</v>
      </c>
    </row>
    <row r="306" spans="2:6" x14ac:dyDescent="0.3">
      <c r="B306" s="3">
        <v>295</v>
      </c>
      <c r="C306" s="3">
        <v>61.099999999999987</v>
      </c>
      <c r="D306" s="3">
        <v>0</v>
      </c>
      <c r="E306" s="3">
        <v>2199.5</v>
      </c>
      <c r="F306" s="3">
        <v>2260.6000000000004</v>
      </c>
    </row>
    <row r="307" spans="2:6" x14ac:dyDescent="0.3">
      <c r="B307" s="3">
        <v>296</v>
      </c>
      <c r="C307" s="3">
        <v>65.299999999999983</v>
      </c>
      <c r="D307" s="3">
        <v>0</v>
      </c>
      <c r="E307" s="3">
        <v>2199.5</v>
      </c>
      <c r="F307" s="3">
        <v>2264.8000000000002</v>
      </c>
    </row>
    <row r="308" spans="2:6" x14ac:dyDescent="0.3">
      <c r="B308" s="3">
        <v>297</v>
      </c>
      <c r="C308" s="3">
        <v>63.499999999999993</v>
      </c>
      <c r="D308" s="3">
        <v>0</v>
      </c>
      <c r="E308" s="3">
        <v>1099.75</v>
      </c>
      <c r="F308" s="3">
        <v>1163.2499999999998</v>
      </c>
    </row>
    <row r="309" spans="2:6" x14ac:dyDescent="0.3">
      <c r="B309" s="3">
        <v>298</v>
      </c>
      <c r="C309" s="3">
        <v>61.100000000000009</v>
      </c>
      <c r="D309" s="3">
        <v>0</v>
      </c>
      <c r="E309" s="3">
        <v>2199.5</v>
      </c>
      <c r="F309" s="3">
        <v>2260.5999999999995</v>
      </c>
    </row>
    <row r="310" spans="2:6" x14ac:dyDescent="0.3">
      <c r="B310" s="3">
        <v>299</v>
      </c>
      <c r="C310" s="3">
        <v>63.000000000000014</v>
      </c>
      <c r="D310" s="3">
        <v>0</v>
      </c>
      <c r="E310" s="3">
        <v>2199.5</v>
      </c>
      <c r="F310" s="3">
        <v>2262.4999999999995</v>
      </c>
    </row>
    <row r="311" spans="2:6" x14ac:dyDescent="0.3">
      <c r="B311" s="3">
        <v>300</v>
      </c>
      <c r="C311" s="3">
        <v>58.849999999999994</v>
      </c>
      <c r="D311" s="3">
        <v>0</v>
      </c>
      <c r="E311" s="3">
        <v>2199.5</v>
      </c>
      <c r="F311" s="3">
        <v>2258.35</v>
      </c>
    </row>
    <row r="312" spans="2:6" x14ac:dyDescent="0.3">
      <c r="B312" s="3">
        <v>301</v>
      </c>
      <c r="C312" s="3">
        <v>62.5</v>
      </c>
      <c r="D312" s="3">
        <v>0</v>
      </c>
      <c r="E312" s="3">
        <v>1099.75</v>
      </c>
      <c r="F312" s="3">
        <v>1162.25</v>
      </c>
    </row>
    <row r="313" spans="2:6" x14ac:dyDescent="0.3">
      <c r="B313" s="3">
        <v>302</v>
      </c>
      <c r="C313" s="3">
        <v>60.04999999999999</v>
      </c>
      <c r="D313" s="3">
        <v>0</v>
      </c>
      <c r="E313" s="3">
        <v>2199.5</v>
      </c>
      <c r="F313" s="3">
        <v>2259.5500000000006</v>
      </c>
    </row>
    <row r="314" spans="2:6" x14ac:dyDescent="0.3">
      <c r="B314" s="3">
        <v>303</v>
      </c>
      <c r="C314" s="3">
        <v>64.75</v>
      </c>
      <c r="D314" s="3">
        <v>0</v>
      </c>
      <c r="E314" s="3">
        <v>2199.5</v>
      </c>
      <c r="F314" s="3">
        <v>2264.2499999999995</v>
      </c>
    </row>
    <row r="315" spans="2:6" x14ac:dyDescent="0.3">
      <c r="B315" s="3">
        <v>304</v>
      </c>
      <c r="C315" s="3">
        <v>62.200000000000017</v>
      </c>
      <c r="D315" s="3">
        <v>0</v>
      </c>
      <c r="E315" s="3">
        <v>2199.5</v>
      </c>
      <c r="F315" s="3">
        <v>2261.6999999999998</v>
      </c>
    </row>
    <row r="316" spans="2:6" x14ac:dyDescent="0.3">
      <c r="B316" s="3">
        <v>305</v>
      </c>
      <c r="C316" s="3">
        <v>64.900000000000006</v>
      </c>
      <c r="D316" s="3">
        <v>0</v>
      </c>
      <c r="E316" s="3">
        <v>2199.5</v>
      </c>
      <c r="F316" s="3">
        <v>2264.4</v>
      </c>
    </row>
    <row r="317" spans="2:6" x14ac:dyDescent="0.3">
      <c r="B317" s="3">
        <v>306</v>
      </c>
      <c r="C317" s="3">
        <v>65.25</v>
      </c>
      <c r="D317" s="3">
        <v>0</v>
      </c>
      <c r="E317" s="3">
        <v>2199.5</v>
      </c>
      <c r="F317" s="3">
        <v>2264.75</v>
      </c>
    </row>
    <row r="318" spans="2:6" x14ac:dyDescent="0.3">
      <c r="B318" s="3">
        <v>307</v>
      </c>
      <c r="C318" s="3">
        <v>57.450000000000017</v>
      </c>
      <c r="D318" s="3">
        <v>0</v>
      </c>
      <c r="E318" s="3">
        <v>2199.5</v>
      </c>
      <c r="F318" s="3">
        <v>2256.9499999999998</v>
      </c>
    </row>
    <row r="319" spans="2:6" x14ac:dyDescent="0.3">
      <c r="B319" s="3">
        <v>308</v>
      </c>
      <c r="C319" s="3">
        <v>60.45</v>
      </c>
      <c r="D319" s="3">
        <v>0</v>
      </c>
      <c r="E319" s="3">
        <v>2199.5</v>
      </c>
      <c r="F319" s="3">
        <v>2259.9500000000003</v>
      </c>
    </row>
    <row r="320" spans="2:6" x14ac:dyDescent="0.3">
      <c r="B320" s="3">
        <v>309</v>
      </c>
      <c r="C320" s="3">
        <v>61.6</v>
      </c>
      <c r="D320" s="3">
        <v>0</v>
      </c>
      <c r="E320" s="3">
        <v>2199.5</v>
      </c>
      <c r="F320" s="3">
        <v>2261.1000000000004</v>
      </c>
    </row>
    <row r="321" spans="2:6" x14ac:dyDescent="0.3">
      <c r="B321" s="3">
        <v>310</v>
      </c>
      <c r="C321" s="3">
        <v>62.7</v>
      </c>
      <c r="D321" s="3">
        <v>0</v>
      </c>
      <c r="E321" s="3">
        <v>2199.5</v>
      </c>
      <c r="F321" s="3">
        <v>2262.1999999999998</v>
      </c>
    </row>
    <row r="322" spans="2:6" x14ac:dyDescent="0.3">
      <c r="B322" s="3">
        <v>311</v>
      </c>
      <c r="C322" s="3">
        <v>54.85</v>
      </c>
      <c r="D322" s="3">
        <v>0</v>
      </c>
      <c r="E322" s="3">
        <v>2199.5</v>
      </c>
      <c r="F322" s="3">
        <v>2254.35</v>
      </c>
    </row>
    <row r="323" spans="2:6" x14ac:dyDescent="0.3">
      <c r="B323" s="3">
        <v>312</v>
      </c>
      <c r="C323" s="3">
        <v>59.20000000000001</v>
      </c>
      <c r="D323" s="3">
        <v>0</v>
      </c>
      <c r="E323" s="3">
        <v>2199.5</v>
      </c>
      <c r="F323" s="3">
        <v>2258.6999999999998</v>
      </c>
    </row>
    <row r="324" spans="2:6" x14ac:dyDescent="0.3">
      <c r="B324" s="3">
        <v>313</v>
      </c>
      <c r="C324" s="3">
        <v>64.350000000000009</v>
      </c>
      <c r="D324" s="3">
        <v>0</v>
      </c>
      <c r="E324" s="3">
        <v>2199.5</v>
      </c>
      <c r="F324" s="3">
        <v>2263.85</v>
      </c>
    </row>
    <row r="325" spans="2:6" x14ac:dyDescent="0.3">
      <c r="B325" s="3">
        <v>314</v>
      </c>
      <c r="C325" s="3">
        <v>60.550000000000011</v>
      </c>
      <c r="D325" s="3">
        <v>0</v>
      </c>
      <c r="E325" s="3">
        <v>1099.75</v>
      </c>
      <c r="F325" s="3">
        <v>1160.3000000000004</v>
      </c>
    </row>
    <row r="326" spans="2:6" x14ac:dyDescent="0.3">
      <c r="B326" s="3">
        <v>315</v>
      </c>
      <c r="C326" s="3">
        <v>65.300000000000011</v>
      </c>
      <c r="D326" s="3">
        <v>0</v>
      </c>
      <c r="E326" s="3">
        <v>2199.5</v>
      </c>
      <c r="F326" s="3">
        <v>2264.7999999999993</v>
      </c>
    </row>
    <row r="327" spans="2:6" x14ac:dyDescent="0.3">
      <c r="B327" s="3">
        <v>316</v>
      </c>
      <c r="C327" s="3">
        <v>54.95000000000001</v>
      </c>
      <c r="D327" s="3">
        <v>0</v>
      </c>
      <c r="E327" s="3">
        <v>2199.5</v>
      </c>
      <c r="F327" s="3">
        <v>2254.4499999999998</v>
      </c>
    </row>
    <row r="328" spans="2:6" x14ac:dyDescent="0.3">
      <c r="B328" s="3">
        <v>317</v>
      </c>
      <c r="C328" s="3">
        <v>63.550000000000004</v>
      </c>
      <c r="D328" s="3">
        <v>0</v>
      </c>
      <c r="E328" s="3">
        <v>2199.5</v>
      </c>
      <c r="F328" s="3">
        <v>2263.0500000000006</v>
      </c>
    </row>
    <row r="329" spans="2:6" x14ac:dyDescent="0.3">
      <c r="B329" s="3">
        <v>318</v>
      </c>
      <c r="C329" s="3">
        <v>55.300000000000004</v>
      </c>
      <c r="D329" s="3">
        <v>0</v>
      </c>
      <c r="E329" s="3">
        <v>2199.5</v>
      </c>
      <c r="F329" s="3">
        <v>2254.8000000000002</v>
      </c>
    </row>
    <row r="330" spans="2:6" x14ac:dyDescent="0.3">
      <c r="B330" s="3">
        <v>319</v>
      </c>
      <c r="C330" s="3">
        <v>61.050000000000004</v>
      </c>
      <c r="D330" s="3">
        <v>0</v>
      </c>
      <c r="E330" s="3">
        <v>2199.5</v>
      </c>
      <c r="F330" s="3">
        <v>2260.5500000000006</v>
      </c>
    </row>
    <row r="331" spans="2:6" x14ac:dyDescent="0.3">
      <c r="B331" s="3">
        <v>320</v>
      </c>
      <c r="C331" s="3">
        <v>62.29999999999999</v>
      </c>
      <c r="D331" s="3">
        <v>0</v>
      </c>
      <c r="E331" s="3">
        <v>2199.5</v>
      </c>
      <c r="F331" s="3">
        <v>2261.8000000000002</v>
      </c>
    </row>
    <row r="332" spans="2:6" x14ac:dyDescent="0.3">
      <c r="B332" s="3">
        <v>321</v>
      </c>
      <c r="C332" s="3">
        <v>57.899999999999991</v>
      </c>
      <c r="D332" s="3">
        <v>0</v>
      </c>
      <c r="E332" s="3">
        <v>2199.5</v>
      </c>
      <c r="F332" s="3">
        <v>2257.3999999999996</v>
      </c>
    </row>
    <row r="333" spans="2:6" x14ac:dyDescent="0.3">
      <c r="B333" s="3">
        <v>322</v>
      </c>
      <c r="C333" s="3">
        <v>59.900000000000006</v>
      </c>
      <c r="D333" s="3">
        <v>0</v>
      </c>
      <c r="E333" s="3">
        <v>2199.5</v>
      </c>
      <c r="F333" s="3">
        <v>2259.3999999999996</v>
      </c>
    </row>
    <row r="334" spans="2:6" x14ac:dyDescent="0.3">
      <c r="B334" s="3">
        <v>323</v>
      </c>
      <c r="C334" s="3">
        <v>64.400000000000006</v>
      </c>
      <c r="D334" s="3">
        <v>0</v>
      </c>
      <c r="E334" s="3">
        <v>2199.5</v>
      </c>
      <c r="F334" s="3">
        <v>2263.8999999999996</v>
      </c>
    </row>
    <row r="335" spans="2:6" x14ac:dyDescent="0.3">
      <c r="B335" s="3">
        <v>324</v>
      </c>
      <c r="C335" s="3">
        <v>59.3</v>
      </c>
      <c r="D335" s="3">
        <v>0</v>
      </c>
      <c r="E335" s="3">
        <v>2199.5</v>
      </c>
      <c r="F335" s="3">
        <v>2258.8000000000002</v>
      </c>
    </row>
    <row r="336" spans="2:6" x14ac:dyDescent="0.3">
      <c r="B336" s="3">
        <v>325</v>
      </c>
      <c r="C336" s="3">
        <v>64.7</v>
      </c>
      <c r="D336" s="3">
        <v>0</v>
      </c>
      <c r="E336" s="3">
        <v>2199.5</v>
      </c>
      <c r="F336" s="3">
        <v>2264.2000000000003</v>
      </c>
    </row>
    <row r="337" spans="2:6" x14ac:dyDescent="0.3">
      <c r="B337" s="3">
        <v>326</v>
      </c>
      <c r="C337" s="3">
        <v>62.099999999999994</v>
      </c>
      <c r="D337" s="3">
        <v>0</v>
      </c>
      <c r="E337" s="3">
        <v>1099.75</v>
      </c>
      <c r="F337" s="3">
        <v>1161.8499999999997</v>
      </c>
    </row>
    <row r="338" spans="2:6" x14ac:dyDescent="0.3">
      <c r="B338" s="3">
        <v>327</v>
      </c>
      <c r="C338" s="3">
        <v>63.349999999999994</v>
      </c>
      <c r="D338" s="3">
        <v>0</v>
      </c>
      <c r="E338" s="3">
        <v>2199.5</v>
      </c>
      <c r="F338" s="3">
        <v>2262.8500000000004</v>
      </c>
    </row>
    <row r="339" spans="2:6" x14ac:dyDescent="0.3">
      <c r="B339" s="3">
        <v>328</v>
      </c>
      <c r="C339" s="3">
        <v>58.15</v>
      </c>
      <c r="D339" s="3">
        <v>0</v>
      </c>
      <c r="E339" s="3">
        <v>2199.5</v>
      </c>
      <c r="F339" s="3">
        <v>2257.65</v>
      </c>
    </row>
    <row r="340" spans="2:6" x14ac:dyDescent="0.3">
      <c r="B340" s="3">
        <v>329</v>
      </c>
      <c r="C340" s="3">
        <v>61.899999999999991</v>
      </c>
      <c r="D340" s="3">
        <v>0</v>
      </c>
      <c r="E340" s="3">
        <v>2199.5</v>
      </c>
      <c r="F340" s="3">
        <v>2261.4</v>
      </c>
    </row>
    <row r="341" spans="2:6" x14ac:dyDescent="0.3">
      <c r="B341" s="3">
        <v>330</v>
      </c>
      <c r="C341" s="3">
        <v>56.5</v>
      </c>
      <c r="D341" s="3">
        <v>0</v>
      </c>
      <c r="E341" s="3">
        <v>2199.5</v>
      </c>
      <c r="F341" s="3">
        <v>2256.0000000000005</v>
      </c>
    </row>
    <row r="342" spans="2:6" x14ac:dyDescent="0.3">
      <c r="B342" s="3">
        <v>331</v>
      </c>
      <c r="C342" s="3">
        <v>65.3</v>
      </c>
      <c r="D342" s="3">
        <v>0</v>
      </c>
      <c r="E342" s="3">
        <v>2199.5</v>
      </c>
      <c r="F342" s="3">
        <v>2264.7999999999997</v>
      </c>
    </row>
    <row r="343" spans="2:6" x14ac:dyDescent="0.3">
      <c r="B343" s="3">
        <v>332</v>
      </c>
      <c r="C343" s="3">
        <v>62.199999999999982</v>
      </c>
      <c r="D343" s="3">
        <v>0</v>
      </c>
      <c r="E343" s="3">
        <v>2199.5</v>
      </c>
      <c r="F343" s="3">
        <v>2261.7000000000003</v>
      </c>
    </row>
    <row r="344" spans="2:6" x14ac:dyDescent="0.3">
      <c r="B344" s="3">
        <v>333</v>
      </c>
      <c r="C344" s="3">
        <v>61.20000000000001</v>
      </c>
      <c r="D344" s="3">
        <v>0</v>
      </c>
      <c r="E344" s="3">
        <v>2199.5</v>
      </c>
      <c r="F344" s="3">
        <v>2260.6999999999994</v>
      </c>
    </row>
    <row r="345" spans="2:6" x14ac:dyDescent="0.3">
      <c r="B345" s="3">
        <v>334</v>
      </c>
      <c r="C345" s="3">
        <v>60.449999999999989</v>
      </c>
      <c r="D345" s="3">
        <v>0</v>
      </c>
      <c r="E345" s="3">
        <v>2199.5</v>
      </c>
      <c r="F345" s="3">
        <v>2259.9500000000003</v>
      </c>
    </row>
    <row r="346" spans="2:6" x14ac:dyDescent="0.3">
      <c r="B346" s="3">
        <v>335</v>
      </c>
      <c r="C346" s="3">
        <v>62.500000000000007</v>
      </c>
      <c r="D346" s="3">
        <v>0</v>
      </c>
      <c r="E346" s="3">
        <v>2199.5</v>
      </c>
      <c r="F346" s="3">
        <v>2262</v>
      </c>
    </row>
    <row r="347" spans="2:6" x14ac:dyDescent="0.3">
      <c r="B347" s="3">
        <v>336</v>
      </c>
      <c r="C347" s="3">
        <v>60.95</v>
      </c>
      <c r="D347" s="3">
        <v>0</v>
      </c>
      <c r="E347" s="3">
        <v>2199.5</v>
      </c>
      <c r="F347" s="3">
        <v>2260.4500000000003</v>
      </c>
    </row>
    <row r="348" spans="2:6" x14ac:dyDescent="0.3">
      <c r="B348" s="3">
        <v>337</v>
      </c>
      <c r="C348" s="3">
        <v>64.500000000000014</v>
      </c>
      <c r="D348" s="3">
        <v>0</v>
      </c>
      <c r="E348" s="3">
        <v>2199.5</v>
      </c>
      <c r="F348" s="3">
        <v>2264.0000000000005</v>
      </c>
    </row>
    <row r="349" spans="2:6" x14ac:dyDescent="0.3">
      <c r="B349" s="3">
        <v>338</v>
      </c>
      <c r="C349" s="3">
        <v>65.650000000000006</v>
      </c>
      <c r="D349" s="3">
        <v>0</v>
      </c>
      <c r="E349" s="3">
        <v>2199.5</v>
      </c>
      <c r="F349" s="3">
        <v>2265.1499999999992</v>
      </c>
    </row>
    <row r="350" spans="2:6" x14ac:dyDescent="0.3">
      <c r="B350" s="3">
        <v>339</v>
      </c>
      <c r="C350" s="3">
        <v>62.1</v>
      </c>
      <c r="D350" s="3">
        <v>0</v>
      </c>
      <c r="E350" s="3">
        <v>2199.5</v>
      </c>
      <c r="F350" s="3">
        <v>2261.6000000000004</v>
      </c>
    </row>
    <row r="351" spans="2:6" x14ac:dyDescent="0.3">
      <c r="B351" s="3">
        <v>340</v>
      </c>
      <c r="C351" s="3">
        <v>62.95</v>
      </c>
      <c r="D351" s="3">
        <v>0</v>
      </c>
      <c r="E351" s="3">
        <v>2199.5</v>
      </c>
      <c r="F351" s="3">
        <v>2262.4499999999989</v>
      </c>
    </row>
    <row r="352" spans="2:6" x14ac:dyDescent="0.3">
      <c r="B352" s="3">
        <v>341</v>
      </c>
      <c r="C352" s="3">
        <v>59.1</v>
      </c>
      <c r="D352" s="3">
        <v>0</v>
      </c>
      <c r="E352" s="3">
        <v>1099.75</v>
      </c>
      <c r="F352" s="3">
        <v>1158.8499999999999</v>
      </c>
    </row>
    <row r="353" spans="2:6" x14ac:dyDescent="0.3">
      <c r="B353" s="3">
        <v>342</v>
      </c>
      <c r="C353" s="3">
        <v>62.35</v>
      </c>
      <c r="D353" s="3">
        <v>0</v>
      </c>
      <c r="E353" s="3">
        <v>2199.5</v>
      </c>
      <c r="F353" s="3">
        <v>2261.8500000000004</v>
      </c>
    </row>
    <row r="354" spans="2:6" x14ac:dyDescent="0.3">
      <c r="B354" s="3">
        <v>343</v>
      </c>
      <c r="C354" s="3">
        <v>64.149999999999977</v>
      </c>
      <c r="D354" s="3">
        <v>0</v>
      </c>
      <c r="E354" s="3">
        <v>2199.5</v>
      </c>
      <c r="F354" s="3">
        <v>2263.65</v>
      </c>
    </row>
    <row r="355" spans="2:6" x14ac:dyDescent="0.3">
      <c r="B355" s="3">
        <v>344</v>
      </c>
      <c r="C355" s="3">
        <v>65.749999999999986</v>
      </c>
      <c r="D355" s="3">
        <v>0</v>
      </c>
      <c r="E355" s="3">
        <v>2199.5</v>
      </c>
      <c r="F355" s="3">
        <v>2265.25</v>
      </c>
    </row>
    <row r="356" spans="2:6" x14ac:dyDescent="0.3">
      <c r="B356" s="3">
        <v>345</v>
      </c>
      <c r="C356" s="3">
        <v>60.45</v>
      </c>
      <c r="D356" s="3">
        <v>0</v>
      </c>
      <c r="E356" s="3">
        <v>2199.5</v>
      </c>
      <c r="F356" s="3">
        <v>2259.9499999999998</v>
      </c>
    </row>
    <row r="357" spans="2:6" x14ac:dyDescent="0.3">
      <c r="B357" s="3">
        <v>346</v>
      </c>
      <c r="C357" s="3">
        <v>61.999999999999986</v>
      </c>
      <c r="D357" s="3">
        <v>0</v>
      </c>
      <c r="E357" s="3">
        <v>2199.5</v>
      </c>
      <c r="F357" s="3">
        <v>2261.5000000000014</v>
      </c>
    </row>
    <row r="358" spans="2:6" x14ac:dyDescent="0.3">
      <c r="B358" s="3">
        <v>347</v>
      </c>
      <c r="C358" s="3">
        <v>61.15000000000002</v>
      </c>
      <c r="D358" s="3">
        <v>0</v>
      </c>
      <c r="E358" s="3">
        <v>2199.5</v>
      </c>
      <c r="F358" s="3">
        <v>2260.6499999999987</v>
      </c>
    </row>
    <row r="359" spans="2:6" x14ac:dyDescent="0.3">
      <c r="B359" s="3">
        <v>348</v>
      </c>
      <c r="C359" s="3">
        <v>64.299999999999983</v>
      </c>
      <c r="D359" s="3">
        <v>0</v>
      </c>
      <c r="E359" s="3">
        <v>1099.75</v>
      </c>
      <c r="F359" s="3">
        <v>1164.0500000000004</v>
      </c>
    </row>
    <row r="360" spans="2:6" x14ac:dyDescent="0.3">
      <c r="B360" s="3">
        <v>349</v>
      </c>
      <c r="C360" s="3">
        <v>59.550000000000018</v>
      </c>
      <c r="D360" s="3">
        <v>0</v>
      </c>
      <c r="E360" s="3">
        <v>2199.5</v>
      </c>
      <c r="F360" s="3">
        <v>2259.0499999999993</v>
      </c>
    </row>
    <row r="361" spans="2:6" x14ac:dyDescent="0.3">
      <c r="B361" s="3">
        <v>350</v>
      </c>
      <c r="C361" s="3">
        <v>63.600000000000023</v>
      </c>
      <c r="D361" s="3">
        <v>0</v>
      </c>
      <c r="E361" s="3">
        <v>2199.5</v>
      </c>
      <c r="F361" s="3">
        <v>2263.1</v>
      </c>
    </row>
    <row r="362" spans="2:6" x14ac:dyDescent="0.3">
      <c r="B362" s="3">
        <v>351</v>
      </c>
      <c r="C362" s="3">
        <v>64.750000000000014</v>
      </c>
      <c r="D362" s="3">
        <v>0</v>
      </c>
      <c r="E362" s="3">
        <v>2199.5</v>
      </c>
      <c r="F362" s="3">
        <v>2264.2499999999986</v>
      </c>
    </row>
    <row r="363" spans="2:6" x14ac:dyDescent="0.3">
      <c r="B363" s="3">
        <v>352</v>
      </c>
      <c r="C363" s="3">
        <v>60.000000000000014</v>
      </c>
      <c r="D363" s="3">
        <v>0</v>
      </c>
      <c r="E363" s="3">
        <v>2199.5</v>
      </c>
      <c r="F363" s="3">
        <v>2259.5</v>
      </c>
    </row>
    <row r="364" spans="2:6" x14ac:dyDescent="0.3">
      <c r="B364" s="3">
        <v>353</v>
      </c>
      <c r="C364" s="3">
        <v>60.649999999999991</v>
      </c>
      <c r="D364" s="3">
        <v>0</v>
      </c>
      <c r="E364" s="3">
        <v>2199.5</v>
      </c>
      <c r="F364" s="3">
        <v>2260.15</v>
      </c>
    </row>
    <row r="365" spans="2:6" x14ac:dyDescent="0.3">
      <c r="B365" s="3">
        <v>354</v>
      </c>
      <c r="C365" s="3">
        <v>57.400000000000006</v>
      </c>
      <c r="D365" s="3">
        <v>0</v>
      </c>
      <c r="E365" s="3">
        <v>2199.5</v>
      </c>
      <c r="F365" s="3">
        <v>2256.8999999999996</v>
      </c>
    </row>
    <row r="366" spans="2:6" x14ac:dyDescent="0.3">
      <c r="B366" s="3">
        <v>355</v>
      </c>
      <c r="C366" s="3">
        <v>64.05</v>
      </c>
      <c r="D366" s="3">
        <v>0</v>
      </c>
      <c r="E366" s="3">
        <v>2199.5</v>
      </c>
      <c r="F366" s="3">
        <v>2263.5500000000002</v>
      </c>
    </row>
    <row r="367" spans="2:6" x14ac:dyDescent="0.3">
      <c r="B367" s="3">
        <v>356</v>
      </c>
      <c r="C367" s="3">
        <v>68.25</v>
      </c>
      <c r="D367" s="3">
        <v>0</v>
      </c>
      <c r="E367" s="3">
        <v>2199.5</v>
      </c>
      <c r="F367" s="3">
        <v>2267.7499999999995</v>
      </c>
    </row>
    <row r="368" spans="2:6" x14ac:dyDescent="0.3">
      <c r="B368" s="3">
        <v>357</v>
      </c>
      <c r="C368" s="3">
        <v>62.449999999999996</v>
      </c>
      <c r="D368" s="3">
        <v>0</v>
      </c>
      <c r="E368" s="3">
        <v>2199.5</v>
      </c>
      <c r="F368" s="3">
        <v>2261.9499999999998</v>
      </c>
    </row>
    <row r="369" spans="2:6" x14ac:dyDescent="0.3">
      <c r="B369" s="3">
        <v>358</v>
      </c>
      <c r="C369" s="3">
        <v>64.150000000000006</v>
      </c>
      <c r="D369" s="3">
        <v>0</v>
      </c>
      <c r="E369" s="3">
        <v>2199.5</v>
      </c>
      <c r="F369" s="3">
        <v>2263.65</v>
      </c>
    </row>
    <row r="370" spans="2:6" x14ac:dyDescent="0.3">
      <c r="B370" s="3">
        <v>359</v>
      </c>
      <c r="C370" s="3">
        <v>61.949999999999996</v>
      </c>
      <c r="D370" s="3">
        <v>0</v>
      </c>
      <c r="E370" s="3">
        <v>2199.5</v>
      </c>
      <c r="F370" s="3">
        <v>2261.4499999999998</v>
      </c>
    </row>
    <row r="371" spans="2:6" x14ac:dyDescent="0.3">
      <c r="B371" s="3">
        <v>360</v>
      </c>
      <c r="C371" s="3">
        <v>65.299999999999983</v>
      </c>
      <c r="D371" s="3">
        <v>0</v>
      </c>
      <c r="E371" s="3">
        <v>2199.5</v>
      </c>
      <c r="F371" s="3">
        <v>2264.8000000000002</v>
      </c>
    </row>
    <row r="372" spans="2:6" x14ac:dyDescent="0.3">
      <c r="B372" s="3">
        <v>361</v>
      </c>
      <c r="C372" s="3">
        <v>57.599999999999994</v>
      </c>
      <c r="D372" s="3">
        <v>0</v>
      </c>
      <c r="E372" s="3">
        <v>1099.75</v>
      </c>
      <c r="F372" s="3">
        <v>1157.3500000000001</v>
      </c>
    </row>
    <row r="373" spans="2:6" x14ac:dyDescent="0.3">
      <c r="B373" s="3">
        <v>362</v>
      </c>
      <c r="C373" s="3">
        <v>63.900000000000006</v>
      </c>
      <c r="D373" s="3">
        <v>0</v>
      </c>
      <c r="E373" s="3">
        <v>2199.5</v>
      </c>
      <c r="F373" s="3">
        <v>2263.4</v>
      </c>
    </row>
    <row r="374" spans="2:6" x14ac:dyDescent="0.3">
      <c r="B374" s="3">
        <v>363</v>
      </c>
      <c r="C374" s="3">
        <v>64.900000000000006</v>
      </c>
      <c r="D374" s="3">
        <v>0</v>
      </c>
      <c r="E374" s="3">
        <v>2199.5</v>
      </c>
      <c r="F374" s="3">
        <v>2264.4</v>
      </c>
    </row>
    <row r="375" spans="2:6" x14ac:dyDescent="0.3">
      <c r="B375" s="3">
        <v>364</v>
      </c>
      <c r="C375" s="3">
        <v>59.149999999999991</v>
      </c>
      <c r="D375" s="3">
        <v>0</v>
      </c>
      <c r="E375" s="3">
        <v>2199.5</v>
      </c>
      <c r="F375" s="3">
        <v>2258.650000000001</v>
      </c>
    </row>
    <row r="376" spans="2:6" x14ac:dyDescent="0.3">
      <c r="B376" s="3">
        <v>365</v>
      </c>
      <c r="C376" s="3">
        <v>61.850000000000023</v>
      </c>
      <c r="D376" s="3">
        <v>0</v>
      </c>
      <c r="E376" s="3">
        <v>2199.5</v>
      </c>
      <c r="F376" s="3">
        <v>2261.349999999999</v>
      </c>
    </row>
    <row r="377" spans="2:6" x14ac:dyDescent="0.3">
      <c r="B377" s="3">
        <v>366</v>
      </c>
      <c r="C377" s="3">
        <v>63.000000000000007</v>
      </c>
      <c r="D377" s="3">
        <v>0</v>
      </c>
      <c r="E377" s="3">
        <v>2199.5</v>
      </c>
      <c r="F377" s="3">
        <v>2262.5000000000005</v>
      </c>
    </row>
    <row r="378" spans="2:6" x14ac:dyDescent="0.3">
      <c r="B378" s="3">
        <v>367</v>
      </c>
      <c r="C378" s="3">
        <v>60.099999999999994</v>
      </c>
      <c r="D378" s="3">
        <v>0</v>
      </c>
      <c r="E378" s="3">
        <v>2199.5</v>
      </c>
      <c r="F378" s="3">
        <v>2259.6</v>
      </c>
    </row>
    <row r="379" spans="2:6" x14ac:dyDescent="0.3">
      <c r="B379" s="3">
        <v>368</v>
      </c>
      <c r="C379" s="3">
        <v>65.95</v>
      </c>
      <c r="D379" s="3">
        <v>0</v>
      </c>
      <c r="E379" s="3">
        <v>2199.5</v>
      </c>
      <c r="F379" s="3">
        <v>2265.4500000000003</v>
      </c>
    </row>
    <row r="380" spans="2:6" x14ac:dyDescent="0.3">
      <c r="B380" s="3">
        <v>369</v>
      </c>
      <c r="C380" s="3">
        <v>59.249999999999993</v>
      </c>
      <c r="D380" s="3">
        <v>0</v>
      </c>
      <c r="E380" s="3">
        <v>2199.5</v>
      </c>
      <c r="F380" s="3">
        <v>2258.75</v>
      </c>
    </row>
    <row r="381" spans="2:6" x14ac:dyDescent="0.3">
      <c r="B381" s="3">
        <v>370</v>
      </c>
      <c r="C381" s="3">
        <v>65.400000000000006</v>
      </c>
      <c r="D381" s="3">
        <v>0</v>
      </c>
      <c r="E381" s="3">
        <v>2199.5</v>
      </c>
      <c r="F381" s="3">
        <v>2264.9</v>
      </c>
    </row>
    <row r="382" spans="2:6" x14ac:dyDescent="0.3">
      <c r="B382" s="3">
        <v>371</v>
      </c>
      <c r="C382" s="3">
        <v>60.999999999999993</v>
      </c>
      <c r="D382" s="3">
        <v>0</v>
      </c>
      <c r="E382" s="3">
        <v>2199.5</v>
      </c>
      <c r="F382" s="3">
        <v>2260.5</v>
      </c>
    </row>
    <row r="383" spans="2:6" x14ac:dyDescent="0.3">
      <c r="B383" s="3">
        <v>372</v>
      </c>
      <c r="C383" s="3">
        <v>66.050000000000011</v>
      </c>
      <c r="D383" s="3">
        <v>0</v>
      </c>
      <c r="E383" s="3">
        <v>2199.5</v>
      </c>
      <c r="F383" s="3">
        <v>2265.5500000000002</v>
      </c>
    </row>
    <row r="384" spans="2:6" x14ac:dyDescent="0.3">
      <c r="B384" s="3">
        <v>373</v>
      </c>
      <c r="C384" s="3">
        <v>60.9</v>
      </c>
      <c r="D384" s="3">
        <v>0</v>
      </c>
      <c r="E384" s="3">
        <v>2199.5</v>
      </c>
      <c r="F384" s="3">
        <v>2260.4</v>
      </c>
    </row>
    <row r="385" spans="2:6" x14ac:dyDescent="0.3">
      <c r="B385" s="3">
        <v>374</v>
      </c>
      <c r="C385" s="3">
        <v>59.050000000000018</v>
      </c>
      <c r="D385" s="3">
        <v>0</v>
      </c>
      <c r="E385" s="3">
        <v>2199.5</v>
      </c>
      <c r="F385" s="3">
        <v>2258.5500000000002</v>
      </c>
    </row>
    <row r="386" spans="2:6" x14ac:dyDescent="0.3">
      <c r="B386" s="3">
        <v>375</v>
      </c>
      <c r="C386" s="3">
        <v>59.350000000000009</v>
      </c>
      <c r="D386" s="3">
        <v>0</v>
      </c>
      <c r="E386" s="3">
        <v>2199.5</v>
      </c>
      <c r="F386" s="3">
        <v>2258.8499999999995</v>
      </c>
    </row>
    <row r="387" spans="2:6" x14ac:dyDescent="0.3">
      <c r="B387" s="3">
        <v>376</v>
      </c>
      <c r="C387" s="3">
        <v>61.55</v>
      </c>
      <c r="D387" s="3">
        <v>0</v>
      </c>
      <c r="E387" s="3">
        <v>2199.5</v>
      </c>
      <c r="F387" s="3">
        <v>2261.0499999999997</v>
      </c>
    </row>
    <row r="388" spans="2:6" x14ac:dyDescent="0.3">
      <c r="B388" s="3">
        <v>377</v>
      </c>
      <c r="C388" s="3">
        <v>56.050000000000011</v>
      </c>
      <c r="D388" s="3">
        <v>0</v>
      </c>
      <c r="E388" s="3">
        <v>1099.75</v>
      </c>
      <c r="F388" s="3">
        <v>1155.8</v>
      </c>
    </row>
    <row r="389" spans="2:6" x14ac:dyDescent="0.3">
      <c r="B389" s="3">
        <v>378</v>
      </c>
      <c r="C389" s="3">
        <v>64.900000000000006</v>
      </c>
      <c r="D389" s="3">
        <v>0</v>
      </c>
      <c r="E389" s="3">
        <v>2199.5</v>
      </c>
      <c r="F389" s="3">
        <v>2264.3999999999996</v>
      </c>
    </row>
    <row r="390" spans="2:6" x14ac:dyDescent="0.3">
      <c r="B390" s="3">
        <v>379</v>
      </c>
      <c r="C390" s="3">
        <v>60.250000000000014</v>
      </c>
      <c r="D390" s="3">
        <v>0</v>
      </c>
      <c r="E390" s="3">
        <v>2199.5</v>
      </c>
      <c r="F390" s="3">
        <v>2259.75</v>
      </c>
    </row>
    <row r="391" spans="2:6" x14ac:dyDescent="0.3">
      <c r="B391" s="3">
        <v>380</v>
      </c>
      <c r="C391" s="3">
        <v>61.999999999999986</v>
      </c>
      <c r="D391" s="3">
        <v>0</v>
      </c>
      <c r="E391" s="3">
        <v>2199.5</v>
      </c>
      <c r="F391" s="3">
        <v>2261.4999999999995</v>
      </c>
    </row>
    <row r="392" spans="2:6" x14ac:dyDescent="0.3">
      <c r="B392" s="3">
        <v>381</v>
      </c>
      <c r="C392" s="3">
        <v>64.150000000000006</v>
      </c>
      <c r="D392" s="3">
        <v>0</v>
      </c>
      <c r="E392" s="3">
        <v>2199.5</v>
      </c>
      <c r="F392" s="3">
        <v>2263.65</v>
      </c>
    </row>
    <row r="393" spans="2:6" x14ac:dyDescent="0.3">
      <c r="B393" s="3">
        <v>382</v>
      </c>
      <c r="C393" s="3">
        <v>57</v>
      </c>
      <c r="D393" s="3">
        <v>0</v>
      </c>
      <c r="E393" s="3">
        <v>2199.5</v>
      </c>
      <c r="F393" s="3">
        <v>2256.5</v>
      </c>
    </row>
    <row r="394" spans="2:6" x14ac:dyDescent="0.3">
      <c r="B394" s="3">
        <v>383</v>
      </c>
      <c r="C394" s="3">
        <v>65.050000000000011</v>
      </c>
      <c r="D394" s="3">
        <v>0</v>
      </c>
      <c r="E394" s="3">
        <v>2199.5</v>
      </c>
      <c r="F394" s="3">
        <v>2264.5499999999993</v>
      </c>
    </row>
    <row r="395" spans="2:6" x14ac:dyDescent="0.3">
      <c r="B395" s="3">
        <v>384</v>
      </c>
      <c r="C395" s="3">
        <v>62.95</v>
      </c>
      <c r="D395" s="3">
        <v>0</v>
      </c>
      <c r="E395" s="3">
        <v>1099.75</v>
      </c>
      <c r="F395" s="3">
        <v>1162.6999999999998</v>
      </c>
    </row>
    <row r="396" spans="2:6" x14ac:dyDescent="0.3">
      <c r="B396" s="3">
        <v>385</v>
      </c>
      <c r="C396" s="3">
        <v>65.300000000000011</v>
      </c>
      <c r="D396" s="3">
        <v>0</v>
      </c>
      <c r="E396" s="3">
        <v>2199.5</v>
      </c>
      <c r="F396" s="3">
        <v>2264.7999999999993</v>
      </c>
    </row>
    <row r="397" spans="2:6" x14ac:dyDescent="0.3">
      <c r="B397" s="3">
        <v>386</v>
      </c>
      <c r="C397" s="3">
        <v>61.000000000000007</v>
      </c>
      <c r="D397" s="3">
        <v>0</v>
      </c>
      <c r="E397" s="3">
        <v>2199.5</v>
      </c>
      <c r="F397" s="3">
        <v>2260.4999999999995</v>
      </c>
    </row>
    <row r="398" spans="2:6" x14ac:dyDescent="0.3">
      <c r="B398" s="3">
        <v>387</v>
      </c>
      <c r="C398" s="3">
        <v>64.000000000000014</v>
      </c>
      <c r="D398" s="3">
        <v>0</v>
      </c>
      <c r="E398" s="3">
        <v>2199.5</v>
      </c>
      <c r="F398" s="3">
        <v>2263.4999999999991</v>
      </c>
    </row>
    <row r="399" spans="2:6" x14ac:dyDescent="0.3">
      <c r="B399" s="3">
        <v>388</v>
      </c>
      <c r="C399" s="3">
        <v>60.500000000000014</v>
      </c>
      <c r="D399" s="3">
        <v>0</v>
      </c>
      <c r="E399" s="3">
        <v>2199.5</v>
      </c>
      <c r="F399" s="3">
        <v>2259.9999999999995</v>
      </c>
    </row>
    <row r="400" spans="2:6" x14ac:dyDescent="0.3">
      <c r="B400" s="3">
        <v>389</v>
      </c>
      <c r="C400" s="3">
        <v>67.399999999999991</v>
      </c>
      <c r="D400" s="3">
        <v>0</v>
      </c>
      <c r="E400" s="3">
        <v>2199.5</v>
      </c>
      <c r="F400" s="3">
        <v>2266.8999999999996</v>
      </c>
    </row>
    <row r="401" spans="2:6" x14ac:dyDescent="0.3">
      <c r="B401" s="3">
        <v>390</v>
      </c>
      <c r="C401" s="3">
        <v>61.599999999999994</v>
      </c>
      <c r="D401" s="3">
        <v>0</v>
      </c>
      <c r="E401" s="3">
        <v>2199.5</v>
      </c>
      <c r="F401" s="3">
        <v>2261.1</v>
      </c>
    </row>
    <row r="402" spans="2:6" x14ac:dyDescent="0.3">
      <c r="B402" s="3">
        <v>391</v>
      </c>
      <c r="C402" s="3">
        <v>63.300000000000004</v>
      </c>
      <c r="D402" s="3">
        <v>0</v>
      </c>
      <c r="E402" s="3">
        <v>2199.5</v>
      </c>
      <c r="F402" s="3">
        <v>2262.7999999999997</v>
      </c>
    </row>
    <row r="403" spans="2:6" x14ac:dyDescent="0.3">
      <c r="B403" s="3">
        <v>392</v>
      </c>
      <c r="C403" s="3">
        <v>61.699999999999989</v>
      </c>
      <c r="D403" s="3">
        <v>0</v>
      </c>
      <c r="E403" s="3">
        <v>1099.75</v>
      </c>
      <c r="F403" s="3">
        <v>1161.4499999999998</v>
      </c>
    </row>
    <row r="404" spans="2:6" x14ac:dyDescent="0.3">
      <c r="B404" s="3">
        <v>393</v>
      </c>
      <c r="C404" s="3">
        <v>61.300000000000018</v>
      </c>
      <c r="D404" s="3">
        <v>0</v>
      </c>
      <c r="E404" s="3">
        <v>2199.5</v>
      </c>
      <c r="F404" s="3">
        <v>2260.7999999999997</v>
      </c>
    </row>
    <row r="405" spans="2:6" x14ac:dyDescent="0.3">
      <c r="B405" s="3">
        <v>394</v>
      </c>
      <c r="C405" s="3">
        <v>61.25</v>
      </c>
      <c r="D405" s="3">
        <v>0</v>
      </c>
      <c r="E405" s="3">
        <v>2199.5</v>
      </c>
      <c r="F405" s="3">
        <v>2260.7499999999995</v>
      </c>
    </row>
    <row r="406" spans="2:6" x14ac:dyDescent="0.3">
      <c r="B406" s="3">
        <v>395</v>
      </c>
      <c r="C406" s="3">
        <v>63.85</v>
      </c>
      <c r="D406" s="3">
        <v>0</v>
      </c>
      <c r="E406" s="3">
        <v>2199.5</v>
      </c>
      <c r="F406" s="3">
        <v>2263.3499999999995</v>
      </c>
    </row>
    <row r="407" spans="2:6" x14ac:dyDescent="0.3">
      <c r="B407" s="3">
        <v>396</v>
      </c>
      <c r="C407" s="3">
        <v>60.7</v>
      </c>
      <c r="D407" s="3">
        <v>0</v>
      </c>
      <c r="E407" s="3">
        <v>2199.5</v>
      </c>
      <c r="F407" s="3">
        <v>2260.2000000000007</v>
      </c>
    </row>
    <row r="408" spans="2:6" x14ac:dyDescent="0.3">
      <c r="B408" s="3">
        <v>397</v>
      </c>
      <c r="C408" s="3">
        <v>61.79999999999999</v>
      </c>
      <c r="D408" s="3">
        <v>0</v>
      </c>
      <c r="E408" s="3">
        <v>2199.5</v>
      </c>
      <c r="F408" s="3">
        <v>2261.2999999999997</v>
      </c>
    </row>
    <row r="409" spans="2:6" x14ac:dyDescent="0.3">
      <c r="B409" s="3">
        <v>398</v>
      </c>
      <c r="C409" s="3">
        <v>64.599999999999994</v>
      </c>
      <c r="D409" s="3">
        <v>0</v>
      </c>
      <c r="E409" s="3">
        <v>2199.5</v>
      </c>
      <c r="F409" s="3">
        <v>2264.1000000000008</v>
      </c>
    </row>
    <row r="410" spans="2:6" x14ac:dyDescent="0.3">
      <c r="B410" s="3">
        <v>399</v>
      </c>
      <c r="C410" s="3">
        <v>60.15</v>
      </c>
      <c r="D410" s="3">
        <v>0</v>
      </c>
      <c r="E410" s="3">
        <v>2199.5</v>
      </c>
      <c r="F410" s="3">
        <v>2259.6499999999996</v>
      </c>
    </row>
    <row r="411" spans="2:6" x14ac:dyDescent="0.3">
      <c r="B411" s="3">
        <v>400</v>
      </c>
      <c r="C411" s="3">
        <v>64.5</v>
      </c>
      <c r="D411" s="3">
        <v>0</v>
      </c>
      <c r="E411" s="3">
        <v>2199.5</v>
      </c>
      <c r="F411" s="3">
        <v>2264</v>
      </c>
    </row>
    <row r="412" spans="2:6" x14ac:dyDescent="0.3">
      <c r="B412" s="3">
        <v>401</v>
      </c>
      <c r="C412" s="3">
        <v>64.999999999999986</v>
      </c>
      <c r="D412" s="3">
        <v>0</v>
      </c>
      <c r="E412" s="3">
        <v>2199.5</v>
      </c>
      <c r="F412" s="3">
        <v>2264.5000000000009</v>
      </c>
    </row>
    <row r="413" spans="2:6" x14ac:dyDescent="0.3">
      <c r="B413" s="3">
        <v>402</v>
      </c>
      <c r="C413" s="3">
        <v>67.250000000000014</v>
      </c>
      <c r="D413" s="3">
        <v>0</v>
      </c>
      <c r="E413" s="3">
        <v>2199.5</v>
      </c>
      <c r="F413" s="3">
        <v>2266.7499999999995</v>
      </c>
    </row>
    <row r="414" spans="2:6" x14ac:dyDescent="0.3">
      <c r="B414" s="3">
        <v>403</v>
      </c>
      <c r="C414" s="3">
        <v>64.150000000000006</v>
      </c>
      <c r="D414" s="3">
        <v>0</v>
      </c>
      <c r="E414" s="3">
        <v>2199.5</v>
      </c>
      <c r="F414" s="3">
        <v>2263.6499999999996</v>
      </c>
    </row>
    <row r="415" spans="2:6" x14ac:dyDescent="0.3">
      <c r="B415" s="3">
        <v>404</v>
      </c>
      <c r="C415" s="3">
        <v>60.79999999999999</v>
      </c>
      <c r="D415" s="3">
        <v>0</v>
      </c>
      <c r="E415" s="3">
        <v>2199.5</v>
      </c>
      <c r="F415" s="3">
        <v>2260.3000000000011</v>
      </c>
    </row>
    <row r="416" spans="2:6" x14ac:dyDescent="0.3">
      <c r="B416" s="3">
        <v>405</v>
      </c>
      <c r="C416" s="3">
        <v>61.25</v>
      </c>
      <c r="D416" s="3">
        <v>0</v>
      </c>
      <c r="E416" s="3">
        <v>2199.5</v>
      </c>
      <c r="F416" s="3">
        <v>2260.7500000000005</v>
      </c>
    </row>
    <row r="417" spans="2:6" x14ac:dyDescent="0.3">
      <c r="B417" s="3">
        <v>406</v>
      </c>
      <c r="C417" s="3">
        <v>62.550000000000004</v>
      </c>
      <c r="D417" s="3">
        <v>0</v>
      </c>
      <c r="E417" s="3">
        <v>2199.5</v>
      </c>
      <c r="F417" s="3">
        <v>2262.0500000000011</v>
      </c>
    </row>
    <row r="418" spans="2:6" x14ac:dyDescent="0.3">
      <c r="B418" s="3">
        <v>407</v>
      </c>
      <c r="C418" s="3">
        <v>65.550000000000011</v>
      </c>
      <c r="D418" s="3">
        <v>0</v>
      </c>
      <c r="E418" s="3">
        <v>2199.5</v>
      </c>
      <c r="F418" s="3">
        <v>2265.0499999999993</v>
      </c>
    </row>
    <row r="419" spans="2:6" x14ac:dyDescent="0.3">
      <c r="B419" s="3">
        <v>408</v>
      </c>
      <c r="C419" s="3">
        <v>58.5</v>
      </c>
      <c r="D419" s="3">
        <v>0</v>
      </c>
      <c r="E419" s="3">
        <v>1099.75</v>
      </c>
      <c r="F419" s="3">
        <v>1158.2499999999998</v>
      </c>
    </row>
    <row r="420" spans="2:6" x14ac:dyDescent="0.3">
      <c r="B420" s="3">
        <v>409</v>
      </c>
      <c r="C420" s="3">
        <v>58.4</v>
      </c>
      <c r="D420" s="3">
        <v>0</v>
      </c>
      <c r="E420" s="3">
        <v>2199.5</v>
      </c>
      <c r="F420" s="3">
        <v>2257.9</v>
      </c>
    </row>
    <row r="421" spans="2:6" x14ac:dyDescent="0.3">
      <c r="B421" s="3">
        <v>410</v>
      </c>
      <c r="C421" s="3">
        <v>59.050000000000018</v>
      </c>
      <c r="D421" s="3">
        <v>0</v>
      </c>
      <c r="E421" s="3">
        <v>2199.5</v>
      </c>
      <c r="F421" s="3">
        <v>2258.5499999999997</v>
      </c>
    </row>
    <row r="422" spans="2:6" x14ac:dyDescent="0.3">
      <c r="B422" s="3">
        <v>411</v>
      </c>
      <c r="C422" s="3">
        <v>61.600000000000016</v>
      </c>
      <c r="D422" s="3">
        <v>0</v>
      </c>
      <c r="E422" s="3">
        <v>2199.5</v>
      </c>
      <c r="F422" s="3">
        <v>2261.1</v>
      </c>
    </row>
    <row r="423" spans="2:6" x14ac:dyDescent="0.3">
      <c r="B423" s="3">
        <v>412</v>
      </c>
      <c r="C423" s="3">
        <v>60.85</v>
      </c>
      <c r="D423" s="3">
        <v>0</v>
      </c>
      <c r="E423" s="3">
        <v>2199.5</v>
      </c>
      <c r="F423" s="3">
        <v>2260.3500000000004</v>
      </c>
    </row>
    <row r="424" spans="2:6" x14ac:dyDescent="0.3">
      <c r="B424" s="3">
        <v>413</v>
      </c>
      <c r="C424" s="3">
        <v>67.3</v>
      </c>
      <c r="D424" s="3">
        <v>0</v>
      </c>
      <c r="E424" s="3">
        <v>2199.5</v>
      </c>
      <c r="F424" s="3">
        <v>2266.8000000000006</v>
      </c>
    </row>
    <row r="425" spans="2:6" x14ac:dyDescent="0.3">
      <c r="B425" s="3">
        <v>414</v>
      </c>
      <c r="C425" s="3">
        <v>66.900000000000006</v>
      </c>
      <c r="D425" s="3">
        <v>0</v>
      </c>
      <c r="E425" s="3">
        <v>1099.75</v>
      </c>
      <c r="F425" s="3">
        <v>1166.6499999999999</v>
      </c>
    </row>
    <row r="426" spans="2:6" x14ac:dyDescent="0.3">
      <c r="B426" s="3">
        <v>415</v>
      </c>
      <c r="C426" s="3">
        <v>63.25</v>
      </c>
      <c r="D426" s="3">
        <v>0</v>
      </c>
      <c r="E426" s="3">
        <v>2199.5</v>
      </c>
      <c r="F426" s="3">
        <v>2262.7500000000005</v>
      </c>
    </row>
    <row r="427" spans="2:6" x14ac:dyDescent="0.3">
      <c r="B427" s="3">
        <v>416</v>
      </c>
      <c r="C427" s="3">
        <v>62.05</v>
      </c>
      <c r="D427" s="3">
        <v>0</v>
      </c>
      <c r="E427" s="3">
        <v>2199.5</v>
      </c>
      <c r="F427" s="3">
        <v>2261.5500000000006</v>
      </c>
    </row>
    <row r="428" spans="2:6" x14ac:dyDescent="0.3">
      <c r="B428" s="3">
        <v>417</v>
      </c>
      <c r="C428" s="3">
        <v>59.649999999999991</v>
      </c>
      <c r="D428" s="3">
        <v>0</v>
      </c>
      <c r="E428" s="3">
        <v>2199.5</v>
      </c>
      <c r="F428" s="3">
        <v>2259.1499999999996</v>
      </c>
    </row>
    <row r="429" spans="2:6" x14ac:dyDescent="0.3">
      <c r="B429" s="3">
        <v>418</v>
      </c>
      <c r="C429" s="3">
        <v>66.650000000000006</v>
      </c>
      <c r="D429" s="3">
        <v>0</v>
      </c>
      <c r="E429" s="3">
        <v>1099.75</v>
      </c>
      <c r="F429" s="3">
        <v>1166.4000000000001</v>
      </c>
    </row>
    <row r="430" spans="2:6" x14ac:dyDescent="0.3">
      <c r="B430" s="3">
        <v>419</v>
      </c>
      <c r="C430" s="3">
        <v>59.499999999999993</v>
      </c>
      <c r="D430" s="3">
        <v>0</v>
      </c>
      <c r="E430" s="3">
        <v>2199.5</v>
      </c>
      <c r="F430" s="3">
        <v>2259</v>
      </c>
    </row>
    <row r="431" spans="2:6" x14ac:dyDescent="0.3">
      <c r="B431" s="3">
        <v>420</v>
      </c>
      <c r="C431" s="3">
        <v>64.8</v>
      </c>
      <c r="D431" s="3">
        <v>0</v>
      </c>
      <c r="E431" s="3">
        <v>2199.5</v>
      </c>
      <c r="F431" s="3">
        <v>2264.3000000000006</v>
      </c>
    </row>
    <row r="432" spans="2:6" x14ac:dyDescent="0.3">
      <c r="B432" s="3">
        <v>421</v>
      </c>
      <c r="C432" s="3">
        <v>62.850000000000009</v>
      </c>
      <c r="D432" s="3">
        <v>0</v>
      </c>
      <c r="E432" s="3">
        <v>2199.5</v>
      </c>
      <c r="F432" s="3">
        <v>2262.35</v>
      </c>
    </row>
    <row r="433" spans="2:6" x14ac:dyDescent="0.3">
      <c r="B433" s="3">
        <v>422</v>
      </c>
      <c r="C433" s="3">
        <v>62.300000000000004</v>
      </c>
      <c r="D433" s="3">
        <v>0</v>
      </c>
      <c r="E433" s="3">
        <v>2199.5</v>
      </c>
      <c r="F433" s="3">
        <v>2261.7999999999997</v>
      </c>
    </row>
    <row r="434" spans="2:6" x14ac:dyDescent="0.3">
      <c r="B434" s="3">
        <v>423</v>
      </c>
      <c r="C434" s="3">
        <v>64.75</v>
      </c>
      <c r="D434" s="3">
        <v>0</v>
      </c>
      <c r="E434" s="3">
        <v>2199.5</v>
      </c>
      <c r="F434" s="3">
        <v>2264.2499999999995</v>
      </c>
    </row>
    <row r="435" spans="2:6" x14ac:dyDescent="0.3">
      <c r="B435" s="3">
        <v>424</v>
      </c>
      <c r="C435" s="3">
        <v>59.350000000000023</v>
      </c>
      <c r="D435" s="3">
        <v>0</v>
      </c>
      <c r="E435" s="3">
        <v>2199.5</v>
      </c>
      <c r="F435" s="3">
        <v>2258.8499999999995</v>
      </c>
    </row>
    <row r="436" spans="2:6" x14ac:dyDescent="0.3">
      <c r="B436" s="3">
        <v>425</v>
      </c>
      <c r="C436" s="3">
        <v>58.699999999999989</v>
      </c>
      <c r="D436" s="3">
        <v>0</v>
      </c>
      <c r="E436" s="3">
        <v>2199.5</v>
      </c>
      <c r="F436" s="3">
        <v>2258.1999999999998</v>
      </c>
    </row>
    <row r="437" spans="2:6" x14ac:dyDescent="0.3">
      <c r="B437" s="3">
        <v>426</v>
      </c>
      <c r="C437" s="3">
        <v>62.95</v>
      </c>
      <c r="D437" s="3">
        <v>0</v>
      </c>
      <c r="E437" s="3">
        <v>1099.75</v>
      </c>
      <c r="F437" s="3">
        <v>1162.6999999999996</v>
      </c>
    </row>
    <row r="438" spans="2:6" x14ac:dyDescent="0.3">
      <c r="B438" s="3">
        <v>427</v>
      </c>
      <c r="C438" s="3">
        <v>66.800000000000011</v>
      </c>
      <c r="D438" s="3">
        <v>0</v>
      </c>
      <c r="E438" s="3">
        <v>2199.5</v>
      </c>
      <c r="F438" s="3">
        <v>2266.3000000000002</v>
      </c>
    </row>
    <row r="439" spans="2:6" x14ac:dyDescent="0.3">
      <c r="B439" s="3">
        <v>428</v>
      </c>
      <c r="C439" s="3">
        <v>62.450000000000017</v>
      </c>
      <c r="D439" s="3">
        <v>0</v>
      </c>
      <c r="E439" s="3">
        <v>2199.5</v>
      </c>
      <c r="F439" s="3">
        <v>2261.9499999999994</v>
      </c>
    </row>
    <row r="440" spans="2:6" x14ac:dyDescent="0.3">
      <c r="B440" s="3">
        <v>429</v>
      </c>
      <c r="C440" s="3">
        <v>59.849999999999987</v>
      </c>
      <c r="D440" s="3">
        <v>0</v>
      </c>
      <c r="E440" s="3">
        <v>2199.5</v>
      </c>
      <c r="F440" s="3">
        <v>2259.3500000000004</v>
      </c>
    </row>
    <row r="441" spans="2:6" x14ac:dyDescent="0.3">
      <c r="B441" s="3">
        <v>430</v>
      </c>
      <c r="C441" s="3">
        <v>61.900000000000006</v>
      </c>
      <c r="D441" s="3">
        <v>0</v>
      </c>
      <c r="E441" s="3">
        <v>2199.5</v>
      </c>
      <c r="F441" s="3">
        <v>2261.3999999999992</v>
      </c>
    </row>
    <row r="442" spans="2:6" x14ac:dyDescent="0.3">
      <c r="B442" s="3">
        <v>431</v>
      </c>
      <c r="C442" s="3">
        <v>64.900000000000006</v>
      </c>
      <c r="D442" s="3">
        <v>0</v>
      </c>
      <c r="E442" s="3">
        <v>2199.5</v>
      </c>
      <c r="F442" s="3">
        <v>2264.4000000000005</v>
      </c>
    </row>
    <row r="443" spans="2:6" x14ac:dyDescent="0.3">
      <c r="B443" s="3">
        <v>432</v>
      </c>
      <c r="C443" s="3">
        <v>63.699999999999996</v>
      </c>
      <c r="D443" s="3">
        <v>0</v>
      </c>
      <c r="E443" s="3">
        <v>2199.5</v>
      </c>
      <c r="F443" s="3">
        <v>2263.1999999999998</v>
      </c>
    </row>
    <row r="444" spans="2:6" x14ac:dyDescent="0.3">
      <c r="B444" s="3">
        <v>433</v>
      </c>
      <c r="C444" s="3">
        <v>61.000000000000007</v>
      </c>
      <c r="D444" s="3">
        <v>0</v>
      </c>
      <c r="E444" s="3">
        <v>2199.5</v>
      </c>
      <c r="F444" s="3">
        <v>2260.5000000000005</v>
      </c>
    </row>
    <row r="445" spans="2:6" x14ac:dyDescent="0.3">
      <c r="B445" s="3">
        <v>434</v>
      </c>
      <c r="C445" s="3">
        <v>57.400000000000006</v>
      </c>
      <c r="D445" s="3">
        <v>0</v>
      </c>
      <c r="E445" s="3">
        <v>2199.5</v>
      </c>
      <c r="F445" s="3">
        <v>2256.8999999999996</v>
      </c>
    </row>
    <row r="446" spans="2:6" x14ac:dyDescent="0.3">
      <c r="B446" s="3">
        <v>435</v>
      </c>
      <c r="C446" s="3">
        <v>59.85</v>
      </c>
      <c r="D446" s="3">
        <v>0</v>
      </c>
      <c r="E446" s="3">
        <v>2199.5</v>
      </c>
      <c r="F446" s="3">
        <v>2259.3499999999995</v>
      </c>
    </row>
    <row r="447" spans="2:6" x14ac:dyDescent="0.3">
      <c r="B447" s="3">
        <v>436</v>
      </c>
      <c r="C447" s="3">
        <v>62.600000000000009</v>
      </c>
      <c r="D447" s="3">
        <v>0</v>
      </c>
      <c r="E447" s="3">
        <v>2199.5</v>
      </c>
      <c r="F447" s="3">
        <v>2262.0999999999995</v>
      </c>
    </row>
    <row r="448" spans="2:6" x14ac:dyDescent="0.3">
      <c r="B448" s="3">
        <v>437</v>
      </c>
      <c r="C448" s="3">
        <v>62.449999999999989</v>
      </c>
      <c r="D448" s="3">
        <v>0</v>
      </c>
      <c r="E448" s="3">
        <v>2199.5</v>
      </c>
      <c r="F448" s="3">
        <v>2261.9499999999998</v>
      </c>
    </row>
    <row r="449" spans="2:6" x14ac:dyDescent="0.3">
      <c r="B449" s="3">
        <v>438</v>
      </c>
      <c r="C449" s="3">
        <v>65.250000000000014</v>
      </c>
      <c r="D449" s="3">
        <v>0</v>
      </c>
      <c r="E449" s="3">
        <v>2199.5</v>
      </c>
      <c r="F449" s="3">
        <v>2264.75</v>
      </c>
    </row>
    <row r="450" spans="2:6" x14ac:dyDescent="0.3">
      <c r="B450" s="3">
        <v>439</v>
      </c>
      <c r="C450" s="3">
        <v>63.2</v>
      </c>
      <c r="D450" s="3">
        <v>0</v>
      </c>
      <c r="E450" s="3">
        <v>1099.75</v>
      </c>
      <c r="F450" s="3">
        <v>1162.9499999999998</v>
      </c>
    </row>
    <row r="451" spans="2:6" x14ac:dyDescent="0.3">
      <c r="B451" s="3">
        <v>440</v>
      </c>
      <c r="C451" s="3">
        <v>59.400000000000006</v>
      </c>
      <c r="D451" s="3">
        <v>0</v>
      </c>
      <c r="E451" s="3">
        <v>1099.75</v>
      </c>
      <c r="F451" s="3">
        <v>1159.1499999999999</v>
      </c>
    </row>
    <row r="452" spans="2:6" x14ac:dyDescent="0.3">
      <c r="B452" s="3">
        <v>441</v>
      </c>
      <c r="C452" s="3">
        <v>63.900000000000013</v>
      </c>
      <c r="D452" s="3">
        <v>0</v>
      </c>
      <c r="E452" s="3">
        <v>2199.5</v>
      </c>
      <c r="F452" s="3">
        <v>2263.3999999999996</v>
      </c>
    </row>
    <row r="453" spans="2:6" x14ac:dyDescent="0.3">
      <c r="B453" s="3">
        <v>442</v>
      </c>
      <c r="C453" s="3">
        <v>61.150000000000013</v>
      </c>
      <c r="D453" s="3">
        <v>0</v>
      </c>
      <c r="E453" s="3">
        <v>2199.5</v>
      </c>
      <c r="F453" s="3">
        <v>2260.6499999999996</v>
      </c>
    </row>
    <row r="454" spans="2:6" x14ac:dyDescent="0.3">
      <c r="B454" s="3">
        <v>443</v>
      </c>
      <c r="C454" s="3">
        <v>61.54999999999999</v>
      </c>
      <c r="D454" s="3">
        <v>0</v>
      </c>
      <c r="E454" s="3">
        <v>2199.5</v>
      </c>
      <c r="F454" s="3">
        <v>2261.0500000000002</v>
      </c>
    </row>
    <row r="455" spans="2:6" x14ac:dyDescent="0.3">
      <c r="B455" s="3">
        <v>444</v>
      </c>
      <c r="C455" s="3">
        <v>58.649999999999991</v>
      </c>
      <c r="D455" s="3">
        <v>0</v>
      </c>
      <c r="E455" s="3">
        <v>2199.5</v>
      </c>
      <c r="F455" s="3">
        <v>2258.1499999999996</v>
      </c>
    </row>
    <row r="456" spans="2:6" x14ac:dyDescent="0.3">
      <c r="B456" s="3">
        <v>445</v>
      </c>
      <c r="C456" s="3">
        <v>63.7</v>
      </c>
      <c r="D456" s="3">
        <v>0</v>
      </c>
      <c r="E456" s="3">
        <v>2199.5</v>
      </c>
      <c r="F456" s="3">
        <v>2263.1999999999998</v>
      </c>
    </row>
    <row r="457" spans="2:6" x14ac:dyDescent="0.3">
      <c r="B457" s="3">
        <v>446</v>
      </c>
      <c r="C457" s="3">
        <v>63.650000000000034</v>
      </c>
      <c r="D457" s="3">
        <v>0</v>
      </c>
      <c r="E457" s="3">
        <v>2199.5</v>
      </c>
      <c r="F457" s="3">
        <v>2263.1499999999987</v>
      </c>
    </row>
    <row r="458" spans="2:6" x14ac:dyDescent="0.3">
      <c r="B458" s="3">
        <v>447</v>
      </c>
      <c r="C458" s="3">
        <v>59.849999999999987</v>
      </c>
      <c r="D458" s="3">
        <v>0</v>
      </c>
      <c r="E458" s="3">
        <v>1099.75</v>
      </c>
      <c r="F458" s="3">
        <v>1159.5999999999999</v>
      </c>
    </row>
    <row r="459" spans="2:6" x14ac:dyDescent="0.3">
      <c r="B459" s="3">
        <v>448</v>
      </c>
      <c r="C459" s="3">
        <v>64.350000000000009</v>
      </c>
      <c r="D459" s="3">
        <v>0</v>
      </c>
      <c r="E459" s="3">
        <v>2199.5</v>
      </c>
      <c r="F459" s="3">
        <v>2263.85</v>
      </c>
    </row>
    <row r="460" spans="2:6" x14ac:dyDescent="0.3">
      <c r="B460" s="3">
        <v>449</v>
      </c>
      <c r="C460" s="3">
        <v>61.000000000000007</v>
      </c>
      <c r="D460" s="3">
        <v>0</v>
      </c>
      <c r="E460" s="3">
        <v>2199.5</v>
      </c>
      <c r="F460" s="3">
        <v>2260.5000000000005</v>
      </c>
    </row>
    <row r="461" spans="2:6" x14ac:dyDescent="0.3">
      <c r="B461" s="3">
        <v>450</v>
      </c>
      <c r="C461" s="3">
        <v>64.05</v>
      </c>
      <c r="D461" s="3">
        <v>0</v>
      </c>
      <c r="E461" s="3">
        <v>2199.5</v>
      </c>
      <c r="F461" s="3">
        <v>2263.5500000000006</v>
      </c>
    </row>
    <row r="462" spans="2:6" x14ac:dyDescent="0.3">
      <c r="B462" s="3">
        <v>451</v>
      </c>
      <c r="C462" s="3">
        <v>58.849999999999994</v>
      </c>
      <c r="D462" s="3">
        <v>0</v>
      </c>
      <c r="E462" s="3">
        <v>2199.5</v>
      </c>
      <c r="F462" s="3">
        <v>2258.35</v>
      </c>
    </row>
    <row r="463" spans="2:6" x14ac:dyDescent="0.3">
      <c r="B463" s="3">
        <v>452</v>
      </c>
      <c r="C463" s="3">
        <v>60.900000000000013</v>
      </c>
      <c r="D463" s="3">
        <v>0</v>
      </c>
      <c r="E463" s="3">
        <v>2199.5</v>
      </c>
      <c r="F463" s="3">
        <v>2260.3999999999996</v>
      </c>
    </row>
    <row r="464" spans="2:6" x14ac:dyDescent="0.3">
      <c r="B464" s="3">
        <v>453</v>
      </c>
      <c r="C464" s="3">
        <v>64.45</v>
      </c>
      <c r="D464" s="3">
        <v>0</v>
      </c>
      <c r="E464" s="3">
        <v>2199.5</v>
      </c>
      <c r="F464" s="3">
        <v>2263.9499999999998</v>
      </c>
    </row>
    <row r="465" spans="2:6" x14ac:dyDescent="0.3">
      <c r="B465" s="3">
        <v>454</v>
      </c>
      <c r="C465" s="3">
        <v>56.750000000000014</v>
      </c>
      <c r="D465" s="3">
        <v>0</v>
      </c>
      <c r="E465" s="3">
        <v>2199.5</v>
      </c>
      <c r="F465" s="3">
        <v>2256.25</v>
      </c>
    </row>
    <row r="466" spans="2:6" x14ac:dyDescent="0.3">
      <c r="B466" s="3">
        <v>455</v>
      </c>
      <c r="C466" s="3">
        <v>62.949999999999996</v>
      </c>
      <c r="D466" s="3">
        <v>0</v>
      </c>
      <c r="E466" s="3">
        <v>2199.5</v>
      </c>
      <c r="F466" s="3">
        <v>2262.4500000000003</v>
      </c>
    </row>
    <row r="467" spans="2:6" x14ac:dyDescent="0.3">
      <c r="B467" s="3">
        <v>456</v>
      </c>
      <c r="C467" s="3">
        <v>57.45000000000001</v>
      </c>
      <c r="D467" s="3">
        <v>0</v>
      </c>
      <c r="E467" s="3">
        <v>2199.5</v>
      </c>
      <c r="F467" s="3">
        <v>2256.9499999999998</v>
      </c>
    </row>
    <row r="468" spans="2:6" x14ac:dyDescent="0.3">
      <c r="B468" s="3">
        <v>457</v>
      </c>
      <c r="C468" s="3">
        <v>62.050000000000018</v>
      </c>
      <c r="D468" s="3">
        <v>0</v>
      </c>
      <c r="E468" s="3">
        <v>2199.5</v>
      </c>
      <c r="F468" s="3">
        <v>2261.5499999999997</v>
      </c>
    </row>
    <row r="469" spans="2:6" x14ac:dyDescent="0.3">
      <c r="B469" s="3">
        <v>458</v>
      </c>
      <c r="C469" s="3">
        <v>62.500000000000021</v>
      </c>
      <c r="D469" s="3">
        <v>0</v>
      </c>
      <c r="E469" s="3">
        <v>2199.5</v>
      </c>
      <c r="F469" s="3">
        <v>2262</v>
      </c>
    </row>
    <row r="470" spans="2:6" x14ac:dyDescent="0.3">
      <c r="B470" s="3">
        <v>459</v>
      </c>
      <c r="C470" s="3">
        <v>61.550000000000018</v>
      </c>
      <c r="D470" s="3">
        <v>0</v>
      </c>
      <c r="E470" s="3">
        <v>2199.5</v>
      </c>
      <c r="F470" s="3">
        <v>2261.0499999999988</v>
      </c>
    </row>
    <row r="471" spans="2:6" x14ac:dyDescent="0.3">
      <c r="B471" s="3">
        <v>460</v>
      </c>
      <c r="C471" s="3">
        <v>67.15000000000002</v>
      </c>
      <c r="D471" s="3">
        <v>0</v>
      </c>
      <c r="E471" s="3">
        <v>1099.75</v>
      </c>
      <c r="F471" s="3">
        <v>1166.9000000000001</v>
      </c>
    </row>
    <row r="472" spans="2:6" x14ac:dyDescent="0.3">
      <c r="B472" s="3">
        <v>461</v>
      </c>
      <c r="C472" s="3">
        <v>58.749999999999993</v>
      </c>
      <c r="D472" s="3">
        <v>0</v>
      </c>
      <c r="E472" s="3">
        <v>2199.5</v>
      </c>
      <c r="F472" s="3">
        <v>2258.25</v>
      </c>
    </row>
    <row r="473" spans="2:6" x14ac:dyDescent="0.3">
      <c r="B473" s="3">
        <v>462</v>
      </c>
      <c r="C473" s="3">
        <v>67.5</v>
      </c>
      <c r="D473" s="3">
        <v>0</v>
      </c>
      <c r="E473" s="3">
        <v>2199.5</v>
      </c>
      <c r="F473" s="3">
        <v>2267</v>
      </c>
    </row>
    <row r="474" spans="2:6" x14ac:dyDescent="0.3">
      <c r="B474" s="3">
        <v>463</v>
      </c>
      <c r="C474" s="3">
        <v>66.25</v>
      </c>
      <c r="D474" s="3">
        <v>0</v>
      </c>
      <c r="E474" s="3">
        <v>2199.5</v>
      </c>
      <c r="F474" s="3">
        <v>2265.7499999999995</v>
      </c>
    </row>
    <row r="475" spans="2:6" x14ac:dyDescent="0.3">
      <c r="B475" s="3">
        <v>464</v>
      </c>
      <c r="C475" s="3">
        <v>65.65000000000002</v>
      </c>
      <c r="D475" s="3">
        <v>0</v>
      </c>
      <c r="E475" s="3">
        <v>2199.5</v>
      </c>
      <c r="F475" s="3">
        <v>2265.15</v>
      </c>
    </row>
    <row r="476" spans="2:6" x14ac:dyDescent="0.3">
      <c r="B476" s="3">
        <v>465</v>
      </c>
      <c r="C476" s="3">
        <v>60.3</v>
      </c>
      <c r="D476" s="3">
        <v>0</v>
      </c>
      <c r="E476" s="3">
        <v>2199.5</v>
      </c>
      <c r="F476" s="3">
        <v>2259.8000000000002</v>
      </c>
    </row>
    <row r="477" spans="2:6" x14ac:dyDescent="0.3">
      <c r="B477" s="3">
        <v>466</v>
      </c>
      <c r="C477" s="3">
        <v>58.45</v>
      </c>
      <c r="D477" s="3">
        <v>0</v>
      </c>
      <c r="E477" s="3">
        <v>2199.5</v>
      </c>
      <c r="F477" s="3">
        <v>2257.9499999999998</v>
      </c>
    </row>
    <row r="478" spans="2:6" x14ac:dyDescent="0.3">
      <c r="B478" s="3">
        <v>467</v>
      </c>
      <c r="C478" s="3">
        <v>59.999999999999993</v>
      </c>
      <c r="D478" s="3">
        <v>0</v>
      </c>
      <c r="E478" s="3">
        <v>1099.75</v>
      </c>
      <c r="F478" s="3">
        <v>1159.75</v>
      </c>
    </row>
    <row r="479" spans="2:6" x14ac:dyDescent="0.3">
      <c r="B479" s="3">
        <v>468</v>
      </c>
      <c r="C479" s="3">
        <v>58.35</v>
      </c>
      <c r="D479" s="3">
        <v>0</v>
      </c>
      <c r="E479" s="3">
        <v>2199.5</v>
      </c>
      <c r="F479" s="3">
        <v>2257.8500000000004</v>
      </c>
    </row>
    <row r="480" spans="2:6" x14ac:dyDescent="0.3">
      <c r="B480" s="3">
        <v>469</v>
      </c>
      <c r="C480" s="3">
        <v>62.149999999999991</v>
      </c>
      <c r="D480" s="3">
        <v>0</v>
      </c>
      <c r="E480" s="3">
        <v>2199.5</v>
      </c>
      <c r="F480" s="3">
        <v>2261.65</v>
      </c>
    </row>
    <row r="481" spans="2:6" x14ac:dyDescent="0.3">
      <c r="B481" s="3">
        <v>470</v>
      </c>
      <c r="C481" s="3">
        <v>60.050000000000004</v>
      </c>
      <c r="D481" s="3">
        <v>0</v>
      </c>
      <c r="E481" s="3">
        <v>1099.75</v>
      </c>
      <c r="F481" s="3">
        <v>1159.8</v>
      </c>
    </row>
    <row r="482" spans="2:6" x14ac:dyDescent="0.3">
      <c r="B482" s="3">
        <v>471</v>
      </c>
      <c r="C482" s="3">
        <v>65.750000000000014</v>
      </c>
      <c r="D482" s="3">
        <v>0</v>
      </c>
      <c r="E482" s="3">
        <v>2199.5</v>
      </c>
      <c r="F482" s="3">
        <v>2265.2500000000005</v>
      </c>
    </row>
    <row r="483" spans="2:6" x14ac:dyDescent="0.3">
      <c r="B483" s="3">
        <v>472</v>
      </c>
      <c r="C483" s="3">
        <v>62.600000000000009</v>
      </c>
      <c r="D483" s="3">
        <v>0</v>
      </c>
      <c r="E483" s="3">
        <v>2199.5</v>
      </c>
      <c r="F483" s="3">
        <v>2262.1</v>
      </c>
    </row>
    <row r="484" spans="2:6" x14ac:dyDescent="0.3">
      <c r="B484" s="3">
        <v>473</v>
      </c>
      <c r="C484" s="3">
        <v>58.9</v>
      </c>
      <c r="D484" s="3">
        <v>0</v>
      </c>
      <c r="E484" s="3">
        <v>2199.5</v>
      </c>
      <c r="F484" s="3">
        <v>2258.4</v>
      </c>
    </row>
    <row r="485" spans="2:6" x14ac:dyDescent="0.3">
      <c r="B485" s="3">
        <v>474</v>
      </c>
      <c r="C485" s="3">
        <v>63.900000000000006</v>
      </c>
      <c r="D485" s="3">
        <v>0</v>
      </c>
      <c r="E485" s="3">
        <v>2199.5</v>
      </c>
      <c r="F485" s="3">
        <v>2263.3999999999992</v>
      </c>
    </row>
    <row r="486" spans="2:6" x14ac:dyDescent="0.3">
      <c r="B486" s="3">
        <v>475</v>
      </c>
      <c r="C486" s="3">
        <v>59.899999999999984</v>
      </c>
      <c r="D486" s="3">
        <v>0</v>
      </c>
      <c r="E486" s="3">
        <v>1099.75</v>
      </c>
      <c r="F486" s="3">
        <v>1159.6500000000003</v>
      </c>
    </row>
    <row r="487" spans="2:6" x14ac:dyDescent="0.3">
      <c r="B487" s="3">
        <v>476</v>
      </c>
      <c r="C487" s="3">
        <v>62.900000000000006</v>
      </c>
      <c r="D487" s="3">
        <v>0</v>
      </c>
      <c r="E487" s="3">
        <v>1099.75</v>
      </c>
      <c r="F487" s="3">
        <v>1162.6499999999994</v>
      </c>
    </row>
    <row r="488" spans="2:6" x14ac:dyDescent="0.3">
      <c r="B488" s="3">
        <v>477</v>
      </c>
      <c r="C488" s="3">
        <v>60.599999999999994</v>
      </c>
      <c r="D488" s="3">
        <v>0</v>
      </c>
      <c r="E488" s="3">
        <v>2199.5</v>
      </c>
      <c r="F488" s="3">
        <v>2260.1</v>
      </c>
    </row>
    <row r="489" spans="2:6" x14ac:dyDescent="0.3">
      <c r="B489" s="3">
        <v>478</v>
      </c>
      <c r="C489" s="3">
        <v>67.000000000000014</v>
      </c>
      <c r="D489" s="3">
        <v>0</v>
      </c>
      <c r="E489" s="3">
        <v>2199.5</v>
      </c>
      <c r="F489" s="3">
        <v>2266.4999999999995</v>
      </c>
    </row>
    <row r="490" spans="2:6" x14ac:dyDescent="0.3">
      <c r="B490" s="3">
        <v>479</v>
      </c>
      <c r="C490" s="3">
        <v>67.95</v>
      </c>
      <c r="D490" s="3">
        <v>0</v>
      </c>
      <c r="E490" s="3">
        <v>2199.5</v>
      </c>
      <c r="F490" s="3">
        <v>2267.4500000000003</v>
      </c>
    </row>
    <row r="491" spans="2:6" x14ac:dyDescent="0.3">
      <c r="B491" s="3">
        <v>480</v>
      </c>
      <c r="C491" s="3">
        <v>61.100000000000016</v>
      </c>
      <c r="D491" s="3">
        <v>0</v>
      </c>
      <c r="E491" s="3">
        <v>2199.5</v>
      </c>
      <c r="F491" s="3">
        <v>2260.599999999999</v>
      </c>
    </row>
    <row r="492" spans="2:6" x14ac:dyDescent="0.3">
      <c r="B492" s="3">
        <v>481</v>
      </c>
      <c r="C492" s="3">
        <v>53.45</v>
      </c>
      <c r="D492" s="3">
        <v>0</v>
      </c>
      <c r="E492" s="3">
        <v>2199.5</v>
      </c>
      <c r="F492" s="3">
        <v>2252.9499999999994</v>
      </c>
    </row>
    <row r="493" spans="2:6" x14ac:dyDescent="0.3">
      <c r="B493" s="3">
        <v>482</v>
      </c>
      <c r="C493" s="3">
        <v>66.900000000000006</v>
      </c>
      <c r="D493" s="3">
        <v>0</v>
      </c>
      <c r="E493" s="3">
        <v>2199.5</v>
      </c>
      <c r="F493" s="3">
        <v>2266.400000000001</v>
      </c>
    </row>
    <row r="494" spans="2:6" x14ac:dyDescent="0.3">
      <c r="B494" s="3">
        <v>483</v>
      </c>
      <c r="C494" s="3">
        <v>64.600000000000009</v>
      </c>
      <c r="D494" s="3">
        <v>0</v>
      </c>
      <c r="E494" s="3">
        <v>2199.5</v>
      </c>
      <c r="F494" s="3">
        <v>2264.1</v>
      </c>
    </row>
    <row r="495" spans="2:6" x14ac:dyDescent="0.3">
      <c r="B495" s="3">
        <v>484</v>
      </c>
      <c r="C495" s="3">
        <v>57.650000000000006</v>
      </c>
      <c r="D495" s="3">
        <v>0</v>
      </c>
      <c r="E495" s="3">
        <v>1099.75</v>
      </c>
      <c r="F495" s="3">
        <v>1157.4000000000001</v>
      </c>
    </row>
    <row r="496" spans="2:6" x14ac:dyDescent="0.3">
      <c r="B496" s="3">
        <v>485</v>
      </c>
      <c r="C496" s="3">
        <v>56.649999999999991</v>
      </c>
      <c r="D496" s="3">
        <v>0</v>
      </c>
      <c r="E496" s="3">
        <v>2199.5</v>
      </c>
      <c r="F496" s="3">
        <v>2256.1499999999996</v>
      </c>
    </row>
    <row r="497" spans="2:6" x14ac:dyDescent="0.3">
      <c r="B497" s="3">
        <v>486</v>
      </c>
      <c r="C497" s="3">
        <v>63.800000000000004</v>
      </c>
      <c r="D497" s="3">
        <v>0</v>
      </c>
      <c r="E497" s="3">
        <v>1099.75</v>
      </c>
      <c r="F497" s="3">
        <v>1163.55</v>
      </c>
    </row>
    <row r="498" spans="2:6" x14ac:dyDescent="0.3">
      <c r="B498" s="3">
        <v>487</v>
      </c>
      <c r="C498" s="3">
        <v>59.15</v>
      </c>
      <c r="D498" s="3">
        <v>0</v>
      </c>
      <c r="E498" s="3">
        <v>2199.5</v>
      </c>
      <c r="F498" s="3">
        <v>2258.6500000000005</v>
      </c>
    </row>
    <row r="499" spans="2:6" x14ac:dyDescent="0.3">
      <c r="B499" s="3">
        <v>488</v>
      </c>
      <c r="C499" s="3">
        <v>61.700000000000017</v>
      </c>
      <c r="D499" s="3">
        <v>0</v>
      </c>
      <c r="E499" s="3">
        <v>2199.5</v>
      </c>
      <c r="F499" s="3">
        <v>2261.2000000000003</v>
      </c>
    </row>
    <row r="500" spans="2:6" x14ac:dyDescent="0.3">
      <c r="B500" s="3">
        <v>489</v>
      </c>
      <c r="C500" s="3">
        <v>64.40000000000002</v>
      </c>
      <c r="D500" s="3">
        <v>0</v>
      </c>
      <c r="E500" s="3">
        <v>2199.5</v>
      </c>
      <c r="F500" s="3">
        <v>2263.8999999999996</v>
      </c>
    </row>
    <row r="501" spans="2:6" x14ac:dyDescent="0.3">
      <c r="B501" s="3">
        <v>490</v>
      </c>
      <c r="C501" s="3">
        <v>64.95</v>
      </c>
      <c r="D501" s="3">
        <v>0</v>
      </c>
      <c r="E501" s="3">
        <v>2199.5</v>
      </c>
      <c r="F501" s="3">
        <v>2264.4500000000003</v>
      </c>
    </row>
    <row r="502" spans="2:6" x14ac:dyDescent="0.3">
      <c r="B502" s="3">
        <v>491</v>
      </c>
      <c r="C502" s="3">
        <v>59.250000000000007</v>
      </c>
      <c r="D502" s="3">
        <v>0</v>
      </c>
      <c r="E502" s="3">
        <v>2199.5</v>
      </c>
      <c r="F502" s="3">
        <v>2258.7499999999995</v>
      </c>
    </row>
    <row r="503" spans="2:6" x14ac:dyDescent="0.3">
      <c r="B503" s="3">
        <v>492</v>
      </c>
      <c r="C503" s="3">
        <v>55.550000000000004</v>
      </c>
      <c r="D503" s="3">
        <v>0</v>
      </c>
      <c r="E503" s="3">
        <v>1099.75</v>
      </c>
      <c r="F503" s="3">
        <v>1155.2999999999995</v>
      </c>
    </row>
    <row r="504" spans="2:6" x14ac:dyDescent="0.3">
      <c r="B504" s="3">
        <v>493</v>
      </c>
      <c r="C504" s="3">
        <v>59.000000000000014</v>
      </c>
      <c r="D504" s="3">
        <v>0</v>
      </c>
      <c r="E504" s="3">
        <v>2199.5</v>
      </c>
      <c r="F504" s="3">
        <v>2258.5</v>
      </c>
    </row>
    <row r="505" spans="2:6" x14ac:dyDescent="0.3">
      <c r="B505" s="3">
        <v>494</v>
      </c>
      <c r="C505" s="3">
        <v>60.199999999999989</v>
      </c>
      <c r="D505" s="3">
        <v>0</v>
      </c>
      <c r="E505" s="3">
        <v>2199.5</v>
      </c>
      <c r="F505" s="3">
        <v>2259.7000000000007</v>
      </c>
    </row>
    <row r="506" spans="2:6" x14ac:dyDescent="0.3">
      <c r="B506" s="3">
        <v>495</v>
      </c>
      <c r="C506" s="3">
        <v>64.550000000000011</v>
      </c>
      <c r="D506" s="3">
        <v>0</v>
      </c>
      <c r="E506" s="3">
        <v>2199.5</v>
      </c>
      <c r="F506" s="3">
        <v>2264.0500000000002</v>
      </c>
    </row>
    <row r="507" spans="2:6" x14ac:dyDescent="0.3">
      <c r="B507" s="3">
        <v>496</v>
      </c>
      <c r="C507" s="3">
        <v>58.600000000000016</v>
      </c>
      <c r="D507" s="3">
        <v>0</v>
      </c>
      <c r="E507" s="3">
        <v>2199.5</v>
      </c>
      <c r="F507" s="3">
        <v>2258.1</v>
      </c>
    </row>
    <row r="508" spans="2:6" x14ac:dyDescent="0.3">
      <c r="B508" s="3">
        <v>497</v>
      </c>
      <c r="C508" s="3">
        <v>60.099999999999994</v>
      </c>
      <c r="D508" s="3">
        <v>0</v>
      </c>
      <c r="E508" s="3">
        <v>2199.5</v>
      </c>
      <c r="F508" s="3">
        <v>2259.6000000000004</v>
      </c>
    </row>
    <row r="509" spans="2:6" x14ac:dyDescent="0.3">
      <c r="B509" s="3">
        <v>498</v>
      </c>
      <c r="C509" s="3">
        <v>57.9</v>
      </c>
      <c r="D509" s="3">
        <v>0</v>
      </c>
      <c r="E509" s="3">
        <v>2199.5</v>
      </c>
      <c r="F509" s="3">
        <v>2257.3999999999996</v>
      </c>
    </row>
    <row r="510" spans="2:6" x14ac:dyDescent="0.3">
      <c r="B510" s="3">
        <v>499</v>
      </c>
      <c r="C510" s="3">
        <v>62.85</v>
      </c>
      <c r="D510" s="3">
        <v>0</v>
      </c>
      <c r="E510" s="3">
        <v>1099.75</v>
      </c>
      <c r="F510" s="3">
        <v>1162.5999999999999</v>
      </c>
    </row>
    <row r="511" spans="2:6" x14ac:dyDescent="0.3">
      <c r="B511" s="3">
        <v>500</v>
      </c>
      <c r="C511" s="3">
        <v>64.599999999999994</v>
      </c>
      <c r="D511" s="3">
        <v>0</v>
      </c>
      <c r="E511" s="3">
        <v>2199.5</v>
      </c>
      <c r="F511" s="3">
        <v>2264.1000000000004</v>
      </c>
    </row>
    <row r="512" spans="2:6" x14ac:dyDescent="0.3">
      <c r="B512" s="3">
        <v>501</v>
      </c>
      <c r="C512" s="3">
        <v>63.750000000000007</v>
      </c>
      <c r="D512" s="3">
        <v>0</v>
      </c>
      <c r="E512" s="3">
        <v>2199.5</v>
      </c>
      <c r="F512" s="3">
        <v>2263.2500000000005</v>
      </c>
    </row>
    <row r="513" spans="2:6" x14ac:dyDescent="0.3">
      <c r="B513" s="3">
        <v>502</v>
      </c>
      <c r="C513" s="3">
        <v>62.899999999999991</v>
      </c>
      <c r="D513" s="3">
        <v>0</v>
      </c>
      <c r="E513" s="3">
        <v>2199.5</v>
      </c>
      <c r="F513" s="3">
        <v>2262.4</v>
      </c>
    </row>
    <row r="514" spans="2:6" x14ac:dyDescent="0.3">
      <c r="B514" s="3">
        <v>503</v>
      </c>
      <c r="C514" s="3">
        <v>61.900000000000013</v>
      </c>
      <c r="D514" s="3">
        <v>0</v>
      </c>
      <c r="E514" s="3">
        <v>2199.5</v>
      </c>
      <c r="F514" s="3">
        <v>2261.3999999999996</v>
      </c>
    </row>
    <row r="515" spans="2:6" x14ac:dyDescent="0.3">
      <c r="B515" s="3">
        <v>504</v>
      </c>
      <c r="C515" s="3">
        <v>64.350000000000009</v>
      </c>
      <c r="D515" s="3">
        <v>0</v>
      </c>
      <c r="E515" s="3">
        <v>2199.5</v>
      </c>
      <c r="F515" s="3">
        <v>2263.8500000000008</v>
      </c>
    </row>
    <row r="516" spans="2:6" x14ac:dyDescent="0.3">
      <c r="B516" s="3">
        <v>505</v>
      </c>
      <c r="C516" s="3">
        <v>66.049999999999983</v>
      </c>
      <c r="D516" s="3">
        <v>0</v>
      </c>
      <c r="E516" s="3">
        <v>1099.75</v>
      </c>
      <c r="F516" s="3">
        <v>1165.8000000000002</v>
      </c>
    </row>
    <row r="517" spans="2:6" x14ac:dyDescent="0.3">
      <c r="B517" s="3">
        <v>506</v>
      </c>
      <c r="C517" s="3">
        <v>61.6</v>
      </c>
      <c r="D517" s="3">
        <v>0</v>
      </c>
      <c r="E517" s="3">
        <v>2199.5</v>
      </c>
      <c r="F517" s="3">
        <v>2261.1000000000008</v>
      </c>
    </row>
    <row r="518" spans="2:6" x14ac:dyDescent="0.3">
      <c r="B518" s="3">
        <v>507</v>
      </c>
      <c r="C518" s="3">
        <v>65.100000000000009</v>
      </c>
      <c r="D518" s="3">
        <v>0</v>
      </c>
      <c r="E518" s="3">
        <v>1099.75</v>
      </c>
      <c r="F518" s="3">
        <v>1164.8499999999997</v>
      </c>
    </row>
    <row r="519" spans="2:6" x14ac:dyDescent="0.3">
      <c r="B519" s="3">
        <v>508</v>
      </c>
      <c r="C519" s="3">
        <v>63.699999999999982</v>
      </c>
      <c r="D519" s="3">
        <v>0</v>
      </c>
      <c r="E519" s="3">
        <v>2199.5</v>
      </c>
      <c r="F519" s="3">
        <v>2263.2000000000012</v>
      </c>
    </row>
    <row r="520" spans="2:6" x14ac:dyDescent="0.3">
      <c r="B520" s="3">
        <v>509</v>
      </c>
      <c r="C520" s="3">
        <v>60.65</v>
      </c>
      <c r="D520" s="3">
        <v>0</v>
      </c>
      <c r="E520" s="3">
        <v>2199.5</v>
      </c>
      <c r="F520" s="3">
        <v>2260.1499999999996</v>
      </c>
    </row>
    <row r="521" spans="2:6" x14ac:dyDescent="0.3">
      <c r="B521" s="3">
        <v>510</v>
      </c>
      <c r="C521" s="3">
        <v>61.749999999999993</v>
      </c>
      <c r="D521" s="3">
        <v>0</v>
      </c>
      <c r="E521" s="3">
        <v>2199.5</v>
      </c>
      <c r="F521" s="3">
        <v>2261.2500000000005</v>
      </c>
    </row>
    <row r="522" spans="2:6" x14ac:dyDescent="0.3">
      <c r="B522" s="3">
        <v>511</v>
      </c>
      <c r="C522" s="3">
        <v>63.75</v>
      </c>
      <c r="D522" s="3">
        <v>0</v>
      </c>
      <c r="E522" s="3">
        <v>2199.5</v>
      </c>
      <c r="F522" s="3">
        <v>2263.25</v>
      </c>
    </row>
    <row r="523" spans="2:6" x14ac:dyDescent="0.3">
      <c r="B523" s="3">
        <v>512</v>
      </c>
      <c r="C523" s="3">
        <v>58.899999999999991</v>
      </c>
      <c r="D523" s="3">
        <v>0</v>
      </c>
      <c r="E523" s="3">
        <v>2199.5</v>
      </c>
      <c r="F523" s="3">
        <v>2258.4</v>
      </c>
    </row>
    <row r="524" spans="2:6" x14ac:dyDescent="0.3">
      <c r="B524" s="3">
        <v>513</v>
      </c>
      <c r="C524" s="3">
        <v>58.300000000000011</v>
      </c>
      <c r="D524" s="3">
        <v>0</v>
      </c>
      <c r="E524" s="3">
        <v>2199.5</v>
      </c>
      <c r="F524" s="3">
        <v>2257.7999999999997</v>
      </c>
    </row>
    <row r="525" spans="2:6" x14ac:dyDescent="0.3">
      <c r="B525" s="3">
        <v>514</v>
      </c>
      <c r="C525" s="3">
        <v>61.349999999999987</v>
      </c>
      <c r="D525" s="3">
        <v>0</v>
      </c>
      <c r="E525" s="3">
        <v>2199.5</v>
      </c>
      <c r="F525" s="3">
        <v>2260.8500000000004</v>
      </c>
    </row>
    <row r="526" spans="2:6" x14ac:dyDescent="0.3">
      <c r="B526" s="3">
        <v>515</v>
      </c>
      <c r="C526" s="3">
        <v>59.6</v>
      </c>
      <c r="D526" s="3">
        <v>0</v>
      </c>
      <c r="E526" s="3">
        <v>2199.5</v>
      </c>
      <c r="F526" s="3">
        <v>2259.1000000000004</v>
      </c>
    </row>
    <row r="527" spans="2:6" x14ac:dyDescent="0.3">
      <c r="B527" s="3">
        <v>516</v>
      </c>
      <c r="C527" s="3">
        <v>64.3</v>
      </c>
      <c r="D527" s="3">
        <v>0</v>
      </c>
      <c r="E527" s="3">
        <v>2199.5</v>
      </c>
      <c r="F527" s="3">
        <v>2263.7999999999997</v>
      </c>
    </row>
    <row r="528" spans="2:6" x14ac:dyDescent="0.3">
      <c r="B528" s="3">
        <v>517</v>
      </c>
      <c r="C528" s="3">
        <v>64.3</v>
      </c>
      <c r="D528" s="3">
        <v>0</v>
      </c>
      <c r="E528" s="3">
        <v>2199.5</v>
      </c>
      <c r="F528" s="3">
        <v>2263.8000000000002</v>
      </c>
    </row>
    <row r="529" spans="2:6" x14ac:dyDescent="0.3">
      <c r="B529" s="3">
        <v>518</v>
      </c>
      <c r="C529" s="3">
        <v>56.900000000000006</v>
      </c>
      <c r="D529" s="3">
        <v>0</v>
      </c>
      <c r="E529" s="3">
        <v>2199.5</v>
      </c>
      <c r="F529" s="3">
        <v>2256.3999999999992</v>
      </c>
    </row>
    <row r="530" spans="2:6" x14ac:dyDescent="0.3">
      <c r="B530" s="3">
        <v>519</v>
      </c>
      <c r="C530" s="3">
        <v>62.699999999999982</v>
      </c>
      <c r="D530" s="3">
        <v>0</v>
      </c>
      <c r="E530" s="3">
        <v>2199.5</v>
      </c>
      <c r="F530" s="3">
        <v>2262.2000000000003</v>
      </c>
    </row>
    <row r="531" spans="2:6" x14ac:dyDescent="0.3">
      <c r="B531" s="3">
        <v>520</v>
      </c>
      <c r="C531" s="3">
        <v>60.749999999999993</v>
      </c>
      <c r="D531" s="3">
        <v>0</v>
      </c>
      <c r="E531" s="3">
        <v>2199.5</v>
      </c>
      <c r="F531" s="3">
        <v>2260.25</v>
      </c>
    </row>
    <row r="532" spans="2:6" x14ac:dyDescent="0.3">
      <c r="B532" s="3">
        <v>521</v>
      </c>
      <c r="C532" s="3">
        <v>59.900000000000006</v>
      </c>
      <c r="D532" s="3">
        <v>0</v>
      </c>
      <c r="E532" s="3">
        <v>2199.5</v>
      </c>
      <c r="F532" s="3">
        <v>2259.3999999999996</v>
      </c>
    </row>
    <row r="533" spans="2:6" x14ac:dyDescent="0.3">
      <c r="B533" s="3">
        <v>522</v>
      </c>
      <c r="C533" s="3">
        <v>61.250000000000014</v>
      </c>
      <c r="D533" s="3">
        <v>0</v>
      </c>
      <c r="E533" s="3">
        <v>2199.5</v>
      </c>
      <c r="F533" s="3">
        <v>2260.7499999999991</v>
      </c>
    </row>
    <row r="534" spans="2:6" x14ac:dyDescent="0.3">
      <c r="B534" s="3">
        <v>523</v>
      </c>
      <c r="C534" s="3">
        <v>58.700000000000017</v>
      </c>
      <c r="D534" s="3">
        <v>0</v>
      </c>
      <c r="E534" s="3">
        <v>2199.5</v>
      </c>
      <c r="F534" s="3">
        <v>2258.1999999999998</v>
      </c>
    </row>
    <row r="535" spans="2:6" x14ac:dyDescent="0.3">
      <c r="B535" s="3">
        <v>524</v>
      </c>
      <c r="C535" s="3">
        <v>60.099999999999994</v>
      </c>
      <c r="D535" s="3">
        <v>0</v>
      </c>
      <c r="E535" s="3">
        <v>2199.5</v>
      </c>
      <c r="F535" s="3">
        <v>2259.6000000000004</v>
      </c>
    </row>
    <row r="536" spans="2:6" x14ac:dyDescent="0.3">
      <c r="B536" s="3">
        <v>525</v>
      </c>
      <c r="C536" s="3">
        <v>60.600000000000023</v>
      </c>
      <c r="D536" s="3">
        <v>0</v>
      </c>
      <c r="E536" s="3">
        <v>2199.5</v>
      </c>
      <c r="F536" s="3">
        <v>2260.0999999999995</v>
      </c>
    </row>
    <row r="537" spans="2:6" x14ac:dyDescent="0.3">
      <c r="B537" s="3">
        <v>526</v>
      </c>
      <c r="C537" s="3">
        <v>64.149999999999991</v>
      </c>
      <c r="D537" s="3">
        <v>0</v>
      </c>
      <c r="E537" s="3">
        <v>2199.5</v>
      </c>
      <c r="F537" s="3">
        <v>2263.650000000001</v>
      </c>
    </row>
    <row r="538" spans="2:6" x14ac:dyDescent="0.3">
      <c r="B538" s="3">
        <v>527</v>
      </c>
      <c r="C538" s="3">
        <v>64.500000000000014</v>
      </c>
      <c r="D538" s="3">
        <v>0</v>
      </c>
      <c r="E538" s="3">
        <v>2199.5</v>
      </c>
      <c r="F538" s="3">
        <v>2264</v>
      </c>
    </row>
    <row r="539" spans="2:6" x14ac:dyDescent="0.3">
      <c r="B539" s="3">
        <v>528</v>
      </c>
      <c r="C539" s="3">
        <v>63.850000000000016</v>
      </c>
      <c r="D539" s="3">
        <v>0</v>
      </c>
      <c r="E539" s="3">
        <v>2199.5</v>
      </c>
      <c r="F539" s="3">
        <v>2263.349999999999</v>
      </c>
    </row>
    <row r="540" spans="2:6" x14ac:dyDescent="0.3">
      <c r="B540" s="3">
        <v>529</v>
      </c>
      <c r="C540" s="3">
        <v>60.5</v>
      </c>
      <c r="D540" s="3">
        <v>0</v>
      </c>
      <c r="E540" s="3">
        <v>2199.5</v>
      </c>
      <c r="F540" s="3">
        <v>2260</v>
      </c>
    </row>
    <row r="541" spans="2:6" x14ac:dyDescent="0.3">
      <c r="B541" s="3">
        <v>530</v>
      </c>
      <c r="C541" s="3">
        <v>59.8</v>
      </c>
      <c r="D541" s="3">
        <v>0</v>
      </c>
      <c r="E541" s="3">
        <v>2199.5</v>
      </c>
      <c r="F541" s="3">
        <v>2259.2999999999997</v>
      </c>
    </row>
    <row r="542" spans="2:6" x14ac:dyDescent="0.3">
      <c r="B542" s="3">
        <v>531</v>
      </c>
      <c r="C542" s="3">
        <v>60.750000000000014</v>
      </c>
      <c r="D542" s="3">
        <v>0</v>
      </c>
      <c r="E542" s="3">
        <v>2199.5</v>
      </c>
      <c r="F542" s="3">
        <v>2260.2499999999995</v>
      </c>
    </row>
    <row r="543" spans="2:6" x14ac:dyDescent="0.3">
      <c r="B543" s="3">
        <v>532</v>
      </c>
      <c r="C543" s="3">
        <v>64.149999999999991</v>
      </c>
      <c r="D543" s="3">
        <v>0</v>
      </c>
      <c r="E543" s="3">
        <v>2199.5</v>
      </c>
      <c r="F543" s="3">
        <v>2263.6500000000005</v>
      </c>
    </row>
    <row r="544" spans="2:6" x14ac:dyDescent="0.3">
      <c r="B544" s="3">
        <v>533</v>
      </c>
      <c r="C544" s="3">
        <v>58.85</v>
      </c>
      <c r="D544" s="3">
        <v>0</v>
      </c>
      <c r="E544" s="3">
        <v>2199.5</v>
      </c>
      <c r="F544" s="3">
        <v>2258.35</v>
      </c>
    </row>
    <row r="545" spans="2:6" x14ac:dyDescent="0.3">
      <c r="B545" s="3">
        <v>534</v>
      </c>
      <c r="C545" s="3">
        <v>62.250000000000007</v>
      </c>
      <c r="D545" s="3">
        <v>0</v>
      </c>
      <c r="E545" s="3">
        <v>2199.5</v>
      </c>
      <c r="F545" s="3">
        <v>2261.7499999999995</v>
      </c>
    </row>
    <row r="546" spans="2:6" x14ac:dyDescent="0.3">
      <c r="B546" s="3">
        <v>535</v>
      </c>
      <c r="C546" s="3">
        <v>61.65000000000002</v>
      </c>
      <c r="D546" s="3">
        <v>0</v>
      </c>
      <c r="E546" s="3">
        <v>2199.5</v>
      </c>
      <c r="F546" s="3">
        <v>2261.1499999999996</v>
      </c>
    </row>
    <row r="547" spans="2:6" x14ac:dyDescent="0.3">
      <c r="B547" s="3">
        <v>536</v>
      </c>
      <c r="C547" s="3">
        <v>58.35</v>
      </c>
      <c r="D547" s="3">
        <v>0</v>
      </c>
      <c r="E547" s="3">
        <v>2199.5</v>
      </c>
      <c r="F547" s="3">
        <v>2257.85</v>
      </c>
    </row>
    <row r="548" spans="2:6" x14ac:dyDescent="0.3">
      <c r="B548" s="3">
        <v>537</v>
      </c>
      <c r="C548" s="3">
        <v>63.249999999999986</v>
      </c>
      <c r="D548" s="3">
        <v>0</v>
      </c>
      <c r="E548" s="3">
        <v>2199.5</v>
      </c>
      <c r="F548" s="3">
        <v>2262.75</v>
      </c>
    </row>
    <row r="549" spans="2:6" x14ac:dyDescent="0.3">
      <c r="B549" s="3">
        <v>538</v>
      </c>
      <c r="C549" s="3">
        <v>55.800000000000011</v>
      </c>
      <c r="D549" s="3">
        <v>0</v>
      </c>
      <c r="E549" s="3">
        <v>2199.5</v>
      </c>
      <c r="F549" s="3">
        <v>2255.3000000000002</v>
      </c>
    </row>
    <row r="550" spans="2:6" x14ac:dyDescent="0.3">
      <c r="B550" s="3">
        <v>539</v>
      </c>
      <c r="C550" s="3">
        <v>68.5</v>
      </c>
      <c r="D550" s="3">
        <v>0</v>
      </c>
      <c r="E550" s="3">
        <v>2199.5</v>
      </c>
      <c r="F550" s="3">
        <v>2267.9999999999995</v>
      </c>
    </row>
    <row r="551" spans="2:6" x14ac:dyDescent="0.3">
      <c r="B551" s="3">
        <v>540</v>
      </c>
      <c r="C551" s="3">
        <v>63.600000000000009</v>
      </c>
      <c r="D551" s="3">
        <v>0</v>
      </c>
      <c r="E551" s="3">
        <v>2199.5</v>
      </c>
      <c r="F551" s="3">
        <v>2263.1</v>
      </c>
    </row>
    <row r="552" spans="2:6" x14ac:dyDescent="0.3">
      <c r="B552" s="3">
        <v>541</v>
      </c>
      <c r="C552" s="3">
        <v>61.400000000000006</v>
      </c>
      <c r="D552" s="3">
        <v>0</v>
      </c>
      <c r="E552" s="3">
        <v>1099.75</v>
      </c>
      <c r="F552" s="3">
        <v>1161.1500000000008</v>
      </c>
    </row>
    <row r="553" spans="2:6" x14ac:dyDescent="0.3">
      <c r="B553" s="3">
        <v>542</v>
      </c>
      <c r="C553" s="3">
        <v>64.45</v>
      </c>
      <c r="D553" s="3">
        <v>0</v>
      </c>
      <c r="E553" s="3">
        <v>2199.5</v>
      </c>
      <c r="F553" s="3">
        <v>2263.9500000000003</v>
      </c>
    </row>
    <row r="554" spans="2:6" x14ac:dyDescent="0.3">
      <c r="B554" s="3">
        <v>543</v>
      </c>
      <c r="C554" s="3">
        <v>63.099999999999987</v>
      </c>
      <c r="D554" s="3">
        <v>0</v>
      </c>
      <c r="E554" s="3">
        <v>2199.5</v>
      </c>
      <c r="F554" s="3">
        <v>2262.6000000000004</v>
      </c>
    </row>
    <row r="555" spans="2:6" x14ac:dyDescent="0.3">
      <c r="B555" s="3">
        <v>544</v>
      </c>
      <c r="C555" s="3">
        <v>61.099999999999994</v>
      </c>
      <c r="D555" s="3">
        <v>0</v>
      </c>
      <c r="E555" s="3">
        <v>2199.5</v>
      </c>
      <c r="F555" s="3">
        <v>2260.6000000000004</v>
      </c>
    </row>
    <row r="556" spans="2:6" x14ac:dyDescent="0.3">
      <c r="B556" s="3">
        <v>545</v>
      </c>
      <c r="C556" s="3">
        <v>59.1</v>
      </c>
      <c r="D556" s="3">
        <v>0</v>
      </c>
      <c r="E556" s="3">
        <v>2199.5</v>
      </c>
      <c r="F556" s="3">
        <v>2258.6000000000004</v>
      </c>
    </row>
    <row r="557" spans="2:6" x14ac:dyDescent="0.3">
      <c r="B557" s="3">
        <v>546</v>
      </c>
      <c r="C557" s="3">
        <v>64.5</v>
      </c>
      <c r="D557" s="3">
        <v>0</v>
      </c>
      <c r="E557" s="3">
        <v>2199.5</v>
      </c>
      <c r="F557" s="3">
        <v>2263.9999999999995</v>
      </c>
    </row>
    <row r="558" spans="2:6" x14ac:dyDescent="0.3">
      <c r="B558" s="3">
        <v>547</v>
      </c>
      <c r="C558" s="3">
        <v>55.899999999999991</v>
      </c>
      <c r="D558" s="3">
        <v>0</v>
      </c>
      <c r="E558" s="3">
        <v>2199.5</v>
      </c>
      <c r="F558" s="3">
        <v>2255.4000000000005</v>
      </c>
    </row>
    <row r="559" spans="2:6" x14ac:dyDescent="0.3">
      <c r="B559" s="3">
        <v>548</v>
      </c>
      <c r="C559" s="3">
        <v>64.95</v>
      </c>
      <c r="D559" s="3">
        <v>0</v>
      </c>
      <c r="E559" s="3">
        <v>2199.5</v>
      </c>
      <c r="F559" s="3">
        <v>2264.4499999999994</v>
      </c>
    </row>
    <row r="560" spans="2:6" x14ac:dyDescent="0.3">
      <c r="B560" s="3">
        <v>549</v>
      </c>
      <c r="C560" s="3">
        <v>62.699999999999996</v>
      </c>
      <c r="D560" s="3">
        <v>0</v>
      </c>
      <c r="E560" s="3">
        <v>2199.5</v>
      </c>
      <c r="F560" s="3">
        <v>2262.2000000000007</v>
      </c>
    </row>
    <row r="561" spans="2:6" x14ac:dyDescent="0.3">
      <c r="B561" s="3">
        <v>550</v>
      </c>
      <c r="C561" s="3">
        <v>63.2</v>
      </c>
      <c r="D561" s="3">
        <v>0</v>
      </c>
      <c r="E561" s="3">
        <v>2199.5</v>
      </c>
      <c r="F561" s="3">
        <v>2262.7000000000007</v>
      </c>
    </row>
    <row r="562" spans="2:6" x14ac:dyDescent="0.3">
      <c r="B562" s="3">
        <v>551</v>
      </c>
      <c r="C562" s="3">
        <v>59.400000000000006</v>
      </c>
      <c r="D562" s="3">
        <v>0</v>
      </c>
      <c r="E562" s="3">
        <v>2199.5</v>
      </c>
      <c r="F562" s="3">
        <v>2258.9000000000005</v>
      </c>
    </row>
    <row r="563" spans="2:6" x14ac:dyDescent="0.3">
      <c r="B563" s="3">
        <v>552</v>
      </c>
      <c r="C563" s="3">
        <v>61.699999999999989</v>
      </c>
      <c r="D563" s="3">
        <v>0</v>
      </c>
      <c r="E563" s="3">
        <v>2199.5</v>
      </c>
      <c r="F563" s="3">
        <v>2261.2000000000012</v>
      </c>
    </row>
    <row r="564" spans="2:6" x14ac:dyDescent="0.3">
      <c r="B564" s="3">
        <v>553</v>
      </c>
      <c r="C564" s="3">
        <v>65.55</v>
      </c>
      <c r="D564" s="3">
        <v>0</v>
      </c>
      <c r="E564" s="3">
        <v>2199.5</v>
      </c>
      <c r="F564" s="3">
        <v>2265.0499999999993</v>
      </c>
    </row>
    <row r="565" spans="2:6" x14ac:dyDescent="0.3">
      <c r="B565" s="3">
        <v>554</v>
      </c>
      <c r="C565" s="3">
        <v>61.699999999999996</v>
      </c>
      <c r="D565" s="3">
        <v>0</v>
      </c>
      <c r="E565" s="3">
        <v>2199.5</v>
      </c>
      <c r="F565" s="3">
        <v>2261.2000000000003</v>
      </c>
    </row>
    <row r="566" spans="2:6" x14ac:dyDescent="0.3">
      <c r="B566" s="3">
        <v>555</v>
      </c>
      <c r="C566" s="3">
        <v>65.400000000000006</v>
      </c>
      <c r="D566" s="3">
        <v>0</v>
      </c>
      <c r="E566" s="3">
        <v>2199.5</v>
      </c>
      <c r="F566" s="3">
        <v>2264.9000000000005</v>
      </c>
    </row>
    <row r="567" spans="2:6" x14ac:dyDescent="0.3">
      <c r="B567" s="3">
        <v>556</v>
      </c>
      <c r="C567" s="3">
        <v>59.4</v>
      </c>
      <c r="D567" s="3">
        <v>0</v>
      </c>
      <c r="E567" s="3">
        <v>2199.5</v>
      </c>
      <c r="F567" s="3">
        <v>2258.8999999999992</v>
      </c>
    </row>
    <row r="568" spans="2:6" x14ac:dyDescent="0.3">
      <c r="B568" s="3">
        <v>557</v>
      </c>
      <c r="C568" s="3">
        <v>63.04999999999999</v>
      </c>
      <c r="D568" s="3">
        <v>0</v>
      </c>
      <c r="E568" s="3">
        <v>2199.5</v>
      </c>
      <c r="F568" s="3">
        <v>2262.5500000000002</v>
      </c>
    </row>
    <row r="569" spans="2:6" x14ac:dyDescent="0.3">
      <c r="B569" s="3">
        <v>558</v>
      </c>
      <c r="C569" s="3">
        <v>58.5</v>
      </c>
      <c r="D569" s="3">
        <v>0</v>
      </c>
      <c r="E569" s="3">
        <v>1099.75</v>
      </c>
      <c r="F569" s="3">
        <v>1158.2500000000002</v>
      </c>
    </row>
    <row r="570" spans="2:6" x14ac:dyDescent="0.3">
      <c r="B570" s="3">
        <v>559</v>
      </c>
      <c r="C570" s="3">
        <v>63.849999999999987</v>
      </c>
      <c r="D570" s="3">
        <v>0</v>
      </c>
      <c r="E570" s="3">
        <v>2199.5</v>
      </c>
      <c r="F570" s="3">
        <v>2263.35</v>
      </c>
    </row>
    <row r="571" spans="2:6" x14ac:dyDescent="0.3">
      <c r="B571" s="3">
        <v>560</v>
      </c>
      <c r="C571" s="3">
        <v>64.050000000000011</v>
      </c>
      <c r="D571" s="3">
        <v>0</v>
      </c>
      <c r="E571" s="3">
        <v>2199.5</v>
      </c>
      <c r="F571" s="3">
        <v>2263.5500000000006</v>
      </c>
    </row>
    <row r="572" spans="2:6" x14ac:dyDescent="0.3">
      <c r="B572" s="3">
        <v>561</v>
      </c>
      <c r="C572" s="3">
        <v>65.5</v>
      </c>
      <c r="D572" s="3">
        <v>0</v>
      </c>
      <c r="E572" s="3">
        <v>2199.5</v>
      </c>
      <c r="F572" s="3">
        <v>2265.0000000000005</v>
      </c>
    </row>
    <row r="573" spans="2:6" x14ac:dyDescent="0.3">
      <c r="B573" s="3">
        <v>562</v>
      </c>
      <c r="C573" s="3">
        <v>66.650000000000006</v>
      </c>
      <c r="D573" s="3">
        <v>0</v>
      </c>
      <c r="E573" s="3">
        <v>2199.5</v>
      </c>
      <c r="F573" s="3">
        <v>2266.1499999999992</v>
      </c>
    </row>
    <row r="574" spans="2:6" x14ac:dyDescent="0.3">
      <c r="B574" s="3">
        <v>563</v>
      </c>
      <c r="C574" s="3">
        <v>64.199999999999989</v>
      </c>
      <c r="D574" s="3">
        <v>0</v>
      </c>
      <c r="E574" s="3">
        <v>2199.5</v>
      </c>
      <c r="F574" s="3">
        <v>2263.7000000000012</v>
      </c>
    </row>
    <row r="575" spans="2:6" x14ac:dyDescent="0.3">
      <c r="B575" s="3">
        <v>564</v>
      </c>
      <c r="C575" s="3">
        <v>60.300000000000004</v>
      </c>
      <c r="D575" s="3">
        <v>0</v>
      </c>
      <c r="E575" s="3">
        <v>2199.5</v>
      </c>
      <c r="F575" s="3">
        <v>2259.7999999999997</v>
      </c>
    </row>
    <row r="576" spans="2:6" x14ac:dyDescent="0.3">
      <c r="B576" s="3">
        <v>565</v>
      </c>
      <c r="C576" s="3">
        <v>57.650000000000006</v>
      </c>
      <c r="D576" s="3">
        <v>0</v>
      </c>
      <c r="E576" s="3">
        <v>2199.5</v>
      </c>
      <c r="F576" s="3">
        <v>2257.15</v>
      </c>
    </row>
    <row r="577" spans="2:6" x14ac:dyDescent="0.3">
      <c r="B577" s="3">
        <v>566</v>
      </c>
      <c r="C577" s="3">
        <v>59.950000000000017</v>
      </c>
      <c r="D577" s="3">
        <v>0</v>
      </c>
      <c r="E577" s="3">
        <v>2199.5</v>
      </c>
      <c r="F577" s="3">
        <v>2259.4499999999994</v>
      </c>
    </row>
    <row r="578" spans="2:6" x14ac:dyDescent="0.3">
      <c r="B578" s="3">
        <v>567</v>
      </c>
      <c r="C578" s="3">
        <v>61.6</v>
      </c>
      <c r="D578" s="3">
        <v>0</v>
      </c>
      <c r="E578" s="3">
        <v>2199.5</v>
      </c>
      <c r="F578" s="3">
        <v>2261.1000000000004</v>
      </c>
    </row>
    <row r="579" spans="2:6" x14ac:dyDescent="0.3">
      <c r="B579" s="3">
        <v>568</v>
      </c>
      <c r="C579" s="3">
        <v>62.800000000000011</v>
      </c>
      <c r="D579" s="3">
        <v>0</v>
      </c>
      <c r="E579" s="3">
        <v>2199.5</v>
      </c>
      <c r="F579" s="3">
        <v>2262.2999999999993</v>
      </c>
    </row>
    <row r="580" spans="2:6" x14ac:dyDescent="0.3">
      <c r="B580" s="3">
        <v>569</v>
      </c>
      <c r="C580" s="3">
        <v>58.15</v>
      </c>
      <c r="D580" s="3">
        <v>0</v>
      </c>
      <c r="E580" s="3">
        <v>1099.75</v>
      </c>
      <c r="F580" s="3">
        <v>1157.9000000000001</v>
      </c>
    </row>
    <row r="581" spans="2:6" x14ac:dyDescent="0.3">
      <c r="B581" s="3">
        <v>570</v>
      </c>
      <c r="C581" s="3">
        <v>61.250000000000021</v>
      </c>
      <c r="D581" s="3">
        <v>0</v>
      </c>
      <c r="E581" s="3">
        <v>2199.5</v>
      </c>
      <c r="F581" s="3">
        <v>2260.7499999999991</v>
      </c>
    </row>
    <row r="582" spans="2:6" x14ac:dyDescent="0.3">
      <c r="B582" s="3">
        <v>571</v>
      </c>
      <c r="C582" s="3">
        <v>65.800000000000011</v>
      </c>
      <c r="D582" s="3">
        <v>0</v>
      </c>
      <c r="E582" s="3">
        <v>2199.5</v>
      </c>
      <c r="F582" s="3">
        <v>2265.3000000000002</v>
      </c>
    </row>
    <row r="583" spans="2:6" x14ac:dyDescent="0.3">
      <c r="B583" s="3">
        <v>572</v>
      </c>
      <c r="C583" s="3">
        <v>62.84999999999998</v>
      </c>
      <c r="D583" s="3">
        <v>0</v>
      </c>
      <c r="E583" s="3">
        <v>2199.5</v>
      </c>
      <c r="F583" s="3">
        <v>2262.3500000000008</v>
      </c>
    </row>
    <row r="584" spans="2:6" x14ac:dyDescent="0.3">
      <c r="B584" s="3">
        <v>573</v>
      </c>
      <c r="C584" s="3">
        <v>65.500000000000014</v>
      </c>
      <c r="D584" s="3">
        <v>0</v>
      </c>
      <c r="E584" s="3">
        <v>2199.5</v>
      </c>
      <c r="F584" s="3">
        <v>2265.0000000000005</v>
      </c>
    </row>
    <row r="585" spans="2:6" x14ac:dyDescent="0.3">
      <c r="B585" s="3">
        <v>574</v>
      </c>
      <c r="C585" s="3">
        <v>67.000000000000014</v>
      </c>
      <c r="D585" s="3">
        <v>0</v>
      </c>
      <c r="E585" s="3">
        <v>2199.5</v>
      </c>
      <c r="F585" s="3">
        <v>2266.5000000000005</v>
      </c>
    </row>
    <row r="586" spans="2:6" x14ac:dyDescent="0.3">
      <c r="B586" s="3">
        <v>575</v>
      </c>
      <c r="C586" s="3">
        <v>61.45000000000001</v>
      </c>
      <c r="D586" s="3">
        <v>0</v>
      </c>
      <c r="E586" s="3">
        <v>2199.5</v>
      </c>
      <c r="F586" s="3">
        <v>2260.9499999999998</v>
      </c>
    </row>
    <row r="587" spans="2:6" x14ac:dyDescent="0.3">
      <c r="B587" s="3">
        <v>576</v>
      </c>
      <c r="C587" s="3">
        <v>61.800000000000011</v>
      </c>
      <c r="D587" s="3">
        <v>0</v>
      </c>
      <c r="E587" s="3">
        <v>2199.5</v>
      </c>
      <c r="F587" s="3">
        <v>2261.2999999999997</v>
      </c>
    </row>
    <row r="588" spans="2:6" x14ac:dyDescent="0.3">
      <c r="B588" s="3">
        <v>577</v>
      </c>
      <c r="C588" s="3">
        <v>60.550000000000004</v>
      </c>
      <c r="D588" s="3">
        <v>0</v>
      </c>
      <c r="E588" s="3">
        <v>2199.5</v>
      </c>
      <c r="F588" s="3">
        <v>2260.0500000000002</v>
      </c>
    </row>
    <row r="589" spans="2:6" x14ac:dyDescent="0.3">
      <c r="B589" s="3">
        <v>578</v>
      </c>
      <c r="C589" s="3">
        <v>59.7</v>
      </c>
      <c r="D589" s="3">
        <v>0</v>
      </c>
      <c r="E589" s="3">
        <v>2199.5</v>
      </c>
      <c r="F589" s="3">
        <v>2259.1999999999994</v>
      </c>
    </row>
    <row r="590" spans="2:6" x14ac:dyDescent="0.3">
      <c r="B590" s="3">
        <v>579</v>
      </c>
      <c r="C590" s="3">
        <v>59.6</v>
      </c>
      <c r="D590" s="3">
        <v>0</v>
      </c>
      <c r="E590" s="3">
        <v>2199.5</v>
      </c>
      <c r="F590" s="3">
        <v>2259.1</v>
      </c>
    </row>
    <row r="591" spans="2:6" x14ac:dyDescent="0.3">
      <c r="B591" s="3">
        <v>580</v>
      </c>
      <c r="C591" s="3">
        <v>64.349999999999994</v>
      </c>
      <c r="D591" s="3">
        <v>0</v>
      </c>
      <c r="E591" s="3">
        <v>2199.5</v>
      </c>
      <c r="F591" s="3">
        <v>2263.8500000000004</v>
      </c>
    </row>
    <row r="592" spans="2:6" x14ac:dyDescent="0.3">
      <c r="B592" s="3">
        <v>581</v>
      </c>
      <c r="C592" s="3">
        <v>61.099999999999987</v>
      </c>
      <c r="D592" s="3">
        <v>0</v>
      </c>
      <c r="E592" s="3">
        <v>2199.5</v>
      </c>
      <c r="F592" s="3">
        <v>2260.6000000000008</v>
      </c>
    </row>
    <row r="593" spans="2:6" x14ac:dyDescent="0.3">
      <c r="B593" s="3">
        <v>582</v>
      </c>
      <c r="C593" s="3">
        <v>64.2</v>
      </c>
      <c r="D593" s="3">
        <v>0</v>
      </c>
      <c r="E593" s="3">
        <v>2199.5</v>
      </c>
      <c r="F593" s="3">
        <v>2263.6999999999998</v>
      </c>
    </row>
    <row r="594" spans="2:6" x14ac:dyDescent="0.3">
      <c r="B594" s="3">
        <v>583</v>
      </c>
      <c r="C594" s="3">
        <v>63.500000000000014</v>
      </c>
      <c r="D594" s="3">
        <v>0</v>
      </c>
      <c r="E594" s="3">
        <v>2199.5</v>
      </c>
      <c r="F594" s="3">
        <v>2263</v>
      </c>
    </row>
    <row r="595" spans="2:6" x14ac:dyDescent="0.3">
      <c r="B595" s="3">
        <v>584</v>
      </c>
      <c r="C595" s="3">
        <v>64.75</v>
      </c>
      <c r="D595" s="3">
        <v>0</v>
      </c>
      <c r="E595" s="3">
        <v>2199.5</v>
      </c>
      <c r="F595" s="3">
        <v>2264.2500000000009</v>
      </c>
    </row>
    <row r="596" spans="2:6" x14ac:dyDescent="0.3">
      <c r="B596" s="3">
        <v>585</v>
      </c>
      <c r="C596" s="3">
        <v>65.5</v>
      </c>
      <c r="D596" s="3">
        <v>0</v>
      </c>
      <c r="E596" s="3">
        <v>2199.5</v>
      </c>
      <c r="F596" s="3">
        <v>2265</v>
      </c>
    </row>
    <row r="597" spans="2:6" x14ac:dyDescent="0.3">
      <c r="B597" s="3">
        <v>586</v>
      </c>
      <c r="C597" s="3">
        <v>59.900000000000006</v>
      </c>
      <c r="D597" s="3">
        <v>0</v>
      </c>
      <c r="E597" s="3">
        <v>2199.5</v>
      </c>
      <c r="F597" s="3">
        <v>2259.3999999999996</v>
      </c>
    </row>
    <row r="598" spans="2:6" x14ac:dyDescent="0.3">
      <c r="B598" s="3">
        <v>587</v>
      </c>
      <c r="C598" s="3">
        <v>61.6</v>
      </c>
      <c r="D598" s="3">
        <v>0</v>
      </c>
      <c r="E598" s="3">
        <v>2199.5</v>
      </c>
      <c r="F598" s="3">
        <v>2261.1</v>
      </c>
    </row>
    <row r="599" spans="2:6" x14ac:dyDescent="0.3">
      <c r="B599" s="3">
        <v>588</v>
      </c>
      <c r="C599" s="3">
        <v>57.999999999999993</v>
      </c>
      <c r="D599" s="3">
        <v>0</v>
      </c>
      <c r="E599" s="3">
        <v>1099.75</v>
      </c>
      <c r="F599" s="3">
        <v>1157.75</v>
      </c>
    </row>
    <row r="600" spans="2:6" x14ac:dyDescent="0.3">
      <c r="B600" s="3">
        <v>589</v>
      </c>
      <c r="C600" s="3">
        <v>64.45</v>
      </c>
      <c r="D600" s="3">
        <v>0</v>
      </c>
      <c r="E600" s="3">
        <v>2199.5</v>
      </c>
      <c r="F600" s="3">
        <v>2263.9499999999994</v>
      </c>
    </row>
    <row r="601" spans="2:6" x14ac:dyDescent="0.3">
      <c r="B601" s="3">
        <v>590</v>
      </c>
      <c r="C601" s="3">
        <v>67.45</v>
      </c>
      <c r="D601" s="3">
        <v>0</v>
      </c>
      <c r="E601" s="3">
        <v>2199.5</v>
      </c>
      <c r="F601" s="3">
        <v>2266.9499999999998</v>
      </c>
    </row>
    <row r="602" spans="2:6" x14ac:dyDescent="0.3">
      <c r="B602" s="3">
        <v>591</v>
      </c>
      <c r="C602" s="3">
        <v>64.000000000000014</v>
      </c>
      <c r="D602" s="3">
        <v>0</v>
      </c>
      <c r="E602" s="3">
        <v>2199.5</v>
      </c>
      <c r="F602" s="3">
        <v>2263.5</v>
      </c>
    </row>
    <row r="603" spans="2:6" x14ac:dyDescent="0.3">
      <c r="B603" s="3">
        <v>592</v>
      </c>
      <c r="C603" s="3">
        <v>60.500000000000007</v>
      </c>
      <c r="D603" s="3">
        <v>0</v>
      </c>
      <c r="E603" s="3">
        <v>2199.5</v>
      </c>
      <c r="F603" s="3">
        <v>2259.9999999999991</v>
      </c>
    </row>
    <row r="604" spans="2:6" x14ac:dyDescent="0.3">
      <c r="B604" s="3">
        <v>593</v>
      </c>
      <c r="C604" s="3">
        <v>64.100000000000009</v>
      </c>
      <c r="D604" s="3">
        <v>0</v>
      </c>
      <c r="E604" s="3">
        <v>2199.5</v>
      </c>
      <c r="F604" s="3">
        <v>2263.6000000000004</v>
      </c>
    </row>
    <row r="605" spans="2:6" x14ac:dyDescent="0.3">
      <c r="B605" s="3">
        <v>594</v>
      </c>
      <c r="C605" s="3">
        <v>54.54999999999999</v>
      </c>
      <c r="D605" s="3">
        <v>0</v>
      </c>
      <c r="E605" s="3">
        <v>2199.5</v>
      </c>
      <c r="F605" s="3">
        <v>2254.0499999999997</v>
      </c>
    </row>
    <row r="606" spans="2:6" x14ac:dyDescent="0.3">
      <c r="B606" s="3">
        <v>595</v>
      </c>
      <c r="C606" s="3">
        <v>63</v>
      </c>
      <c r="D606" s="3">
        <v>0</v>
      </c>
      <c r="E606" s="3">
        <v>2199.5</v>
      </c>
      <c r="F606" s="3">
        <v>2262.5</v>
      </c>
    </row>
    <row r="607" spans="2:6" x14ac:dyDescent="0.3">
      <c r="B607" s="3">
        <v>596</v>
      </c>
      <c r="C607" s="3">
        <v>63.500000000000007</v>
      </c>
      <c r="D607" s="3">
        <v>0</v>
      </c>
      <c r="E607" s="3">
        <v>2199.5</v>
      </c>
      <c r="F607" s="3">
        <v>2263.0000000000005</v>
      </c>
    </row>
    <row r="608" spans="2:6" x14ac:dyDescent="0.3">
      <c r="B608" s="3">
        <v>597</v>
      </c>
      <c r="C608" s="3">
        <v>57.4</v>
      </c>
      <c r="D608" s="3">
        <v>0</v>
      </c>
      <c r="E608" s="3">
        <v>2199.5</v>
      </c>
      <c r="F608" s="3">
        <v>2256.9000000000005</v>
      </c>
    </row>
    <row r="609" spans="2:6" x14ac:dyDescent="0.3">
      <c r="B609" s="3">
        <v>598</v>
      </c>
      <c r="C609" s="3">
        <v>64.55</v>
      </c>
      <c r="D609" s="3">
        <v>0</v>
      </c>
      <c r="E609" s="3">
        <v>2199.5</v>
      </c>
      <c r="F609" s="3">
        <v>2264.0500000000002</v>
      </c>
    </row>
    <row r="610" spans="2:6" x14ac:dyDescent="0.3">
      <c r="B610" s="3">
        <v>599</v>
      </c>
      <c r="C610" s="3">
        <v>65.149999999999991</v>
      </c>
      <c r="D610" s="3">
        <v>0</v>
      </c>
      <c r="E610" s="3">
        <v>2199.5</v>
      </c>
      <c r="F610" s="3">
        <v>2264.6499999999996</v>
      </c>
    </row>
    <row r="611" spans="2:6" x14ac:dyDescent="0.3">
      <c r="B611" s="3">
        <v>600</v>
      </c>
      <c r="C611" s="3">
        <v>58.449999999999996</v>
      </c>
      <c r="D611" s="3">
        <v>0</v>
      </c>
      <c r="E611" s="3">
        <v>2199.5</v>
      </c>
      <c r="F611" s="3">
        <v>2257.9499999999998</v>
      </c>
    </row>
    <row r="612" spans="2:6" x14ac:dyDescent="0.3">
      <c r="B612" s="3">
        <v>601</v>
      </c>
      <c r="C612" s="3">
        <v>66.5</v>
      </c>
      <c r="D612" s="3">
        <v>0</v>
      </c>
      <c r="E612" s="3">
        <v>2199.5</v>
      </c>
      <c r="F612" s="3">
        <v>2266.0000000000009</v>
      </c>
    </row>
    <row r="613" spans="2:6" x14ac:dyDescent="0.3">
      <c r="B613" s="3">
        <v>602</v>
      </c>
      <c r="C613" s="3">
        <v>63.899999999999991</v>
      </c>
      <c r="D613" s="3">
        <v>0</v>
      </c>
      <c r="E613" s="3">
        <v>2199.5</v>
      </c>
      <c r="F613" s="3">
        <v>2263.4</v>
      </c>
    </row>
    <row r="614" spans="2:6" x14ac:dyDescent="0.3">
      <c r="B614" s="3">
        <v>603</v>
      </c>
      <c r="C614" s="3">
        <v>61.9</v>
      </c>
      <c r="D614" s="3">
        <v>0</v>
      </c>
      <c r="E614" s="3">
        <v>2199.5</v>
      </c>
      <c r="F614" s="3">
        <v>2261.3999999999996</v>
      </c>
    </row>
    <row r="615" spans="2:6" x14ac:dyDescent="0.3">
      <c r="B615" s="3">
        <v>604</v>
      </c>
      <c r="C615" s="3">
        <v>64.75</v>
      </c>
      <c r="D615" s="3">
        <v>0</v>
      </c>
      <c r="E615" s="3">
        <v>2199.5</v>
      </c>
      <c r="F615" s="3">
        <v>2264.2499999999995</v>
      </c>
    </row>
    <row r="616" spans="2:6" x14ac:dyDescent="0.3">
      <c r="B616" s="3">
        <v>605</v>
      </c>
      <c r="C616" s="3">
        <v>59.250000000000007</v>
      </c>
      <c r="D616" s="3">
        <v>0</v>
      </c>
      <c r="E616" s="3">
        <v>2199.5</v>
      </c>
      <c r="F616" s="3">
        <v>2258.7499999999991</v>
      </c>
    </row>
    <row r="617" spans="2:6" x14ac:dyDescent="0.3">
      <c r="B617" s="3">
        <v>606</v>
      </c>
      <c r="C617" s="3">
        <v>61.449999999999989</v>
      </c>
      <c r="D617" s="3">
        <v>0</v>
      </c>
      <c r="E617" s="3">
        <v>2199.5</v>
      </c>
      <c r="F617" s="3">
        <v>2260.9499999999998</v>
      </c>
    </row>
    <row r="618" spans="2:6" x14ac:dyDescent="0.3">
      <c r="B618" s="3">
        <v>607</v>
      </c>
      <c r="C618" s="3">
        <v>61.699999999999996</v>
      </c>
      <c r="D618" s="3">
        <v>0</v>
      </c>
      <c r="E618" s="3">
        <v>2199.5</v>
      </c>
      <c r="F618" s="3">
        <v>2261.1999999999998</v>
      </c>
    </row>
    <row r="619" spans="2:6" x14ac:dyDescent="0.3">
      <c r="B619" s="3">
        <v>608</v>
      </c>
      <c r="C619" s="3">
        <v>58.1</v>
      </c>
      <c r="D619" s="3">
        <v>0</v>
      </c>
      <c r="E619" s="3">
        <v>2199.5</v>
      </c>
      <c r="F619" s="3">
        <v>2257.5999999999995</v>
      </c>
    </row>
    <row r="620" spans="2:6" x14ac:dyDescent="0.3">
      <c r="B620" s="3">
        <v>609</v>
      </c>
      <c r="C620" s="3">
        <v>64.350000000000009</v>
      </c>
      <c r="D620" s="3">
        <v>0</v>
      </c>
      <c r="E620" s="3">
        <v>2199.5</v>
      </c>
      <c r="F620" s="3">
        <v>2263.85</v>
      </c>
    </row>
    <row r="621" spans="2:6" x14ac:dyDescent="0.3">
      <c r="B621" s="3">
        <v>610</v>
      </c>
      <c r="C621" s="3">
        <v>65</v>
      </c>
      <c r="D621" s="3">
        <v>0</v>
      </c>
      <c r="E621" s="3">
        <v>2199.5</v>
      </c>
      <c r="F621" s="3">
        <v>2264.5</v>
      </c>
    </row>
    <row r="622" spans="2:6" x14ac:dyDescent="0.3">
      <c r="B622" s="3">
        <v>611</v>
      </c>
      <c r="C622" s="3">
        <v>62.000000000000014</v>
      </c>
      <c r="D622" s="3">
        <v>0</v>
      </c>
      <c r="E622" s="3">
        <v>2199.5</v>
      </c>
      <c r="F622" s="3">
        <v>2261.5</v>
      </c>
    </row>
    <row r="623" spans="2:6" x14ac:dyDescent="0.3">
      <c r="B623" s="3">
        <v>612</v>
      </c>
      <c r="C623" s="3">
        <v>55.749999999999993</v>
      </c>
      <c r="D623" s="3">
        <v>0</v>
      </c>
      <c r="E623" s="3">
        <v>2199.5</v>
      </c>
      <c r="F623" s="3">
        <v>2255.25</v>
      </c>
    </row>
    <row r="624" spans="2:6" x14ac:dyDescent="0.3">
      <c r="B624" s="3">
        <v>613</v>
      </c>
      <c r="C624" s="3">
        <v>64.15000000000002</v>
      </c>
      <c r="D624" s="3">
        <v>0</v>
      </c>
      <c r="E624" s="3">
        <v>2199.5</v>
      </c>
      <c r="F624" s="3">
        <v>2263.65</v>
      </c>
    </row>
    <row r="625" spans="2:6" x14ac:dyDescent="0.3">
      <c r="B625" s="3">
        <v>614</v>
      </c>
      <c r="C625" s="3">
        <v>62.000000000000007</v>
      </c>
      <c r="D625" s="3">
        <v>0</v>
      </c>
      <c r="E625" s="3">
        <v>2199.5</v>
      </c>
      <c r="F625" s="3">
        <v>2261.4999999999995</v>
      </c>
    </row>
    <row r="626" spans="2:6" x14ac:dyDescent="0.3">
      <c r="B626" s="3">
        <v>615</v>
      </c>
      <c r="C626" s="3">
        <v>60.300000000000004</v>
      </c>
      <c r="D626" s="3">
        <v>0</v>
      </c>
      <c r="E626" s="3">
        <v>2199.5</v>
      </c>
      <c r="F626" s="3">
        <v>2259.8000000000002</v>
      </c>
    </row>
    <row r="627" spans="2:6" x14ac:dyDescent="0.3">
      <c r="B627" s="3">
        <v>616</v>
      </c>
      <c r="C627" s="3">
        <v>56.20000000000001</v>
      </c>
      <c r="D627" s="3">
        <v>0</v>
      </c>
      <c r="E627" s="3">
        <v>1099.75</v>
      </c>
      <c r="F627" s="3">
        <v>1155.95</v>
      </c>
    </row>
    <row r="628" spans="2:6" x14ac:dyDescent="0.3">
      <c r="B628" s="3">
        <v>617</v>
      </c>
      <c r="C628" s="3">
        <v>57.95000000000001</v>
      </c>
      <c r="D628" s="3">
        <v>0</v>
      </c>
      <c r="E628" s="3">
        <v>2199.5</v>
      </c>
      <c r="F628" s="3">
        <v>2257.4500000000003</v>
      </c>
    </row>
    <row r="629" spans="2:6" x14ac:dyDescent="0.3">
      <c r="B629" s="3">
        <v>618</v>
      </c>
      <c r="C629" s="3">
        <v>66.550000000000011</v>
      </c>
      <c r="D629" s="3">
        <v>0</v>
      </c>
      <c r="E629" s="3">
        <v>2199.5</v>
      </c>
      <c r="F629" s="3">
        <v>2266.0499999999997</v>
      </c>
    </row>
    <row r="630" spans="2:6" x14ac:dyDescent="0.3">
      <c r="B630" s="3">
        <v>619</v>
      </c>
      <c r="C630" s="3">
        <v>61.300000000000011</v>
      </c>
      <c r="D630" s="3">
        <v>0</v>
      </c>
      <c r="E630" s="3">
        <v>2199.5</v>
      </c>
      <c r="F630" s="3">
        <v>2260.7999999999988</v>
      </c>
    </row>
    <row r="631" spans="2:6" x14ac:dyDescent="0.3">
      <c r="B631" s="3">
        <v>620</v>
      </c>
      <c r="C631" s="3">
        <v>57.3</v>
      </c>
      <c r="D631" s="3">
        <v>0</v>
      </c>
      <c r="E631" s="3">
        <v>1099.75</v>
      </c>
      <c r="F631" s="3">
        <v>1157.0499999999997</v>
      </c>
    </row>
    <row r="632" spans="2:6" x14ac:dyDescent="0.3">
      <c r="B632" s="3">
        <v>621</v>
      </c>
      <c r="C632" s="3">
        <v>62.850000000000009</v>
      </c>
      <c r="D632" s="3">
        <v>0</v>
      </c>
      <c r="E632" s="3">
        <v>1099.75</v>
      </c>
      <c r="F632" s="3">
        <v>1162.5999999999999</v>
      </c>
    </row>
    <row r="633" spans="2:6" x14ac:dyDescent="0.3">
      <c r="B633" s="3">
        <v>622</v>
      </c>
      <c r="C633" s="3">
        <v>59.350000000000009</v>
      </c>
      <c r="D633" s="3">
        <v>0</v>
      </c>
      <c r="E633" s="3">
        <v>2199.5</v>
      </c>
      <c r="F633" s="3">
        <v>2258.8500000000004</v>
      </c>
    </row>
    <row r="634" spans="2:6" x14ac:dyDescent="0.3">
      <c r="B634" s="3">
        <v>623</v>
      </c>
      <c r="C634" s="3">
        <v>63.45000000000001</v>
      </c>
      <c r="D634" s="3">
        <v>0</v>
      </c>
      <c r="E634" s="3">
        <v>2199.5</v>
      </c>
      <c r="F634" s="3">
        <v>2262.9499999999994</v>
      </c>
    </row>
    <row r="635" spans="2:6" x14ac:dyDescent="0.3">
      <c r="B635" s="3">
        <v>624</v>
      </c>
      <c r="C635" s="3">
        <v>64.350000000000009</v>
      </c>
      <c r="D635" s="3">
        <v>0</v>
      </c>
      <c r="E635" s="3">
        <v>2199.5</v>
      </c>
      <c r="F635" s="3">
        <v>2263.85</v>
      </c>
    </row>
    <row r="636" spans="2:6" x14ac:dyDescent="0.3">
      <c r="B636" s="3">
        <v>625</v>
      </c>
      <c r="C636" s="3">
        <v>65.55</v>
      </c>
      <c r="D636" s="3">
        <v>0</v>
      </c>
      <c r="E636" s="3">
        <v>2199.5</v>
      </c>
      <c r="F636" s="3">
        <v>2265.0500000000011</v>
      </c>
    </row>
    <row r="637" spans="2:6" x14ac:dyDescent="0.3">
      <c r="B637" s="3">
        <v>626</v>
      </c>
      <c r="C637" s="3">
        <v>65.100000000000009</v>
      </c>
      <c r="D637" s="3">
        <v>0</v>
      </c>
      <c r="E637" s="3">
        <v>2199.5</v>
      </c>
      <c r="F637" s="3">
        <v>2264.6000000000004</v>
      </c>
    </row>
    <row r="638" spans="2:6" x14ac:dyDescent="0.3">
      <c r="B638" s="3">
        <v>627</v>
      </c>
      <c r="C638" s="3">
        <v>62.499999999999993</v>
      </c>
      <c r="D638" s="3">
        <v>0</v>
      </c>
      <c r="E638" s="3">
        <v>2199.5</v>
      </c>
      <c r="F638" s="3">
        <v>2261.9999999999995</v>
      </c>
    </row>
    <row r="639" spans="2:6" x14ac:dyDescent="0.3">
      <c r="B639" s="3">
        <v>628</v>
      </c>
      <c r="C639" s="3">
        <v>57.95000000000001</v>
      </c>
      <c r="D639" s="3">
        <v>0</v>
      </c>
      <c r="E639" s="3">
        <v>2199.5</v>
      </c>
      <c r="F639" s="3">
        <v>2257.4499999999998</v>
      </c>
    </row>
    <row r="640" spans="2:6" x14ac:dyDescent="0.3">
      <c r="B640" s="3">
        <v>629</v>
      </c>
      <c r="C640" s="3">
        <v>62.7</v>
      </c>
      <c r="D640" s="3">
        <v>0</v>
      </c>
      <c r="E640" s="3">
        <v>2199.5</v>
      </c>
      <c r="F640" s="3">
        <v>2262.2000000000003</v>
      </c>
    </row>
    <row r="641" spans="2:6" x14ac:dyDescent="0.3">
      <c r="B641" s="3">
        <v>630</v>
      </c>
      <c r="C641" s="3">
        <v>58.05</v>
      </c>
      <c r="D641" s="3">
        <v>0</v>
      </c>
      <c r="E641" s="3">
        <v>2199.5</v>
      </c>
      <c r="F641" s="3">
        <v>2257.5499999999997</v>
      </c>
    </row>
    <row r="642" spans="2:6" x14ac:dyDescent="0.3">
      <c r="B642" s="3">
        <v>631</v>
      </c>
      <c r="C642" s="3">
        <v>62.95</v>
      </c>
      <c r="D642" s="3">
        <v>0</v>
      </c>
      <c r="E642" s="3">
        <v>2199.5</v>
      </c>
      <c r="F642" s="3">
        <v>2262.4499999999998</v>
      </c>
    </row>
    <row r="643" spans="2:6" x14ac:dyDescent="0.3">
      <c r="B643" s="3">
        <v>632</v>
      </c>
      <c r="C643" s="3">
        <v>62.900000000000006</v>
      </c>
      <c r="D643" s="3">
        <v>0</v>
      </c>
      <c r="E643" s="3">
        <v>2199.5</v>
      </c>
      <c r="F643" s="3">
        <v>2262.3999999999996</v>
      </c>
    </row>
    <row r="644" spans="2:6" x14ac:dyDescent="0.3">
      <c r="B644" s="3">
        <v>633</v>
      </c>
      <c r="C644" s="3">
        <v>62.550000000000004</v>
      </c>
      <c r="D644" s="3">
        <v>0</v>
      </c>
      <c r="E644" s="3">
        <v>2199.5</v>
      </c>
      <c r="F644" s="3">
        <v>2262.0499999999993</v>
      </c>
    </row>
    <row r="645" spans="2:6" x14ac:dyDescent="0.3">
      <c r="B645" s="3">
        <v>634</v>
      </c>
      <c r="C645" s="3">
        <v>58.650000000000013</v>
      </c>
      <c r="D645" s="3">
        <v>0</v>
      </c>
      <c r="E645" s="3">
        <v>2199.5</v>
      </c>
      <c r="F645" s="3">
        <v>2258.1499999999992</v>
      </c>
    </row>
    <row r="646" spans="2:6" x14ac:dyDescent="0.3">
      <c r="B646" s="3">
        <v>635</v>
      </c>
      <c r="C646" s="3">
        <v>63.70000000000001</v>
      </c>
      <c r="D646" s="3">
        <v>0</v>
      </c>
      <c r="E646" s="3">
        <v>2199.5</v>
      </c>
      <c r="F646" s="3">
        <v>2263.1999999999998</v>
      </c>
    </row>
    <row r="647" spans="2:6" x14ac:dyDescent="0.3">
      <c r="B647" s="3">
        <v>636</v>
      </c>
      <c r="C647" s="3">
        <v>64.650000000000006</v>
      </c>
      <c r="D647" s="3">
        <v>0</v>
      </c>
      <c r="E647" s="3">
        <v>2199.5</v>
      </c>
      <c r="F647" s="3">
        <v>2264.1500000000005</v>
      </c>
    </row>
    <row r="648" spans="2:6" x14ac:dyDescent="0.3">
      <c r="B648" s="3">
        <v>637</v>
      </c>
      <c r="C648" s="3">
        <v>63.949999999999996</v>
      </c>
      <c r="D648" s="3">
        <v>0</v>
      </c>
      <c r="E648" s="3">
        <v>1099.75</v>
      </c>
      <c r="F648" s="3">
        <v>1163.6999999999998</v>
      </c>
    </row>
    <row r="649" spans="2:6" x14ac:dyDescent="0.3">
      <c r="B649" s="3">
        <v>638</v>
      </c>
      <c r="C649" s="3">
        <v>62.749999999999986</v>
      </c>
      <c r="D649" s="3">
        <v>0</v>
      </c>
      <c r="E649" s="3">
        <v>2199.5</v>
      </c>
      <c r="F649" s="3">
        <v>2262.2500000000009</v>
      </c>
    </row>
    <row r="650" spans="2:6" x14ac:dyDescent="0.3">
      <c r="B650" s="3">
        <v>639</v>
      </c>
      <c r="C650" s="3">
        <v>62.05</v>
      </c>
      <c r="D650" s="3">
        <v>0</v>
      </c>
      <c r="E650" s="3">
        <v>2199.5</v>
      </c>
      <c r="F650" s="3">
        <v>2261.5500000000002</v>
      </c>
    </row>
    <row r="651" spans="2:6" x14ac:dyDescent="0.3">
      <c r="B651" s="3">
        <v>640</v>
      </c>
      <c r="C651" s="3">
        <v>60.849999999999994</v>
      </c>
      <c r="D651" s="3">
        <v>0</v>
      </c>
      <c r="E651" s="3">
        <v>2199.5</v>
      </c>
      <c r="F651" s="3">
        <v>2260.35</v>
      </c>
    </row>
    <row r="652" spans="2:6" x14ac:dyDescent="0.3">
      <c r="B652" s="3">
        <v>641</v>
      </c>
      <c r="C652" s="3">
        <v>62.850000000000016</v>
      </c>
      <c r="D652" s="3">
        <v>0</v>
      </c>
      <c r="E652" s="3">
        <v>2199.5</v>
      </c>
      <c r="F652" s="3">
        <v>2262.3499999999995</v>
      </c>
    </row>
    <row r="653" spans="2:6" x14ac:dyDescent="0.3">
      <c r="B653" s="3">
        <v>642</v>
      </c>
      <c r="C653" s="3">
        <v>63.550000000000004</v>
      </c>
      <c r="D653" s="3">
        <v>0</v>
      </c>
      <c r="E653" s="3">
        <v>2199.5</v>
      </c>
      <c r="F653" s="3">
        <v>2263.0499999999997</v>
      </c>
    </row>
    <row r="654" spans="2:6" x14ac:dyDescent="0.3">
      <c r="B654" s="3">
        <v>643</v>
      </c>
      <c r="C654" s="3">
        <v>62.399999999999984</v>
      </c>
      <c r="D654" s="3">
        <v>0</v>
      </c>
      <c r="E654" s="3">
        <v>2199.5</v>
      </c>
      <c r="F654" s="3">
        <v>2261.8999999999996</v>
      </c>
    </row>
    <row r="655" spans="2:6" x14ac:dyDescent="0.3">
      <c r="B655" s="3">
        <v>644</v>
      </c>
      <c r="C655" s="3">
        <v>61.050000000000004</v>
      </c>
      <c r="D655" s="3">
        <v>0</v>
      </c>
      <c r="E655" s="3">
        <v>2199.5</v>
      </c>
      <c r="F655" s="3">
        <v>2260.5500000000002</v>
      </c>
    </row>
    <row r="656" spans="2:6" x14ac:dyDescent="0.3">
      <c r="B656" s="3">
        <v>645</v>
      </c>
      <c r="C656" s="3">
        <v>59.45</v>
      </c>
      <c r="D656" s="3">
        <v>0</v>
      </c>
      <c r="E656" s="3">
        <v>2199.5</v>
      </c>
      <c r="F656" s="3">
        <v>2258.9499999999994</v>
      </c>
    </row>
    <row r="657" spans="2:6" x14ac:dyDescent="0.3">
      <c r="B657" s="3">
        <v>646</v>
      </c>
      <c r="C657" s="3">
        <v>65.45</v>
      </c>
      <c r="D657" s="3">
        <v>0</v>
      </c>
      <c r="E657" s="3">
        <v>2199.5</v>
      </c>
      <c r="F657" s="3">
        <v>2264.9499999999998</v>
      </c>
    </row>
    <row r="658" spans="2:6" x14ac:dyDescent="0.3">
      <c r="B658" s="3">
        <v>647</v>
      </c>
      <c r="C658" s="3">
        <v>58.8</v>
      </c>
      <c r="D658" s="3">
        <v>0</v>
      </c>
      <c r="E658" s="3">
        <v>2199.5</v>
      </c>
      <c r="F658" s="3">
        <v>2258.2999999999997</v>
      </c>
    </row>
    <row r="659" spans="2:6" x14ac:dyDescent="0.3">
      <c r="B659" s="3">
        <v>648</v>
      </c>
      <c r="C659" s="3">
        <v>58.699999999999996</v>
      </c>
      <c r="D659" s="3">
        <v>0</v>
      </c>
      <c r="E659" s="3">
        <v>2199.5</v>
      </c>
      <c r="F659" s="3">
        <v>2258.1999999999998</v>
      </c>
    </row>
    <row r="660" spans="2:6" x14ac:dyDescent="0.3">
      <c r="B660" s="3">
        <v>649</v>
      </c>
      <c r="C660" s="3">
        <v>60.6</v>
      </c>
      <c r="D660" s="3">
        <v>0</v>
      </c>
      <c r="E660" s="3">
        <v>2199.5</v>
      </c>
      <c r="F660" s="3">
        <v>2260.1000000000008</v>
      </c>
    </row>
    <row r="661" spans="2:6" x14ac:dyDescent="0.3">
      <c r="B661" s="3">
        <v>650</v>
      </c>
      <c r="C661" s="3">
        <v>64.55</v>
      </c>
      <c r="D661" s="3">
        <v>0</v>
      </c>
      <c r="E661" s="3">
        <v>2199.5</v>
      </c>
      <c r="F661" s="3">
        <v>2264.0499999999997</v>
      </c>
    </row>
    <row r="662" spans="2:6" x14ac:dyDescent="0.3">
      <c r="B662" s="3">
        <v>651</v>
      </c>
      <c r="C662" s="3">
        <v>58.54999999999999</v>
      </c>
      <c r="D662" s="3">
        <v>0</v>
      </c>
      <c r="E662" s="3">
        <v>1099.75</v>
      </c>
      <c r="F662" s="3">
        <v>1158.3</v>
      </c>
    </row>
    <row r="663" spans="2:6" x14ac:dyDescent="0.3">
      <c r="B663" s="3">
        <v>652</v>
      </c>
      <c r="C663" s="3">
        <v>63.949999999999996</v>
      </c>
      <c r="D663" s="3">
        <v>0</v>
      </c>
      <c r="E663" s="3">
        <v>2199.5</v>
      </c>
      <c r="F663" s="3">
        <v>2263.4499999999998</v>
      </c>
    </row>
    <row r="664" spans="2:6" x14ac:dyDescent="0.3">
      <c r="B664" s="3">
        <v>653</v>
      </c>
      <c r="C664" s="3">
        <v>63.1</v>
      </c>
      <c r="D664" s="3">
        <v>0</v>
      </c>
      <c r="E664" s="3">
        <v>2199.5</v>
      </c>
      <c r="F664" s="3">
        <v>2262.5999999999995</v>
      </c>
    </row>
    <row r="665" spans="2:6" x14ac:dyDescent="0.3">
      <c r="B665" s="3">
        <v>654</v>
      </c>
      <c r="C665" s="3">
        <v>65.450000000000017</v>
      </c>
      <c r="D665" s="3">
        <v>0</v>
      </c>
      <c r="E665" s="3">
        <v>2199.5</v>
      </c>
      <c r="F665" s="3">
        <v>2264.9500000000007</v>
      </c>
    </row>
    <row r="666" spans="2:6" x14ac:dyDescent="0.3">
      <c r="B666" s="3">
        <v>655</v>
      </c>
      <c r="C666" s="3">
        <v>62.899999999999991</v>
      </c>
      <c r="D666" s="3">
        <v>0</v>
      </c>
      <c r="E666" s="3">
        <v>2199.5</v>
      </c>
      <c r="F666" s="3">
        <v>2262.4000000000005</v>
      </c>
    </row>
    <row r="667" spans="2:6" x14ac:dyDescent="0.3">
      <c r="B667" s="3">
        <v>656</v>
      </c>
      <c r="C667" s="3">
        <v>58.199999999999996</v>
      </c>
      <c r="D667" s="3">
        <v>0</v>
      </c>
      <c r="E667" s="3">
        <v>2199.5</v>
      </c>
      <c r="F667" s="3">
        <v>2257.6999999999998</v>
      </c>
    </row>
    <row r="668" spans="2:6" x14ac:dyDescent="0.3">
      <c r="B668" s="3">
        <v>657</v>
      </c>
      <c r="C668" s="3">
        <v>63.900000000000006</v>
      </c>
      <c r="D668" s="3">
        <v>0</v>
      </c>
      <c r="E668" s="3">
        <v>2199.5</v>
      </c>
      <c r="F668" s="3">
        <v>2263.4</v>
      </c>
    </row>
    <row r="669" spans="2:6" x14ac:dyDescent="0.3">
      <c r="B669" s="3">
        <v>658</v>
      </c>
      <c r="C669" s="3">
        <v>56.550000000000011</v>
      </c>
      <c r="D669" s="3">
        <v>0</v>
      </c>
      <c r="E669" s="3">
        <v>2199.5</v>
      </c>
      <c r="F669" s="3">
        <v>2256.0499999999997</v>
      </c>
    </row>
    <row r="670" spans="2:6" x14ac:dyDescent="0.3">
      <c r="B670" s="3">
        <v>659</v>
      </c>
      <c r="C670" s="3">
        <v>60.799999999999983</v>
      </c>
      <c r="D670" s="3">
        <v>0</v>
      </c>
      <c r="E670" s="3">
        <v>2199.5</v>
      </c>
      <c r="F670" s="3">
        <v>2260.3000000000002</v>
      </c>
    </row>
    <row r="671" spans="2:6" x14ac:dyDescent="0.3">
      <c r="B671" s="3">
        <v>660</v>
      </c>
      <c r="C671" s="3">
        <v>64.800000000000011</v>
      </c>
      <c r="D671" s="3">
        <v>0</v>
      </c>
      <c r="E671" s="3">
        <v>2199.5</v>
      </c>
      <c r="F671" s="3">
        <v>2264.2999999999997</v>
      </c>
    </row>
    <row r="672" spans="2:6" x14ac:dyDescent="0.3">
      <c r="B672" s="3">
        <v>661</v>
      </c>
      <c r="C672" s="3">
        <v>61.35</v>
      </c>
      <c r="D672" s="3">
        <v>0</v>
      </c>
      <c r="E672" s="3">
        <v>2199.5</v>
      </c>
      <c r="F672" s="3">
        <v>2260.8500000000004</v>
      </c>
    </row>
    <row r="673" spans="2:6" x14ac:dyDescent="0.3">
      <c r="B673" s="3">
        <v>662</v>
      </c>
      <c r="C673" s="3">
        <v>65.25</v>
      </c>
      <c r="D673" s="3">
        <v>0</v>
      </c>
      <c r="E673" s="3">
        <v>2199.5</v>
      </c>
      <c r="F673" s="3">
        <v>2264.75</v>
      </c>
    </row>
    <row r="674" spans="2:6" x14ac:dyDescent="0.3">
      <c r="B674" s="3">
        <v>663</v>
      </c>
      <c r="C674" s="3">
        <v>59.800000000000004</v>
      </c>
      <c r="D674" s="3">
        <v>0</v>
      </c>
      <c r="E674" s="3">
        <v>2199.5</v>
      </c>
      <c r="F674" s="3">
        <v>2259.2999999999997</v>
      </c>
    </row>
    <row r="675" spans="2:6" x14ac:dyDescent="0.3">
      <c r="B675" s="3">
        <v>664</v>
      </c>
      <c r="C675" s="3">
        <v>62.350000000000016</v>
      </c>
      <c r="D675" s="3">
        <v>0</v>
      </c>
      <c r="E675" s="3">
        <v>2199.5</v>
      </c>
      <c r="F675" s="3">
        <v>2261.849999999999</v>
      </c>
    </row>
    <row r="676" spans="2:6" x14ac:dyDescent="0.3">
      <c r="B676" s="3">
        <v>665</v>
      </c>
      <c r="C676" s="3">
        <v>63.3</v>
      </c>
      <c r="D676" s="3">
        <v>0</v>
      </c>
      <c r="E676" s="3">
        <v>2199.5</v>
      </c>
      <c r="F676" s="3">
        <v>2262.8000000000002</v>
      </c>
    </row>
    <row r="677" spans="2:6" x14ac:dyDescent="0.3">
      <c r="B677" s="3">
        <v>666</v>
      </c>
      <c r="C677" s="3">
        <v>63.400000000000013</v>
      </c>
      <c r="D677" s="3">
        <v>0</v>
      </c>
      <c r="E677" s="3">
        <v>2199.5</v>
      </c>
      <c r="F677" s="3">
        <v>2262.9</v>
      </c>
    </row>
    <row r="678" spans="2:6" x14ac:dyDescent="0.3">
      <c r="B678" s="3">
        <v>667</v>
      </c>
      <c r="C678" s="3">
        <v>61.199999999999989</v>
      </c>
      <c r="D678" s="3">
        <v>0</v>
      </c>
      <c r="E678" s="3">
        <v>2199.5</v>
      </c>
      <c r="F678" s="3">
        <v>2260.7000000000007</v>
      </c>
    </row>
    <row r="679" spans="2:6" x14ac:dyDescent="0.3">
      <c r="B679" s="3">
        <v>668</v>
      </c>
      <c r="C679" s="3">
        <v>62.25</v>
      </c>
      <c r="D679" s="3">
        <v>0</v>
      </c>
      <c r="E679" s="3">
        <v>2199.5</v>
      </c>
      <c r="F679" s="3">
        <v>2261.7500000000005</v>
      </c>
    </row>
    <row r="680" spans="2:6" x14ac:dyDescent="0.3">
      <c r="B680" s="3">
        <v>669</v>
      </c>
      <c r="C680" s="3">
        <v>60.899999999999984</v>
      </c>
      <c r="D680" s="3">
        <v>0</v>
      </c>
      <c r="E680" s="3">
        <v>2199.5</v>
      </c>
      <c r="F680" s="3">
        <v>2260.4000000000015</v>
      </c>
    </row>
    <row r="681" spans="2:6" x14ac:dyDescent="0.3">
      <c r="B681" s="3">
        <v>670</v>
      </c>
      <c r="C681" s="3">
        <v>59.15</v>
      </c>
      <c r="D681" s="3">
        <v>0</v>
      </c>
      <c r="E681" s="3">
        <v>2199.5</v>
      </c>
      <c r="F681" s="3">
        <v>2258.65</v>
      </c>
    </row>
    <row r="682" spans="2:6" x14ac:dyDescent="0.3">
      <c r="B682" s="3">
        <v>671</v>
      </c>
      <c r="C682" s="3">
        <v>62.600000000000009</v>
      </c>
      <c r="D682" s="3">
        <v>0</v>
      </c>
      <c r="E682" s="3">
        <v>2199.5</v>
      </c>
      <c r="F682" s="3">
        <v>2262.099999999999</v>
      </c>
    </row>
    <row r="683" spans="2:6" x14ac:dyDescent="0.3">
      <c r="B683" s="3">
        <v>672</v>
      </c>
      <c r="C683" s="3">
        <v>65.95</v>
      </c>
      <c r="D683" s="3">
        <v>0</v>
      </c>
      <c r="E683" s="3">
        <v>1099.75</v>
      </c>
      <c r="F683" s="3">
        <v>1165.7</v>
      </c>
    </row>
    <row r="684" spans="2:6" x14ac:dyDescent="0.3">
      <c r="B684" s="3">
        <v>673</v>
      </c>
      <c r="C684" s="3">
        <v>64.34999999999998</v>
      </c>
      <c r="D684" s="3">
        <v>0</v>
      </c>
      <c r="E684" s="3">
        <v>2199.5</v>
      </c>
      <c r="F684" s="3">
        <v>2263.8500000000004</v>
      </c>
    </row>
    <row r="685" spans="2:6" x14ac:dyDescent="0.3">
      <c r="B685" s="3">
        <v>674</v>
      </c>
      <c r="C685" s="3">
        <v>63.149999999999991</v>
      </c>
      <c r="D685" s="3">
        <v>0</v>
      </c>
      <c r="E685" s="3">
        <v>2199.5</v>
      </c>
      <c r="F685" s="3">
        <v>2262.65</v>
      </c>
    </row>
    <row r="686" spans="2:6" x14ac:dyDescent="0.3">
      <c r="B686" s="3">
        <v>675</v>
      </c>
      <c r="C686" s="3">
        <v>63.500000000000007</v>
      </c>
      <c r="D686" s="3">
        <v>0</v>
      </c>
      <c r="E686" s="3">
        <v>2199.5</v>
      </c>
      <c r="F686" s="3">
        <v>2262.9999999999995</v>
      </c>
    </row>
    <row r="687" spans="2:6" x14ac:dyDescent="0.3">
      <c r="B687" s="3">
        <v>676</v>
      </c>
      <c r="C687" s="3">
        <v>60.500000000000014</v>
      </c>
      <c r="D687" s="3">
        <v>0</v>
      </c>
      <c r="E687" s="3">
        <v>2199.5</v>
      </c>
      <c r="F687" s="3">
        <v>2259.9999999999995</v>
      </c>
    </row>
    <row r="688" spans="2:6" x14ac:dyDescent="0.3">
      <c r="B688" s="3">
        <v>677</v>
      </c>
      <c r="C688" s="3">
        <v>59.54999999999999</v>
      </c>
      <c r="D688" s="3">
        <v>0</v>
      </c>
      <c r="E688" s="3">
        <v>2199.5</v>
      </c>
      <c r="F688" s="3">
        <v>2259.0500000000006</v>
      </c>
    </row>
    <row r="689" spans="2:6" x14ac:dyDescent="0.3">
      <c r="B689" s="3">
        <v>678</v>
      </c>
      <c r="C689" s="3">
        <v>60.25</v>
      </c>
      <c r="D689" s="3">
        <v>0</v>
      </c>
      <c r="E689" s="3">
        <v>1099.75</v>
      </c>
      <c r="F689" s="3">
        <v>1159.9999999999995</v>
      </c>
    </row>
    <row r="690" spans="2:6" x14ac:dyDescent="0.3">
      <c r="B690" s="3">
        <v>679</v>
      </c>
      <c r="C690" s="3">
        <v>60.65</v>
      </c>
      <c r="D690" s="3">
        <v>0</v>
      </c>
      <c r="E690" s="3">
        <v>2199.5</v>
      </c>
      <c r="F690" s="3">
        <v>2260.1499999999996</v>
      </c>
    </row>
    <row r="691" spans="2:6" x14ac:dyDescent="0.3">
      <c r="B691" s="3">
        <v>680</v>
      </c>
      <c r="C691" s="3">
        <v>59.5</v>
      </c>
      <c r="D691" s="3">
        <v>0</v>
      </c>
      <c r="E691" s="3">
        <v>1099.75</v>
      </c>
      <c r="F691" s="3">
        <v>1159.25</v>
      </c>
    </row>
    <row r="692" spans="2:6" x14ac:dyDescent="0.3">
      <c r="B692" s="3">
        <v>681</v>
      </c>
      <c r="C692" s="3">
        <v>63.100000000000009</v>
      </c>
      <c r="D692" s="3">
        <v>0</v>
      </c>
      <c r="E692" s="3">
        <v>2199.5</v>
      </c>
      <c r="F692" s="3">
        <v>2262.6</v>
      </c>
    </row>
    <row r="693" spans="2:6" x14ac:dyDescent="0.3">
      <c r="B693" s="3">
        <v>682</v>
      </c>
      <c r="C693" s="3">
        <v>59.85</v>
      </c>
      <c r="D693" s="3">
        <v>0</v>
      </c>
      <c r="E693" s="3">
        <v>1099.75</v>
      </c>
      <c r="F693" s="3">
        <v>1159.6000000000004</v>
      </c>
    </row>
    <row r="694" spans="2:6" x14ac:dyDescent="0.3">
      <c r="B694" s="3">
        <v>683</v>
      </c>
      <c r="C694" s="3">
        <v>58.65</v>
      </c>
      <c r="D694" s="3">
        <v>0</v>
      </c>
      <c r="E694" s="3">
        <v>2199.5</v>
      </c>
      <c r="F694" s="3">
        <v>2258.1499999999996</v>
      </c>
    </row>
    <row r="695" spans="2:6" x14ac:dyDescent="0.3">
      <c r="B695" s="3">
        <v>684</v>
      </c>
      <c r="C695" s="3">
        <v>62.800000000000004</v>
      </c>
      <c r="D695" s="3">
        <v>0</v>
      </c>
      <c r="E695" s="3">
        <v>2199.5</v>
      </c>
      <c r="F695" s="3">
        <v>2262.3000000000002</v>
      </c>
    </row>
    <row r="696" spans="2:6" x14ac:dyDescent="0.3">
      <c r="B696" s="3">
        <v>685</v>
      </c>
      <c r="C696" s="3">
        <v>61.20000000000001</v>
      </c>
      <c r="D696" s="3">
        <v>0</v>
      </c>
      <c r="E696" s="3">
        <v>2199.5</v>
      </c>
      <c r="F696" s="3">
        <v>2260.6999999999998</v>
      </c>
    </row>
    <row r="697" spans="2:6" x14ac:dyDescent="0.3">
      <c r="B697" s="3">
        <v>686</v>
      </c>
      <c r="C697" s="3">
        <v>59.9</v>
      </c>
      <c r="D697" s="3">
        <v>0</v>
      </c>
      <c r="E697" s="3">
        <v>2199.5</v>
      </c>
      <c r="F697" s="3">
        <v>2259.4000000000005</v>
      </c>
    </row>
    <row r="698" spans="2:6" x14ac:dyDescent="0.3">
      <c r="B698" s="3">
        <v>687</v>
      </c>
      <c r="C698" s="3">
        <v>65.100000000000009</v>
      </c>
      <c r="D698" s="3">
        <v>0</v>
      </c>
      <c r="E698" s="3">
        <v>2199.5</v>
      </c>
      <c r="F698" s="3">
        <v>2264.5999999999995</v>
      </c>
    </row>
    <row r="699" spans="2:6" x14ac:dyDescent="0.3">
      <c r="B699" s="3">
        <v>688</v>
      </c>
      <c r="C699" s="3">
        <v>65.600000000000009</v>
      </c>
      <c r="D699" s="3">
        <v>0</v>
      </c>
      <c r="E699" s="3">
        <v>2199.5</v>
      </c>
      <c r="F699" s="3">
        <v>2265.1000000000008</v>
      </c>
    </row>
    <row r="700" spans="2:6" x14ac:dyDescent="0.3">
      <c r="B700" s="3">
        <v>689</v>
      </c>
      <c r="C700" s="3">
        <v>59.149999999999984</v>
      </c>
      <c r="D700" s="3">
        <v>0</v>
      </c>
      <c r="E700" s="3">
        <v>2199.5</v>
      </c>
      <c r="F700" s="3">
        <v>2258.6500000000005</v>
      </c>
    </row>
    <row r="701" spans="2:6" x14ac:dyDescent="0.3">
      <c r="B701" s="3">
        <v>690</v>
      </c>
      <c r="C701" s="3">
        <v>56.25</v>
      </c>
      <c r="D701" s="3">
        <v>0</v>
      </c>
      <c r="E701" s="3">
        <v>2199.5</v>
      </c>
      <c r="F701" s="3">
        <v>2255.75</v>
      </c>
    </row>
    <row r="702" spans="2:6" x14ac:dyDescent="0.3">
      <c r="B702" s="3">
        <v>691</v>
      </c>
      <c r="C702" s="3">
        <v>61.449999999999996</v>
      </c>
      <c r="D702" s="3">
        <v>0</v>
      </c>
      <c r="E702" s="3">
        <v>2199.5</v>
      </c>
      <c r="F702" s="3">
        <v>2260.9499999999998</v>
      </c>
    </row>
    <row r="703" spans="2:6" x14ac:dyDescent="0.3">
      <c r="B703" s="3">
        <v>692</v>
      </c>
      <c r="C703" s="3">
        <v>65.15000000000002</v>
      </c>
      <c r="D703" s="3">
        <v>0</v>
      </c>
      <c r="E703" s="3">
        <v>2199.5</v>
      </c>
      <c r="F703" s="3">
        <v>2264.6499999999987</v>
      </c>
    </row>
    <row r="704" spans="2:6" x14ac:dyDescent="0.3">
      <c r="B704" s="3">
        <v>693</v>
      </c>
      <c r="C704" s="3">
        <v>61.749999999999993</v>
      </c>
      <c r="D704" s="3">
        <v>0</v>
      </c>
      <c r="E704" s="3">
        <v>2199.5</v>
      </c>
      <c r="F704" s="3">
        <v>2261.2500000000005</v>
      </c>
    </row>
    <row r="705" spans="2:6" x14ac:dyDescent="0.3">
      <c r="B705" s="3">
        <v>694</v>
      </c>
      <c r="C705" s="3">
        <v>57.40000000000002</v>
      </c>
      <c r="D705" s="3">
        <v>0</v>
      </c>
      <c r="E705" s="3">
        <v>2199.5</v>
      </c>
      <c r="F705" s="3">
        <v>2256.8999999999996</v>
      </c>
    </row>
    <row r="706" spans="2:6" x14ac:dyDescent="0.3">
      <c r="B706" s="3">
        <v>695</v>
      </c>
      <c r="C706" s="3">
        <v>61.400000000000006</v>
      </c>
      <c r="D706" s="3">
        <v>0</v>
      </c>
      <c r="E706" s="3">
        <v>2199.5</v>
      </c>
      <c r="F706" s="3">
        <v>2260.8999999999996</v>
      </c>
    </row>
    <row r="707" spans="2:6" x14ac:dyDescent="0.3">
      <c r="B707" s="3">
        <v>696</v>
      </c>
      <c r="C707" s="3">
        <v>65</v>
      </c>
      <c r="D707" s="3">
        <v>0</v>
      </c>
      <c r="E707" s="3">
        <v>2199.5</v>
      </c>
      <c r="F707" s="3">
        <v>2264.5000000000005</v>
      </c>
    </row>
    <row r="708" spans="2:6" x14ac:dyDescent="0.3">
      <c r="B708" s="3">
        <v>697</v>
      </c>
      <c r="C708" s="3">
        <v>65.849999999999994</v>
      </c>
      <c r="D708" s="3">
        <v>0</v>
      </c>
      <c r="E708" s="3">
        <v>2199.5</v>
      </c>
      <c r="F708" s="3">
        <v>2265.3500000000008</v>
      </c>
    </row>
    <row r="709" spans="2:6" x14ac:dyDescent="0.3">
      <c r="B709" s="3">
        <v>698</v>
      </c>
      <c r="C709" s="3">
        <v>61.2</v>
      </c>
      <c r="D709" s="3">
        <v>0</v>
      </c>
      <c r="E709" s="3">
        <v>2199.5</v>
      </c>
      <c r="F709" s="3">
        <v>2260.7000000000003</v>
      </c>
    </row>
    <row r="710" spans="2:6" x14ac:dyDescent="0.3">
      <c r="B710" s="3">
        <v>699</v>
      </c>
      <c r="C710" s="3">
        <v>57.600000000000009</v>
      </c>
      <c r="D710" s="3">
        <v>0</v>
      </c>
      <c r="E710" s="3">
        <v>2199.5</v>
      </c>
      <c r="F710" s="3">
        <v>2257.1</v>
      </c>
    </row>
    <row r="711" spans="2:6" x14ac:dyDescent="0.3">
      <c r="B711" s="3">
        <v>700</v>
      </c>
      <c r="C711" s="3">
        <v>62.600000000000016</v>
      </c>
      <c r="D711" s="3">
        <v>0</v>
      </c>
      <c r="E711" s="3">
        <v>2199.5</v>
      </c>
      <c r="F711" s="3">
        <v>2262.0999999999995</v>
      </c>
    </row>
    <row r="712" spans="2:6" x14ac:dyDescent="0.3">
      <c r="B712" s="3">
        <v>701</v>
      </c>
      <c r="C712" s="3">
        <v>62.450000000000017</v>
      </c>
      <c r="D712" s="3">
        <v>0</v>
      </c>
      <c r="E712" s="3">
        <v>2199.5</v>
      </c>
      <c r="F712" s="3">
        <v>2261.9499999999994</v>
      </c>
    </row>
    <row r="713" spans="2:6" x14ac:dyDescent="0.3">
      <c r="B713" s="3">
        <v>702</v>
      </c>
      <c r="C713" s="3">
        <v>58</v>
      </c>
      <c r="D713" s="3">
        <v>0</v>
      </c>
      <c r="E713" s="3">
        <v>2199.5</v>
      </c>
      <c r="F713" s="3">
        <v>2257.4999999999995</v>
      </c>
    </row>
    <row r="714" spans="2:6" x14ac:dyDescent="0.3">
      <c r="B714" s="3">
        <v>703</v>
      </c>
      <c r="C714" s="3">
        <v>60.599999999999994</v>
      </c>
      <c r="D714" s="3">
        <v>0</v>
      </c>
      <c r="E714" s="3">
        <v>2199.5</v>
      </c>
      <c r="F714" s="3">
        <v>2260.1000000000008</v>
      </c>
    </row>
    <row r="715" spans="2:6" x14ac:dyDescent="0.3">
      <c r="B715" s="3">
        <v>704</v>
      </c>
      <c r="C715" s="3">
        <v>60.300000000000011</v>
      </c>
      <c r="D715" s="3">
        <v>0</v>
      </c>
      <c r="E715" s="3">
        <v>1099.75</v>
      </c>
      <c r="F715" s="3">
        <v>1160.0499999999997</v>
      </c>
    </row>
    <row r="716" spans="2:6" x14ac:dyDescent="0.3">
      <c r="B716" s="3">
        <v>705</v>
      </c>
      <c r="C716" s="3">
        <v>60</v>
      </c>
      <c r="D716" s="3">
        <v>0</v>
      </c>
      <c r="E716" s="3">
        <v>2199.5</v>
      </c>
      <c r="F716" s="3">
        <v>2259.4999999999995</v>
      </c>
    </row>
    <row r="717" spans="2:6" x14ac:dyDescent="0.3">
      <c r="B717" s="3">
        <v>706</v>
      </c>
      <c r="C717" s="3">
        <v>60.3</v>
      </c>
      <c r="D717" s="3">
        <v>0</v>
      </c>
      <c r="E717" s="3">
        <v>2199.5</v>
      </c>
      <c r="F717" s="3">
        <v>2259.7999999999997</v>
      </c>
    </row>
    <row r="718" spans="2:6" x14ac:dyDescent="0.3">
      <c r="B718" s="3">
        <v>707</v>
      </c>
      <c r="C718" s="3">
        <v>65.25</v>
      </c>
      <c r="D718" s="3">
        <v>0</v>
      </c>
      <c r="E718" s="3">
        <v>2199.5</v>
      </c>
      <c r="F718" s="3">
        <v>2264.7500000000005</v>
      </c>
    </row>
    <row r="719" spans="2:6" x14ac:dyDescent="0.3">
      <c r="B719" s="3">
        <v>708</v>
      </c>
      <c r="C719" s="3">
        <v>62.5</v>
      </c>
      <c r="D719" s="3">
        <v>0</v>
      </c>
      <c r="E719" s="3">
        <v>2199.5</v>
      </c>
      <c r="F719" s="3">
        <v>2261.9999999999995</v>
      </c>
    </row>
    <row r="720" spans="2:6" x14ac:dyDescent="0.3">
      <c r="B720" s="3">
        <v>709</v>
      </c>
      <c r="C720" s="3">
        <v>64.05</v>
      </c>
      <c r="D720" s="3">
        <v>0</v>
      </c>
      <c r="E720" s="3">
        <v>2199.5</v>
      </c>
      <c r="F720" s="3">
        <v>2263.5500000000002</v>
      </c>
    </row>
    <row r="721" spans="2:6" x14ac:dyDescent="0.3">
      <c r="B721" s="3">
        <v>710</v>
      </c>
      <c r="C721" s="3">
        <v>60.199999999999989</v>
      </c>
      <c r="D721" s="3">
        <v>0</v>
      </c>
      <c r="E721" s="3">
        <v>2199.5</v>
      </c>
      <c r="F721" s="3">
        <v>2259.6999999999994</v>
      </c>
    </row>
    <row r="722" spans="2:6" x14ac:dyDescent="0.3">
      <c r="B722" s="3">
        <v>711</v>
      </c>
      <c r="C722" s="3">
        <v>57.649999999999991</v>
      </c>
      <c r="D722" s="3">
        <v>0</v>
      </c>
      <c r="E722" s="3">
        <v>2199.5</v>
      </c>
      <c r="F722" s="3">
        <v>2257.15</v>
      </c>
    </row>
    <row r="723" spans="2:6" x14ac:dyDescent="0.3">
      <c r="B723" s="3">
        <v>712</v>
      </c>
      <c r="C723" s="3">
        <v>61.95</v>
      </c>
      <c r="D723" s="3">
        <v>0</v>
      </c>
      <c r="E723" s="3">
        <v>2199.5</v>
      </c>
      <c r="F723" s="3">
        <v>2261.4499999999998</v>
      </c>
    </row>
    <row r="724" spans="2:6" x14ac:dyDescent="0.3">
      <c r="B724" s="3">
        <v>713</v>
      </c>
      <c r="C724" s="3">
        <v>65.55</v>
      </c>
      <c r="D724" s="3">
        <v>0</v>
      </c>
      <c r="E724" s="3">
        <v>2199.5</v>
      </c>
      <c r="F724" s="3">
        <v>2265.0499999999993</v>
      </c>
    </row>
    <row r="725" spans="2:6" x14ac:dyDescent="0.3">
      <c r="B725" s="3">
        <v>714</v>
      </c>
      <c r="C725" s="3">
        <v>62.149999999999991</v>
      </c>
      <c r="D725" s="3">
        <v>0</v>
      </c>
      <c r="E725" s="3">
        <v>2199.5</v>
      </c>
      <c r="F725" s="3">
        <v>2261.6499999999996</v>
      </c>
    </row>
    <row r="726" spans="2:6" x14ac:dyDescent="0.3">
      <c r="B726" s="3">
        <v>715</v>
      </c>
      <c r="C726" s="3">
        <v>59.55</v>
      </c>
      <c r="D726" s="3">
        <v>0</v>
      </c>
      <c r="E726" s="3">
        <v>2199.5</v>
      </c>
      <c r="F726" s="3">
        <v>2259.0500000000002</v>
      </c>
    </row>
    <row r="727" spans="2:6" x14ac:dyDescent="0.3">
      <c r="B727" s="3">
        <v>716</v>
      </c>
      <c r="C727" s="3">
        <v>61.249999999999993</v>
      </c>
      <c r="D727" s="3">
        <v>0</v>
      </c>
      <c r="E727" s="3">
        <v>2199.5</v>
      </c>
      <c r="F727" s="3">
        <v>2260.75</v>
      </c>
    </row>
    <row r="728" spans="2:6" x14ac:dyDescent="0.3">
      <c r="B728" s="3">
        <v>717</v>
      </c>
      <c r="C728" s="3">
        <v>60.95</v>
      </c>
      <c r="D728" s="3">
        <v>0</v>
      </c>
      <c r="E728" s="3">
        <v>2199.5</v>
      </c>
      <c r="F728" s="3">
        <v>2260.4499999999994</v>
      </c>
    </row>
    <row r="729" spans="2:6" x14ac:dyDescent="0.3">
      <c r="B729" s="3">
        <v>718</v>
      </c>
      <c r="C729" s="3">
        <v>64.200000000000017</v>
      </c>
      <c r="D729" s="3">
        <v>0</v>
      </c>
      <c r="E729" s="3">
        <v>2199.5</v>
      </c>
      <c r="F729" s="3">
        <v>2263.6999999999998</v>
      </c>
    </row>
    <row r="730" spans="2:6" x14ac:dyDescent="0.3">
      <c r="B730" s="3">
        <v>719</v>
      </c>
      <c r="C730" s="3">
        <v>64.25</v>
      </c>
      <c r="D730" s="3">
        <v>0</v>
      </c>
      <c r="E730" s="3">
        <v>2199.5</v>
      </c>
      <c r="F730" s="3">
        <v>2263.75</v>
      </c>
    </row>
    <row r="731" spans="2:6" x14ac:dyDescent="0.3">
      <c r="B731" s="3">
        <v>720</v>
      </c>
      <c r="C731" s="3">
        <v>62.250000000000007</v>
      </c>
      <c r="D731" s="3">
        <v>0</v>
      </c>
      <c r="E731" s="3">
        <v>2199.5</v>
      </c>
      <c r="F731" s="3">
        <v>2261.7500000000005</v>
      </c>
    </row>
    <row r="732" spans="2:6" x14ac:dyDescent="0.3">
      <c r="B732" s="3">
        <v>721</v>
      </c>
      <c r="C732" s="3">
        <v>64.649999999999977</v>
      </c>
      <c r="D732" s="3">
        <v>0</v>
      </c>
      <c r="E732" s="3">
        <v>2199.5</v>
      </c>
      <c r="F732" s="3">
        <v>2264.1499999999996</v>
      </c>
    </row>
    <row r="733" spans="2:6" x14ac:dyDescent="0.3">
      <c r="B733" s="3">
        <v>722</v>
      </c>
      <c r="C733" s="3">
        <v>64.199999999999989</v>
      </c>
      <c r="D733" s="3">
        <v>0</v>
      </c>
      <c r="E733" s="3">
        <v>2199.5</v>
      </c>
      <c r="F733" s="3">
        <v>2263.7000000000003</v>
      </c>
    </row>
    <row r="734" spans="2:6" x14ac:dyDescent="0.3">
      <c r="B734" s="3">
        <v>723</v>
      </c>
      <c r="C734" s="3">
        <v>56.449999999999996</v>
      </c>
      <c r="D734" s="3">
        <v>0</v>
      </c>
      <c r="E734" s="3">
        <v>2199.5</v>
      </c>
      <c r="F734" s="3">
        <v>2255.9499999999998</v>
      </c>
    </row>
    <row r="735" spans="2:6" x14ac:dyDescent="0.3">
      <c r="B735" s="3">
        <v>724</v>
      </c>
      <c r="C735" s="3">
        <v>58.350000000000009</v>
      </c>
      <c r="D735" s="3">
        <v>0</v>
      </c>
      <c r="E735" s="3">
        <v>2199.5</v>
      </c>
      <c r="F735" s="3">
        <v>2257.85</v>
      </c>
    </row>
    <row r="736" spans="2:6" x14ac:dyDescent="0.3">
      <c r="B736" s="3">
        <v>725</v>
      </c>
      <c r="C736" s="3">
        <v>64.25</v>
      </c>
      <c r="D736" s="3">
        <v>0</v>
      </c>
      <c r="E736" s="3">
        <v>2199.5</v>
      </c>
      <c r="F736" s="3">
        <v>2263.75</v>
      </c>
    </row>
    <row r="737" spans="2:6" x14ac:dyDescent="0.3">
      <c r="B737" s="3">
        <v>726</v>
      </c>
      <c r="C737" s="3">
        <v>64.75</v>
      </c>
      <c r="D737" s="3">
        <v>0</v>
      </c>
      <c r="E737" s="3">
        <v>1099.75</v>
      </c>
      <c r="F737" s="3">
        <v>1164.4999999999998</v>
      </c>
    </row>
    <row r="738" spans="2:6" x14ac:dyDescent="0.3">
      <c r="B738" s="3">
        <v>727</v>
      </c>
      <c r="C738" s="3">
        <v>61.75</v>
      </c>
      <c r="D738" s="3">
        <v>0</v>
      </c>
      <c r="E738" s="3">
        <v>2199.5</v>
      </c>
      <c r="F738" s="3">
        <v>2261.2499999999991</v>
      </c>
    </row>
    <row r="739" spans="2:6" x14ac:dyDescent="0.3">
      <c r="B739" s="3">
        <v>728</v>
      </c>
      <c r="C739" s="3">
        <v>63.749999999999986</v>
      </c>
      <c r="D739" s="3">
        <v>0</v>
      </c>
      <c r="E739" s="3">
        <v>2199.5</v>
      </c>
      <c r="F739" s="3">
        <v>2263.2500000000005</v>
      </c>
    </row>
    <row r="740" spans="2:6" x14ac:dyDescent="0.3">
      <c r="B740" s="3">
        <v>729</v>
      </c>
      <c r="C740" s="3">
        <v>61.04999999999999</v>
      </c>
      <c r="D740" s="3">
        <v>0</v>
      </c>
      <c r="E740" s="3">
        <v>1099.75</v>
      </c>
      <c r="F740" s="3">
        <v>1160.7999999999995</v>
      </c>
    </row>
    <row r="741" spans="2:6" x14ac:dyDescent="0.3">
      <c r="B741" s="3">
        <v>730</v>
      </c>
      <c r="C741" s="3">
        <v>60.70000000000001</v>
      </c>
      <c r="D741" s="3">
        <v>0</v>
      </c>
      <c r="E741" s="3">
        <v>2199.5</v>
      </c>
      <c r="F741" s="3">
        <v>2260.1999999999998</v>
      </c>
    </row>
    <row r="742" spans="2:6" x14ac:dyDescent="0.3">
      <c r="B742" s="3">
        <v>731</v>
      </c>
      <c r="C742" s="3">
        <v>62.800000000000011</v>
      </c>
      <c r="D742" s="3">
        <v>0</v>
      </c>
      <c r="E742" s="3">
        <v>2199.5</v>
      </c>
      <c r="F742" s="3">
        <v>2262.2999999999993</v>
      </c>
    </row>
    <row r="743" spans="2:6" x14ac:dyDescent="0.3">
      <c r="B743" s="3">
        <v>732</v>
      </c>
      <c r="C743" s="3">
        <v>65.700000000000017</v>
      </c>
      <c r="D743" s="3">
        <v>0</v>
      </c>
      <c r="E743" s="3">
        <v>2199.5</v>
      </c>
      <c r="F743" s="3">
        <v>2265.2000000000003</v>
      </c>
    </row>
    <row r="744" spans="2:6" x14ac:dyDescent="0.3">
      <c r="B744" s="3">
        <v>733</v>
      </c>
      <c r="C744" s="3">
        <v>57.95</v>
      </c>
      <c r="D744" s="3">
        <v>0</v>
      </c>
      <c r="E744" s="3">
        <v>1099.75</v>
      </c>
      <c r="F744" s="3">
        <v>1157.6999999999998</v>
      </c>
    </row>
    <row r="745" spans="2:6" x14ac:dyDescent="0.3">
      <c r="B745" s="3">
        <v>734</v>
      </c>
      <c r="C745" s="3">
        <v>59.099999999999994</v>
      </c>
      <c r="D745" s="3">
        <v>0</v>
      </c>
      <c r="E745" s="3">
        <v>2199.5</v>
      </c>
      <c r="F745" s="3">
        <v>2258.5999999999995</v>
      </c>
    </row>
    <row r="746" spans="2:6" x14ac:dyDescent="0.3">
      <c r="B746" s="3">
        <v>735</v>
      </c>
      <c r="C746" s="3">
        <v>61.749999999999993</v>
      </c>
      <c r="D746" s="3">
        <v>0</v>
      </c>
      <c r="E746" s="3">
        <v>2199.5</v>
      </c>
      <c r="F746" s="3">
        <v>2261.2500000000005</v>
      </c>
    </row>
    <row r="747" spans="2:6" x14ac:dyDescent="0.3">
      <c r="B747" s="3">
        <v>736</v>
      </c>
      <c r="C747" s="3">
        <v>65.25</v>
      </c>
      <c r="D747" s="3">
        <v>0</v>
      </c>
      <c r="E747" s="3">
        <v>2199.5</v>
      </c>
      <c r="F747" s="3">
        <v>2264.7500000000009</v>
      </c>
    </row>
    <row r="748" spans="2:6" x14ac:dyDescent="0.3">
      <c r="B748" s="3">
        <v>737</v>
      </c>
      <c r="C748" s="3">
        <v>65.650000000000006</v>
      </c>
      <c r="D748" s="3">
        <v>0</v>
      </c>
      <c r="E748" s="3">
        <v>2199.5</v>
      </c>
      <c r="F748" s="3">
        <v>2265.1500000000005</v>
      </c>
    </row>
    <row r="749" spans="2:6" x14ac:dyDescent="0.3">
      <c r="B749" s="3">
        <v>738</v>
      </c>
      <c r="C749" s="3">
        <v>59.050000000000004</v>
      </c>
      <c r="D749" s="3">
        <v>0</v>
      </c>
      <c r="E749" s="3">
        <v>2199.5</v>
      </c>
      <c r="F749" s="3">
        <v>2258.5499999999993</v>
      </c>
    </row>
    <row r="750" spans="2:6" x14ac:dyDescent="0.3">
      <c r="B750" s="3">
        <v>739</v>
      </c>
      <c r="C750" s="3">
        <v>63.349999999999994</v>
      </c>
      <c r="D750" s="3">
        <v>0</v>
      </c>
      <c r="E750" s="3">
        <v>2199.5</v>
      </c>
      <c r="F750" s="3">
        <v>2262.85</v>
      </c>
    </row>
    <row r="751" spans="2:6" x14ac:dyDescent="0.3">
      <c r="B751" s="3">
        <v>740</v>
      </c>
      <c r="C751" s="3">
        <v>61.949999999999982</v>
      </c>
      <c r="D751" s="3">
        <v>0</v>
      </c>
      <c r="E751" s="3">
        <v>2199.5</v>
      </c>
      <c r="F751" s="3">
        <v>2261.4500000000007</v>
      </c>
    </row>
    <row r="752" spans="2:6" x14ac:dyDescent="0.3">
      <c r="B752" s="3">
        <v>741</v>
      </c>
      <c r="C752" s="3">
        <v>65</v>
      </c>
      <c r="D752" s="3">
        <v>0</v>
      </c>
      <c r="E752" s="3">
        <v>2199.5</v>
      </c>
      <c r="F752" s="3">
        <v>2264.4999999999995</v>
      </c>
    </row>
    <row r="753" spans="2:6" x14ac:dyDescent="0.3">
      <c r="B753" s="3">
        <v>742</v>
      </c>
      <c r="C753" s="3">
        <v>57.95000000000001</v>
      </c>
      <c r="D753" s="3">
        <v>0</v>
      </c>
      <c r="E753" s="3">
        <v>2199.5</v>
      </c>
      <c r="F753" s="3">
        <v>2257.4500000000003</v>
      </c>
    </row>
    <row r="754" spans="2:6" x14ac:dyDescent="0.3">
      <c r="B754" s="3">
        <v>743</v>
      </c>
      <c r="C754" s="3">
        <v>57.85</v>
      </c>
      <c r="D754" s="3">
        <v>0</v>
      </c>
      <c r="E754" s="3">
        <v>2199.5</v>
      </c>
      <c r="F754" s="3">
        <v>2257.3500000000004</v>
      </c>
    </row>
    <row r="755" spans="2:6" x14ac:dyDescent="0.3">
      <c r="B755" s="3">
        <v>744</v>
      </c>
      <c r="C755" s="3">
        <v>61.9</v>
      </c>
      <c r="D755" s="3">
        <v>0</v>
      </c>
      <c r="E755" s="3">
        <v>2199.5</v>
      </c>
      <c r="F755" s="3">
        <v>2261.4000000000005</v>
      </c>
    </row>
    <row r="756" spans="2:6" x14ac:dyDescent="0.3">
      <c r="B756" s="3">
        <v>745</v>
      </c>
      <c r="C756" s="3">
        <v>59.450000000000017</v>
      </c>
      <c r="D756" s="3">
        <v>0</v>
      </c>
      <c r="E756" s="3">
        <v>2199.5</v>
      </c>
      <c r="F756" s="3">
        <v>2258.9499999999994</v>
      </c>
    </row>
    <row r="757" spans="2:6" x14ac:dyDescent="0.3">
      <c r="B757" s="3">
        <v>746</v>
      </c>
      <c r="C757" s="3">
        <v>61.200000000000017</v>
      </c>
      <c r="D757" s="3">
        <v>0</v>
      </c>
      <c r="E757" s="3">
        <v>2199.5</v>
      </c>
      <c r="F757" s="3">
        <v>2260.6999999999998</v>
      </c>
    </row>
    <row r="758" spans="2:6" x14ac:dyDescent="0.3">
      <c r="B758" s="3">
        <v>747</v>
      </c>
      <c r="C758" s="3">
        <v>65.500000000000014</v>
      </c>
      <c r="D758" s="3">
        <v>0</v>
      </c>
      <c r="E758" s="3">
        <v>2199.5</v>
      </c>
      <c r="F758" s="3">
        <v>2265.0000000000005</v>
      </c>
    </row>
    <row r="759" spans="2:6" x14ac:dyDescent="0.3">
      <c r="B759" s="3">
        <v>748</v>
      </c>
      <c r="C759" s="3">
        <v>62.699999999999989</v>
      </c>
      <c r="D759" s="3">
        <v>0</v>
      </c>
      <c r="E759" s="3">
        <v>2199.5</v>
      </c>
      <c r="F759" s="3">
        <v>2262.1999999999994</v>
      </c>
    </row>
    <row r="760" spans="2:6" x14ac:dyDescent="0.3">
      <c r="B760" s="3">
        <v>749</v>
      </c>
      <c r="C760" s="3">
        <v>60.45</v>
      </c>
      <c r="D760" s="3">
        <v>0</v>
      </c>
      <c r="E760" s="3">
        <v>2199.5</v>
      </c>
      <c r="F760" s="3">
        <v>2259.9500000000003</v>
      </c>
    </row>
    <row r="761" spans="2:6" x14ac:dyDescent="0.3">
      <c r="B761" s="3">
        <v>750</v>
      </c>
      <c r="C761" s="3">
        <v>63.55</v>
      </c>
      <c r="D761" s="3">
        <v>0</v>
      </c>
      <c r="E761" s="3">
        <v>2199.5</v>
      </c>
      <c r="F761" s="3">
        <v>2263.0499999999997</v>
      </c>
    </row>
    <row r="762" spans="2:6" x14ac:dyDescent="0.3">
      <c r="B762" s="3">
        <v>751</v>
      </c>
      <c r="C762" s="3">
        <v>65.450000000000017</v>
      </c>
      <c r="D762" s="3">
        <v>0</v>
      </c>
      <c r="E762" s="3">
        <v>2199.5</v>
      </c>
      <c r="F762" s="3">
        <v>2264.9499999999998</v>
      </c>
    </row>
    <row r="763" spans="2:6" x14ac:dyDescent="0.3">
      <c r="B763" s="3">
        <v>752</v>
      </c>
      <c r="C763" s="3">
        <v>57.15</v>
      </c>
      <c r="D763" s="3">
        <v>0</v>
      </c>
      <c r="E763" s="3">
        <v>2199.5</v>
      </c>
      <c r="F763" s="3">
        <v>2256.65</v>
      </c>
    </row>
    <row r="764" spans="2:6" x14ac:dyDescent="0.3">
      <c r="B764" s="3">
        <v>753</v>
      </c>
      <c r="C764" s="3">
        <v>55.85</v>
      </c>
      <c r="D764" s="3">
        <v>0</v>
      </c>
      <c r="E764" s="3">
        <v>2199.5</v>
      </c>
      <c r="F764" s="3">
        <v>2255.35</v>
      </c>
    </row>
    <row r="765" spans="2:6" x14ac:dyDescent="0.3">
      <c r="B765" s="3">
        <v>754</v>
      </c>
      <c r="C765" s="3">
        <v>60.25</v>
      </c>
      <c r="D765" s="3">
        <v>0</v>
      </c>
      <c r="E765" s="3">
        <v>2199.5</v>
      </c>
      <c r="F765" s="3">
        <v>2259.7500000000005</v>
      </c>
    </row>
    <row r="766" spans="2:6" x14ac:dyDescent="0.3">
      <c r="B766" s="3">
        <v>755</v>
      </c>
      <c r="C766" s="3">
        <v>61.700000000000024</v>
      </c>
      <c r="D766" s="3">
        <v>0</v>
      </c>
      <c r="E766" s="3">
        <v>2199.5</v>
      </c>
      <c r="F766" s="3">
        <v>2261.1999999999989</v>
      </c>
    </row>
    <row r="767" spans="2:6" x14ac:dyDescent="0.3">
      <c r="B767" s="3">
        <v>756</v>
      </c>
      <c r="C767" s="3">
        <v>62.849999999999987</v>
      </c>
      <c r="D767" s="3">
        <v>0</v>
      </c>
      <c r="E767" s="3">
        <v>2199.5</v>
      </c>
      <c r="F767" s="3">
        <v>2262.3500000000008</v>
      </c>
    </row>
    <row r="768" spans="2:6" x14ac:dyDescent="0.3">
      <c r="B768" s="3">
        <v>757</v>
      </c>
      <c r="C768" s="3">
        <v>64.200000000000017</v>
      </c>
      <c r="D768" s="3">
        <v>0</v>
      </c>
      <c r="E768" s="3">
        <v>2199.5</v>
      </c>
      <c r="F768" s="3">
        <v>2263.7000000000007</v>
      </c>
    </row>
    <row r="769" spans="2:6" x14ac:dyDescent="0.3">
      <c r="B769" s="3">
        <v>758</v>
      </c>
      <c r="C769" s="3">
        <v>61.9</v>
      </c>
      <c r="D769" s="3">
        <v>0</v>
      </c>
      <c r="E769" s="3">
        <v>2199.5</v>
      </c>
      <c r="F769" s="3">
        <v>2261.3999999999996</v>
      </c>
    </row>
    <row r="770" spans="2:6" x14ac:dyDescent="0.3">
      <c r="B770" s="3">
        <v>759</v>
      </c>
      <c r="C770" s="3">
        <v>64.5</v>
      </c>
      <c r="D770" s="3">
        <v>0</v>
      </c>
      <c r="E770" s="3">
        <v>2199.5</v>
      </c>
      <c r="F770" s="3">
        <v>2264</v>
      </c>
    </row>
    <row r="771" spans="2:6" x14ac:dyDescent="0.3">
      <c r="B771" s="3">
        <v>760</v>
      </c>
      <c r="C771" s="3">
        <v>63.8</v>
      </c>
      <c r="D771" s="3">
        <v>0</v>
      </c>
      <c r="E771" s="3">
        <v>2199.5</v>
      </c>
      <c r="F771" s="3">
        <v>2263.3000000000006</v>
      </c>
    </row>
    <row r="772" spans="2:6" x14ac:dyDescent="0.3">
      <c r="B772" s="3">
        <v>761</v>
      </c>
      <c r="C772" s="3">
        <v>61.09999999999998</v>
      </c>
      <c r="D772" s="3">
        <v>0</v>
      </c>
      <c r="E772" s="3">
        <v>2199.5</v>
      </c>
      <c r="F772" s="3">
        <v>2260.6</v>
      </c>
    </row>
    <row r="773" spans="2:6" x14ac:dyDescent="0.3">
      <c r="B773" s="3">
        <v>762</v>
      </c>
      <c r="C773" s="3">
        <v>60.050000000000004</v>
      </c>
      <c r="D773" s="3">
        <v>0</v>
      </c>
      <c r="E773" s="3">
        <v>2199.5</v>
      </c>
      <c r="F773" s="3">
        <v>2259.5499999999993</v>
      </c>
    </row>
    <row r="774" spans="2:6" x14ac:dyDescent="0.3">
      <c r="B774" s="3">
        <v>763</v>
      </c>
      <c r="C774" s="3">
        <v>58.8</v>
      </c>
      <c r="D774" s="3">
        <v>0</v>
      </c>
      <c r="E774" s="3">
        <v>2199.5</v>
      </c>
      <c r="F774" s="3">
        <v>2258.2999999999997</v>
      </c>
    </row>
    <row r="775" spans="2:6" x14ac:dyDescent="0.3">
      <c r="B775" s="3">
        <v>764</v>
      </c>
      <c r="C775" s="3">
        <v>59.249999999999993</v>
      </c>
      <c r="D775" s="3">
        <v>0</v>
      </c>
      <c r="E775" s="3">
        <v>2199.5</v>
      </c>
      <c r="F775" s="3">
        <v>2258.7500000000005</v>
      </c>
    </row>
    <row r="776" spans="2:6" x14ac:dyDescent="0.3">
      <c r="B776" s="3">
        <v>765</v>
      </c>
      <c r="C776" s="3">
        <v>61.54999999999999</v>
      </c>
      <c r="D776" s="3">
        <v>0</v>
      </c>
      <c r="E776" s="3">
        <v>2199.5</v>
      </c>
      <c r="F776" s="3">
        <v>2261.0499999999997</v>
      </c>
    </row>
    <row r="777" spans="2:6" x14ac:dyDescent="0.3">
      <c r="B777" s="3">
        <v>766</v>
      </c>
      <c r="C777" s="3">
        <v>62.100000000000016</v>
      </c>
      <c r="D777" s="3">
        <v>0</v>
      </c>
      <c r="E777" s="3">
        <v>2199.5</v>
      </c>
      <c r="F777" s="3">
        <v>2261.599999999999</v>
      </c>
    </row>
    <row r="778" spans="2:6" x14ac:dyDescent="0.3">
      <c r="B778" s="3">
        <v>767</v>
      </c>
      <c r="C778" s="3">
        <v>58.650000000000006</v>
      </c>
      <c r="D778" s="3">
        <v>0</v>
      </c>
      <c r="E778" s="3">
        <v>2199.5</v>
      </c>
      <c r="F778" s="3">
        <v>2258.1499999999996</v>
      </c>
    </row>
    <row r="779" spans="2:6" x14ac:dyDescent="0.3">
      <c r="B779" s="3">
        <v>768</v>
      </c>
      <c r="C779" s="3">
        <v>61.300000000000011</v>
      </c>
      <c r="D779" s="3">
        <v>0</v>
      </c>
      <c r="E779" s="3">
        <v>2199.5</v>
      </c>
      <c r="F779" s="3">
        <v>2260.7999999999997</v>
      </c>
    </row>
    <row r="780" spans="2:6" x14ac:dyDescent="0.3">
      <c r="B780" s="3">
        <v>769</v>
      </c>
      <c r="C780" s="3">
        <v>66.200000000000017</v>
      </c>
      <c r="D780" s="3">
        <v>0</v>
      </c>
      <c r="E780" s="3">
        <v>2199.5</v>
      </c>
      <c r="F780" s="3">
        <v>2265.6999999999994</v>
      </c>
    </row>
    <row r="781" spans="2:6" x14ac:dyDescent="0.3">
      <c r="B781" s="3">
        <v>770</v>
      </c>
      <c r="C781" s="3">
        <v>59.699999999999982</v>
      </c>
      <c r="D781" s="3">
        <v>0</v>
      </c>
      <c r="E781" s="3">
        <v>2199.5</v>
      </c>
      <c r="F781" s="3">
        <v>2259.2000000000003</v>
      </c>
    </row>
    <row r="782" spans="2:6" x14ac:dyDescent="0.3">
      <c r="B782" s="3">
        <v>771</v>
      </c>
      <c r="C782" s="3">
        <v>59</v>
      </c>
      <c r="D782" s="3">
        <v>0</v>
      </c>
      <c r="E782" s="3">
        <v>2199.5</v>
      </c>
      <c r="F782" s="3">
        <v>2258.5</v>
      </c>
    </row>
    <row r="783" spans="2:6" x14ac:dyDescent="0.3">
      <c r="B783" s="3">
        <v>772</v>
      </c>
      <c r="C783" s="3">
        <v>62.150000000000006</v>
      </c>
      <c r="D783" s="3">
        <v>0</v>
      </c>
      <c r="E783" s="3">
        <v>2199.5</v>
      </c>
      <c r="F783" s="3">
        <v>2261.6500000000005</v>
      </c>
    </row>
    <row r="784" spans="2:6" x14ac:dyDescent="0.3">
      <c r="B784" s="3">
        <v>773</v>
      </c>
      <c r="C784" s="3">
        <v>59.25</v>
      </c>
      <c r="D784" s="3">
        <v>0</v>
      </c>
      <c r="E784" s="3">
        <v>2199.5</v>
      </c>
      <c r="F784" s="3">
        <v>2258.75</v>
      </c>
    </row>
    <row r="785" spans="2:6" x14ac:dyDescent="0.3">
      <c r="B785" s="3">
        <v>774</v>
      </c>
      <c r="C785" s="3">
        <v>66.250000000000014</v>
      </c>
      <c r="D785" s="3">
        <v>0</v>
      </c>
      <c r="E785" s="3">
        <v>2199.5</v>
      </c>
      <c r="F785" s="3">
        <v>2265.75</v>
      </c>
    </row>
    <row r="786" spans="2:6" x14ac:dyDescent="0.3">
      <c r="B786" s="3">
        <v>775</v>
      </c>
      <c r="C786" s="3">
        <v>65.7</v>
      </c>
      <c r="D786" s="3">
        <v>0</v>
      </c>
      <c r="E786" s="3">
        <v>2199.5</v>
      </c>
      <c r="F786" s="3">
        <v>2265.2000000000003</v>
      </c>
    </row>
    <row r="787" spans="2:6" x14ac:dyDescent="0.3">
      <c r="B787" s="3">
        <v>776</v>
      </c>
      <c r="C787" s="3">
        <v>63.849999999999987</v>
      </c>
      <c r="D787" s="3">
        <v>0</v>
      </c>
      <c r="E787" s="3">
        <v>2199.5</v>
      </c>
      <c r="F787" s="3">
        <v>2263.3499999999995</v>
      </c>
    </row>
    <row r="788" spans="2:6" x14ac:dyDescent="0.3">
      <c r="B788" s="3">
        <v>777</v>
      </c>
      <c r="C788" s="3">
        <v>55.9</v>
      </c>
      <c r="D788" s="3">
        <v>0</v>
      </c>
      <c r="E788" s="3">
        <v>1099.75</v>
      </c>
      <c r="F788" s="3">
        <v>1155.6500000000001</v>
      </c>
    </row>
    <row r="789" spans="2:6" x14ac:dyDescent="0.3">
      <c r="B789" s="3">
        <v>778</v>
      </c>
      <c r="C789" s="3">
        <v>56.250000000000007</v>
      </c>
      <c r="D789" s="3">
        <v>0</v>
      </c>
      <c r="E789" s="3">
        <v>2199.5</v>
      </c>
      <c r="F789" s="3">
        <v>2255.7500000000005</v>
      </c>
    </row>
    <row r="790" spans="2:6" x14ac:dyDescent="0.3">
      <c r="B790" s="3">
        <v>779</v>
      </c>
      <c r="C790" s="3">
        <v>59.1</v>
      </c>
      <c r="D790" s="3">
        <v>0</v>
      </c>
      <c r="E790" s="3">
        <v>2199.5</v>
      </c>
      <c r="F790" s="3">
        <v>2258.5999999999995</v>
      </c>
    </row>
    <row r="791" spans="2:6" x14ac:dyDescent="0.3">
      <c r="B791" s="3">
        <v>780</v>
      </c>
      <c r="C791" s="3">
        <v>59.7</v>
      </c>
      <c r="D791" s="3">
        <v>0</v>
      </c>
      <c r="E791" s="3">
        <v>1099.75</v>
      </c>
      <c r="F791" s="3">
        <v>1159.45</v>
      </c>
    </row>
    <row r="792" spans="2:6" x14ac:dyDescent="0.3">
      <c r="B792" s="3">
        <v>781</v>
      </c>
      <c r="C792" s="3">
        <v>62.45</v>
      </c>
      <c r="D792" s="3">
        <v>0</v>
      </c>
      <c r="E792" s="3">
        <v>2199.5</v>
      </c>
      <c r="F792" s="3">
        <v>2261.9499999999998</v>
      </c>
    </row>
    <row r="793" spans="2:6" x14ac:dyDescent="0.3">
      <c r="B793" s="3">
        <v>782</v>
      </c>
      <c r="C793" s="3">
        <v>62.15</v>
      </c>
      <c r="D793" s="3">
        <v>0</v>
      </c>
      <c r="E793" s="3">
        <v>2199.5</v>
      </c>
      <c r="F793" s="3">
        <v>2261.65</v>
      </c>
    </row>
    <row r="794" spans="2:6" x14ac:dyDescent="0.3">
      <c r="B794" s="3">
        <v>783</v>
      </c>
      <c r="C794" s="3">
        <v>63</v>
      </c>
      <c r="D794" s="3">
        <v>0</v>
      </c>
      <c r="E794" s="3">
        <v>2199.5</v>
      </c>
      <c r="F794" s="3">
        <v>2262.5</v>
      </c>
    </row>
    <row r="795" spans="2:6" x14ac:dyDescent="0.3">
      <c r="B795" s="3">
        <v>784</v>
      </c>
      <c r="C795" s="3">
        <v>61.749999999999986</v>
      </c>
      <c r="D795" s="3">
        <v>0</v>
      </c>
      <c r="E795" s="3">
        <v>2199.5</v>
      </c>
      <c r="F795" s="3">
        <v>2261.25</v>
      </c>
    </row>
    <row r="796" spans="2:6" x14ac:dyDescent="0.3">
      <c r="B796" s="3">
        <v>785</v>
      </c>
      <c r="C796" s="3">
        <v>64.7</v>
      </c>
      <c r="D796" s="3">
        <v>0</v>
      </c>
      <c r="E796" s="3">
        <v>2199.5</v>
      </c>
      <c r="F796" s="3">
        <v>2264.1999999999998</v>
      </c>
    </row>
    <row r="797" spans="2:6" x14ac:dyDescent="0.3">
      <c r="B797" s="3">
        <v>786</v>
      </c>
      <c r="C797" s="3">
        <v>63.300000000000011</v>
      </c>
      <c r="D797" s="3">
        <v>0</v>
      </c>
      <c r="E797" s="3">
        <v>2199.5</v>
      </c>
      <c r="F797" s="3">
        <v>2262.7999999999993</v>
      </c>
    </row>
    <row r="798" spans="2:6" x14ac:dyDescent="0.3">
      <c r="B798" s="3">
        <v>787</v>
      </c>
      <c r="C798" s="3">
        <v>64.5</v>
      </c>
      <c r="D798" s="3">
        <v>0</v>
      </c>
      <c r="E798" s="3">
        <v>2199.5</v>
      </c>
      <c r="F798" s="3">
        <v>2264</v>
      </c>
    </row>
    <row r="799" spans="2:6" x14ac:dyDescent="0.3">
      <c r="B799" s="3">
        <v>788</v>
      </c>
      <c r="C799" s="3">
        <v>63.349999999999994</v>
      </c>
      <c r="D799" s="3">
        <v>0</v>
      </c>
      <c r="E799" s="3">
        <v>2199.5</v>
      </c>
      <c r="F799" s="3">
        <v>2262.85</v>
      </c>
    </row>
    <row r="800" spans="2:6" x14ac:dyDescent="0.3">
      <c r="B800" s="3">
        <v>789</v>
      </c>
      <c r="C800" s="3">
        <v>58.349999999999994</v>
      </c>
      <c r="D800" s="3">
        <v>0</v>
      </c>
      <c r="E800" s="3">
        <v>2199.5</v>
      </c>
      <c r="F800" s="3">
        <v>2257.8500000000004</v>
      </c>
    </row>
    <row r="801" spans="2:6" x14ac:dyDescent="0.3">
      <c r="B801" s="3">
        <v>790</v>
      </c>
      <c r="C801" s="3">
        <v>62.499999999999986</v>
      </c>
      <c r="D801" s="3">
        <v>0</v>
      </c>
      <c r="E801" s="3">
        <v>2199.5</v>
      </c>
      <c r="F801" s="3">
        <v>2262</v>
      </c>
    </row>
    <row r="802" spans="2:6" x14ac:dyDescent="0.3">
      <c r="B802" s="3">
        <v>791</v>
      </c>
      <c r="C802" s="3">
        <v>60.500000000000014</v>
      </c>
      <c r="D802" s="3">
        <v>0</v>
      </c>
      <c r="E802" s="3">
        <v>2199.5</v>
      </c>
      <c r="F802" s="3">
        <v>2259.9999999999995</v>
      </c>
    </row>
    <row r="803" spans="2:6" x14ac:dyDescent="0.3">
      <c r="B803" s="3">
        <v>792</v>
      </c>
      <c r="C803" s="3">
        <v>57.750000000000014</v>
      </c>
      <c r="D803" s="3">
        <v>0</v>
      </c>
      <c r="E803" s="3">
        <v>2199.5</v>
      </c>
      <c r="F803" s="3">
        <v>2257.25</v>
      </c>
    </row>
    <row r="804" spans="2:6" x14ac:dyDescent="0.3">
      <c r="B804" s="3">
        <v>793</v>
      </c>
      <c r="C804" s="3">
        <v>57.75</v>
      </c>
      <c r="D804" s="3">
        <v>0</v>
      </c>
      <c r="E804" s="3">
        <v>2199.5</v>
      </c>
      <c r="F804" s="3">
        <v>2257.25</v>
      </c>
    </row>
    <row r="805" spans="2:6" x14ac:dyDescent="0.3">
      <c r="B805" s="3">
        <v>794</v>
      </c>
      <c r="C805" s="3">
        <v>60.950000000000017</v>
      </c>
      <c r="D805" s="3">
        <v>0</v>
      </c>
      <c r="E805" s="3">
        <v>2199.5</v>
      </c>
      <c r="F805" s="3">
        <v>2260.4499999999998</v>
      </c>
    </row>
    <row r="806" spans="2:6" x14ac:dyDescent="0.3">
      <c r="B806" s="3">
        <v>795</v>
      </c>
      <c r="C806" s="3">
        <v>63.15</v>
      </c>
      <c r="D806" s="3">
        <v>0</v>
      </c>
      <c r="E806" s="3">
        <v>2199.5</v>
      </c>
      <c r="F806" s="3">
        <v>2262.65</v>
      </c>
    </row>
    <row r="807" spans="2:6" x14ac:dyDescent="0.3">
      <c r="B807" s="3">
        <v>796</v>
      </c>
      <c r="C807" s="3">
        <v>61.949999999999989</v>
      </c>
      <c r="D807" s="3">
        <v>0</v>
      </c>
      <c r="E807" s="3">
        <v>1099.75</v>
      </c>
      <c r="F807" s="3">
        <v>1161.7</v>
      </c>
    </row>
    <row r="808" spans="2:6" x14ac:dyDescent="0.3">
      <c r="B808" s="3">
        <v>797</v>
      </c>
      <c r="C808" s="3">
        <v>62.550000000000026</v>
      </c>
      <c r="D808" s="3">
        <v>0</v>
      </c>
      <c r="E808" s="3">
        <v>2199.5</v>
      </c>
      <c r="F808" s="3">
        <v>2262.0499999999997</v>
      </c>
    </row>
    <row r="809" spans="2:6" x14ac:dyDescent="0.3">
      <c r="B809" s="3">
        <v>798</v>
      </c>
      <c r="C809" s="3">
        <v>58.499999999999979</v>
      </c>
      <c r="D809" s="3">
        <v>0</v>
      </c>
      <c r="E809" s="3">
        <v>2199.5</v>
      </c>
      <c r="F809" s="3">
        <v>2258.0000000000005</v>
      </c>
    </row>
    <row r="810" spans="2:6" x14ac:dyDescent="0.3">
      <c r="B810" s="3">
        <v>799</v>
      </c>
      <c r="C810" s="3">
        <v>65.750000000000014</v>
      </c>
      <c r="D810" s="3">
        <v>0</v>
      </c>
      <c r="E810" s="3">
        <v>2199.5</v>
      </c>
      <c r="F810" s="3">
        <v>2265.2500000000005</v>
      </c>
    </row>
    <row r="811" spans="2:6" x14ac:dyDescent="0.3">
      <c r="B811" s="3">
        <v>800</v>
      </c>
      <c r="C811" s="3">
        <v>62.35</v>
      </c>
      <c r="D811" s="3">
        <v>0</v>
      </c>
      <c r="E811" s="3">
        <v>2199.5</v>
      </c>
      <c r="F811" s="3">
        <v>2261.8500000000004</v>
      </c>
    </row>
    <row r="812" spans="2:6" x14ac:dyDescent="0.3">
      <c r="B812" s="3">
        <v>801</v>
      </c>
      <c r="C812" s="3">
        <v>58.749999999999993</v>
      </c>
      <c r="D812" s="3">
        <v>0</v>
      </c>
      <c r="E812" s="3">
        <v>2199.5</v>
      </c>
      <c r="F812" s="3">
        <v>2258.25</v>
      </c>
    </row>
    <row r="813" spans="2:6" x14ac:dyDescent="0.3">
      <c r="B813" s="3">
        <v>802</v>
      </c>
      <c r="C813" s="3">
        <v>60.999999999999993</v>
      </c>
      <c r="D813" s="3">
        <v>0</v>
      </c>
      <c r="E813" s="3">
        <v>2199.5</v>
      </c>
      <c r="F813" s="3">
        <v>2260.5</v>
      </c>
    </row>
    <row r="814" spans="2:6" x14ac:dyDescent="0.3">
      <c r="B814" s="3">
        <v>803</v>
      </c>
      <c r="C814" s="3">
        <v>56.250000000000007</v>
      </c>
      <c r="D814" s="3">
        <v>0</v>
      </c>
      <c r="E814" s="3">
        <v>2199.5</v>
      </c>
      <c r="F814" s="3">
        <v>2255.75</v>
      </c>
    </row>
    <row r="815" spans="2:6" x14ac:dyDescent="0.3">
      <c r="B815" s="3">
        <v>804</v>
      </c>
      <c r="C815" s="3">
        <v>57.25</v>
      </c>
      <c r="D815" s="3">
        <v>0</v>
      </c>
      <c r="E815" s="3">
        <v>2199.5</v>
      </c>
      <c r="F815" s="3">
        <v>2256.75</v>
      </c>
    </row>
    <row r="816" spans="2:6" x14ac:dyDescent="0.3">
      <c r="B816" s="3">
        <v>805</v>
      </c>
      <c r="C816" s="3">
        <v>64.40000000000002</v>
      </c>
      <c r="D816" s="3">
        <v>0</v>
      </c>
      <c r="E816" s="3">
        <v>2199.5</v>
      </c>
      <c r="F816" s="3">
        <v>2263.8999999999996</v>
      </c>
    </row>
    <row r="817" spans="2:6" x14ac:dyDescent="0.3">
      <c r="B817" s="3">
        <v>806</v>
      </c>
      <c r="C817" s="3">
        <v>62.25</v>
      </c>
      <c r="D817" s="3">
        <v>0</v>
      </c>
      <c r="E817" s="3">
        <v>1099.75</v>
      </c>
      <c r="F817" s="3">
        <v>1162</v>
      </c>
    </row>
    <row r="818" spans="2:6" x14ac:dyDescent="0.3">
      <c r="B818" s="3">
        <v>807</v>
      </c>
      <c r="C818" s="3">
        <v>63.650000000000013</v>
      </c>
      <c r="D818" s="3">
        <v>0</v>
      </c>
      <c r="E818" s="3">
        <v>2199.5</v>
      </c>
      <c r="F818" s="3">
        <v>2263.1500000000005</v>
      </c>
    </row>
    <row r="819" spans="2:6" x14ac:dyDescent="0.3">
      <c r="B819" s="3">
        <v>808</v>
      </c>
      <c r="C819" s="3">
        <v>62.150000000000013</v>
      </c>
      <c r="D819" s="3">
        <v>0</v>
      </c>
      <c r="E819" s="3">
        <v>2199.5</v>
      </c>
      <c r="F819" s="3">
        <v>2261.6499999999992</v>
      </c>
    </row>
    <row r="820" spans="2:6" x14ac:dyDescent="0.3">
      <c r="B820" s="3">
        <v>809</v>
      </c>
      <c r="C820" s="3">
        <v>60.95000000000001</v>
      </c>
      <c r="D820" s="3">
        <v>0</v>
      </c>
      <c r="E820" s="3">
        <v>2199.5</v>
      </c>
      <c r="F820" s="3">
        <v>2260.4499999999998</v>
      </c>
    </row>
    <row r="821" spans="2:6" x14ac:dyDescent="0.3">
      <c r="B821" s="3">
        <v>810</v>
      </c>
      <c r="C821" s="3">
        <v>61.300000000000004</v>
      </c>
      <c r="D821" s="3">
        <v>0</v>
      </c>
      <c r="E821" s="3">
        <v>2199.5</v>
      </c>
      <c r="F821" s="3">
        <v>2260.7999999999993</v>
      </c>
    </row>
    <row r="822" spans="2:6" x14ac:dyDescent="0.3">
      <c r="B822" s="3">
        <v>811</v>
      </c>
      <c r="C822" s="3">
        <v>61.400000000000006</v>
      </c>
      <c r="D822" s="3">
        <v>0</v>
      </c>
      <c r="E822" s="3">
        <v>2199.5</v>
      </c>
      <c r="F822" s="3">
        <v>2260.8999999999996</v>
      </c>
    </row>
    <row r="823" spans="2:6" x14ac:dyDescent="0.3">
      <c r="B823" s="3">
        <v>812</v>
      </c>
      <c r="C823" s="3">
        <v>64.75</v>
      </c>
      <c r="D823" s="3">
        <v>0</v>
      </c>
      <c r="E823" s="3">
        <v>2199.5</v>
      </c>
      <c r="F823" s="3">
        <v>2264.2499999999991</v>
      </c>
    </row>
    <row r="824" spans="2:6" x14ac:dyDescent="0.3">
      <c r="B824" s="3">
        <v>813</v>
      </c>
      <c r="C824" s="3">
        <v>65.849999999999994</v>
      </c>
      <c r="D824" s="3">
        <v>0</v>
      </c>
      <c r="E824" s="3">
        <v>2199.5</v>
      </c>
      <c r="F824" s="3">
        <v>2265.3500000000008</v>
      </c>
    </row>
    <row r="825" spans="2:6" x14ac:dyDescent="0.3">
      <c r="B825" s="3">
        <v>814</v>
      </c>
      <c r="C825" s="3">
        <v>64.750000000000014</v>
      </c>
      <c r="D825" s="3">
        <v>0</v>
      </c>
      <c r="E825" s="3">
        <v>2199.5</v>
      </c>
      <c r="F825" s="3">
        <v>2264.2499999999995</v>
      </c>
    </row>
    <row r="826" spans="2:6" x14ac:dyDescent="0.3">
      <c r="B826" s="3">
        <v>815</v>
      </c>
      <c r="C826" s="3">
        <v>57.65</v>
      </c>
      <c r="D826" s="3">
        <v>0</v>
      </c>
      <c r="E826" s="3">
        <v>2199.5</v>
      </c>
      <c r="F826" s="3">
        <v>2257.15</v>
      </c>
    </row>
    <row r="827" spans="2:6" x14ac:dyDescent="0.3">
      <c r="B827" s="3">
        <v>816</v>
      </c>
      <c r="C827" s="3">
        <v>66.55</v>
      </c>
      <c r="D827" s="3">
        <v>0</v>
      </c>
      <c r="E827" s="3">
        <v>2199.5</v>
      </c>
      <c r="F827" s="3">
        <v>2266.0499999999997</v>
      </c>
    </row>
    <row r="828" spans="2:6" x14ac:dyDescent="0.3">
      <c r="B828" s="3">
        <v>817</v>
      </c>
      <c r="C828" s="3">
        <v>59.5</v>
      </c>
      <c r="D828" s="3">
        <v>0</v>
      </c>
      <c r="E828" s="3">
        <v>2199.5</v>
      </c>
      <c r="F828" s="3">
        <v>2259</v>
      </c>
    </row>
    <row r="829" spans="2:6" x14ac:dyDescent="0.3">
      <c r="B829" s="3">
        <v>818</v>
      </c>
      <c r="C829" s="3">
        <v>59.949999999999982</v>
      </c>
      <c r="D829" s="3">
        <v>0</v>
      </c>
      <c r="E829" s="3">
        <v>2199.5</v>
      </c>
      <c r="F829" s="3">
        <v>2259.4500000000007</v>
      </c>
    </row>
    <row r="830" spans="2:6" x14ac:dyDescent="0.3">
      <c r="B830" s="3">
        <v>819</v>
      </c>
      <c r="C830" s="3">
        <v>56.75</v>
      </c>
      <c r="D830" s="3">
        <v>0</v>
      </c>
      <c r="E830" s="3">
        <v>2199.5</v>
      </c>
      <c r="F830" s="3">
        <v>2256.2500000000005</v>
      </c>
    </row>
    <row r="831" spans="2:6" x14ac:dyDescent="0.3">
      <c r="B831" s="3">
        <v>820</v>
      </c>
      <c r="C831" s="3">
        <v>60.599999999999994</v>
      </c>
      <c r="D831" s="3">
        <v>0</v>
      </c>
      <c r="E831" s="3">
        <v>1099.75</v>
      </c>
      <c r="F831" s="3">
        <v>1160.3499999999999</v>
      </c>
    </row>
    <row r="832" spans="2:6" x14ac:dyDescent="0.3">
      <c r="B832" s="3">
        <v>821</v>
      </c>
      <c r="C832" s="3">
        <v>63.749999999999986</v>
      </c>
      <c r="D832" s="3">
        <v>0</v>
      </c>
      <c r="E832" s="3">
        <v>2199.5</v>
      </c>
      <c r="F832" s="3">
        <v>2263.2500000000005</v>
      </c>
    </row>
    <row r="833" spans="2:6" x14ac:dyDescent="0.3">
      <c r="B833" s="3">
        <v>822</v>
      </c>
      <c r="C833" s="3">
        <v>63.550000000000004</v>
      </c>
      <c r="D833" s="3">
        <v>0</v>
      </c>
      <c r="E833" s="3">
        <v>2199.5</v>
      </c>
      <c r="F833" s="3">
        <v>2263.0500000000002</v>
      </c>
    </row>
    <row r="834" spans="2:6" x14ac:dyDescent="0.3">
      <c r="B834" s="3">
        <v>823</v>
      </c>
      <c r="C834" s="3">
        <v>62.149999999999991</v>
      </c>
      <c r="D834" s="3">
        <v>0</v>
      </c>
      <c r="E834" s="3">
        <v>2199.5</v>
      </c>
      <c r="F834" s="3">
        <v>2261.6500000000005</v>
      </c>
    </row>
    <row r="835" spans="2:6" x14ac:dyDescent="0.3">
      <c r="B835" s="3">
        <v>824</v>
      </c>
      <c r="C835" s="3">
        <v>60.100000000000009</v>
      </c>
      <c r="D835" s="3">
        <v>0</v>
      </c>
      <c r="E835" s="3">
        <v>2199.5</v>
      </c>
      <c r="F835" s="3">
        <v>2259.6</v>
      </c>
    </row>
    <row r="836" spans="2:6" x14ac:dyDescent="0.3">
      <c r="B836" s="3">
        <v>825</v>
      </c>
      <c r="C836" s="3">
        <v>62.500000000000007</v>
      </c>
      <c r="D836" s="3">
        <v>0</v>
      </c>
      <c r="E836" s="3">
        <v>2199.5</v>
      </c>
      <c r="F836" s="3">
        <v>2261.9999999999995</v>
      </c>
    </row>
    <row r="837" spans="2:6" x14ac:dyDescent="0.3">
      <c r="B837" s="3">
        <v>826</v>
      </c>
      <c r="C837" s="3">
        <v>61.199999999999996</v>
      </c>
      <c r="D837" s="3">
        <v>0</v>
      </c>
      <c r="E837" s="3">
        <v>2199.5</v>
      </c>
      <c r="F837" s="3">
        <v>2260.7000000000003</v>
      </c>
    </row>
    <row r="838" spans="2:6" x14ac:dyDescent="0.3">
      <c r="B838" s="3">
        <v>827</v>
      </c>
      <c r="C838" s="3">
        <v>64.5</v>
      </c>
      <c r="D838" s="3">
        <v>0</v>
      </c>
      <c r="E838" s="3">
        <v>2199.5</v>
      </c>
      <c r="F838" s="3">
        <v>2263.9999999999995</v>
      </c>
    </row>
    <row r="839" spans="2:6" x14ac:dyDescent="0.3">
      <c r="B839" s="3">
        <v>828</v>
      </c>
      <c r="C839" s="3">
        <v>60.4</v>
      </c>
      <c r="D839" s="3">
        <v>0</v>
      </c>
      <c r="E839" s="3">
        <v>2199.5</v>
      </c>
      <c r="F839" s="3">
        <v>2259.9</v>
      </c>
    </row>
    <row r="840" spans="2:6" x14ac:dyDescent="0.3">
      <c r="B840" s="3">
        <v>829</v>
      </c>
      <c r="C840" s="3">
        <v>64.8</v>
      </c>
      <c r="D840" s="3">
        <v>0</v>
      </c>
      <c r="E840" s="3">
        <v>2199.5</v>
      </c>
      <c r="F840" s="3">
        <v>2264.3000000000002</v>
      </c>
    </row>
    <row r="841" spans="2:6" x14ac:dyDescent="0.3">
      <c r="B841" s="3">
        <v>830</v>
      </c>
      <c r="C841" s="3">
        <v>67.049999999999983</v>
      </c>
      <c r="D841" s="3">
        <v>0</v>
      </c>
      <c r="E841" s="3">
        <v>2199.5</v>
      </c>
      <c r="F841" s="3">
        <v>2266.5500000000002</v>
      </c>
    </row>
    <row r="842" spans="2:6" x14ac:dyDescent="0.3">
      <c r="B842" s="3">
        <v>831</v>
      </c>
      <c r="C842" s="3">
        <v>56.25</v>
      </c>
      <c r="D842" s="3">
        <v>0</v>
      </c>
      <c r="E842" s="3">
        <v>2199.5</v>
      </c>
      <c r="F842" s="3">
        <v>2255.7500000000005</v>
      </c>
    </row>
    <row r="843" spans="2:6" x14ac:dyDescent="0.3">
      <c r="B843" s="3">
        <v>832</v>
      </c>
      <c r="C843" s="3">
        <v>64.95</v>
      </c>
      <c r="D843" s="3">
        <v>0</v>
      </c>
      <c r="E843" s="3">
        <v>2199.5</v>
      </c>
      <c r="F843" s="3">
        <v>2264.4500000000003</v>
      </c>
    </row>
    <row r="844" spans="2:6" x14ac:dyDescent="0.3">
      <c r="B844" s="3">
        <v>833</v>
      </c>
      <c r="C844" s="3">
        <v>62.25</v>
      </c>
      <c r="D844" s="3">
        <v>0</v>
      </c>
      <c r="E844" s="3">
        <v>2199.5</v>
      </c>
      <c r="F844" s="3">
        <v>2261.75</v>
      </c>
    </row>
    <row r="845" spans="2:6" x14ac:dyDescent="0.3">
      <c r="B845" s="3">
        <v>834</v>
      </c>
      <c r="C845" s="3">
        <v>64.500000000000028</v>
      </c>
      <c r="D845" s="3">
        <v>0</v>
      </c>
      <c r="E845" s="3">
        <v>2199.5</v>
      </c>
      <c r="F845" s="3">
        <v>2263.9999999999991</v>
      </c>
    </row>
    <row r="846" spans="2:6" x14ac:dyDescent="0.3">
      <c r="B846" s="3">
        <v>835</v>
      </c>
      <c r="C846" s="3">
        <v>59.900000000000006</v>
      </c>
      <c r="D846" s="3">
        <v>0</v>
      </c>
      <c r="E846" s="3">
        <v>2199.5</v>
      </c>
      <c r="F846" s="3">
        <v>2259.3999999999996</v>
      </c>
    </row>
    <row r="847" spans="2:6" x14ac:dyDescent="0.3">
      <c r="B847" s="3">
        <v>836</v>
      </c>
      <c r="C847" s="3">
        <v>62.150000000000006</v>
      </c>
      <c r="D847" s="3">
        <v>0</v>
      </c>
      <c r="E847" s="3">
        <v>1099.75</v>
      </c>
      <c r="F847" s="3">
        <v>1161.8999999999999</v>
      </c>
    </row>
    <row r="848" spans="2:6" x14ac:dyDescent="0.3">
      <c r="B848" s="3">
        <v>837</v>
      </c>
      <c r="C848" s="3">
        <v>61.95</v>
      </c>
      <c r="D848" s="3">
        <v>0</v>
      </c>
      <c r="E848" s="3">
        <v>2199.5</v>
      </c>
      <c r="F848" s="3">
        <v>2261.4499999999998</v>
      </c>
    </row>
    <row r="849" spans="2:6" x14ac:dyDescent="0.3">
      <c r="B849" s="3">
        <v>838</v>
      </c>
      <c r="C849" s="3">
        <v>62.949999999999989</v>
      </c>
      <c r="D849" s="3">
        <v>0</v>
      </c>
      <c r="E849" s="3">
        <v>2199.5</v>
      </c>
      <c r="F849" s="3">
        <v>2262.4499999999998</v>
      </c>
    </row>
    <row r="850" spans="2:6" x14ac:dyDescent="0.3">
      <c r="B850" s="3">
        <v>839</v>
      </c>
      <c r="C850" s="3">
        <v>63.349999999999994</v>
      </c>
      <c r="D850" s="3">
        <v>0</v>
      </c>
      <c r="E850" s="3">
        <v>2199.5</v>
      </c>
      <c r="F850" s="3">
        <v>2262.8500000000004</v>
      </c>
    </row>
    <row r="851" spans="2:6" x14ac:dyDescent="0.3">
      <c r="B851" s="3">
        <v>840</v>
      </c>
      <c r="C851" s="3">
        <v>63.699999999999989</v>
      </c>
      <c r="D851" s="3">
        <v>0</v>
      </c>
      <c r="E851" s="3">
        <v>2199.5</v>
      </c>
      <c r="F851" s="3">
        <v>2263.1999999999998</v>
      </c>
    </row>
    <row r="852" spans="2:6" x14ac:dyDescent="0.3">
      <c r="B852" s="3">
        <v>841</v>
      </c>
      <c r="C852" s="3">
        <v>63.95</v>
      </c>
      <c r="D852" s="3">
        <v>0</v>
      </c>
      <c r="E852" s="3">
        <v>2199.5</v>
      </c>
      <c r="F852" s="3">
        <v>2263.4499999999998</v>
      </c>
    </row>
    <row r="853" spans="2:6" x14ac:dyDescent="0.3">
      <c r="B853" s="3">
        <v>842</v>
      </c>
      <c r="C853" s="3">
        <v>58.85</v>
      </c>
      <c r="D853" s="3">
        <v>0</v>
      </c>
      <c r="E853" s="3">
        <v>2199.5</v>
      </c>
      <c r="F853" s="3">
        <v>2258.35</v>
      </c>
    </row>
    <row r="854" spans="2:6" x14ac:dyDescent="0.3">
      <c r="B854" s="3">
        <v>843</v>
      </c>
      <c r="C854" s="3">
        <v>60.550000000000011</v>
      </c>
      <c r="D854" s="3">
        <v>0</v>
      </c>
      <c r="E854" s="3">
        <v>1099.75</v>
      </c>
      <c r="F854" s="3">
        <v>1160.2999999999995</v>
      </c>
    </row>
    <row r="855" spans="2:6" x14ac:dyDescent="0.3">
      <c r="B855" s="3">
        <v>844</v>
      </c>
      <c r="C855" s="3">
        <v>64.25</v>
      </c>
      <c r="D855" s="3">
        <v>0</v>
      </c>
      <c r="E855" s="3">
        <v>2199.5</v>
      </c>
      <c r="F855" s="3">
        <v>2263.75</v>
      </c>
    </row>
    <row r="856" spans="2:6" x14ac:dyDescent="0.3">
      <c r="B856" s="3">
        <v>845</v>
      </c>
      <c r="C856" s="3">
        <v>58.100000000000009</v>
      </c>
      <c r="D856" s="3">
        <v>0</v>
      </c>
      <c r="E856" s="3">
        <v>2199.5</v>
      </c>
      <c r="F856" s="3">
        <v>2257.5999999999995</v>
      </c>
    </row>
    <row r="857" spans="2:6" x14ac:dyDescent="0.3">
      <c r="B857" s="3">
        <v>846</v>
      </c>
      <c r="C857" s="3">
        <v>63.25</v>
      </c>
      <c r="D857" s="3">
        <v>0</v>
      </c>
      <c r="E857" s="3">
        <v>2199.5</v>
      </c>
      <c r="F857" s="3">
        <v>2262.7500000000005</v>
      </c>
    </row>
    <row r="858" spans="2:6" x14ac:dyDescent="0.3">
      <c r="B858" s="3">
        <v>847</v>
      </c>
      <c r="C858" s="3">
        <v>63.099999999999994</v>
      </c>
      <c r="D858" s="3">
        <v>0</v>
      </c>
      <c r="E858" s="3">
        <v>2199.5</v>
      </c>
      <c r="F858" s="3">
        <v>2262.6</v>
      </c>
    </row>
    <row r="859" spans="2:6" x14ac:dyDescent="0.3">
      <c r="B859" s="3">
        <v>848</v>
      </c>
      <c r="C859" s="3">
        <v>64.05</v>
      </c>
      <c r="D859" s="3">
        <v>0</v>
      </c>
      <c r="E859" s="3">
        <v>2199.5</v>
      </c>
      <c r="F859" s="3">
        <v>2263.5499999999993</v>
      </c>
    </row>
    <row r="860" spans="2:6" x14ac:dyDescent="0.3">
      <c r="B860" s="3">
        <v>849</v>
      </c>
      <c r="C860" s="3">
        <v>60.299999999999983</v>
      </c>
      <c r="D860" s="3">
        <v>0</v>
      </c>
      <c r="E860" s="3">
        <v>2199.5</v>
      </c>
      <c r="F860" s="3">
        <v>2259.8000000000006</v>
      </c>
    </row>
    <row r="861" spans="2:6" x14ac:dyDescent="0.3">
      <c r="B861" s="3">
        <v>850</v>
      </c>
      <c r="C861" s="3">
        <v>60.150000000000006</v>
      </c>
      <c r="D861" s="3">
        <v>0</v>
      </c>
      <c r="E861" s="3">
        <v>1099.75</v>
      </c>
      <c r="F861" s="3">
        <v>1159.9000000000001</v>
      </c>
    </row>
    <row r="862" spans="2:6" x14ac:dyDescent="0.3">
      <c r="B862" s="3">
        <v>851</v>
      </c>
      <c r="C862" s="3">
        <v>59.9</v>
      </c>
      <c r="D862" s="3">
        <v>0</v>
      </c>
      <c r="E862" s="3">
        <v>2199.5</v>
      </c>
      <c r="F862" s="3">
        <v>2259.3999999999992</v>
      </c>
    </row>
    <row r="863" spans="2:6" x14ac:dyDescent="0.3">
      <c r="B863" s="3">
        <v>852</v>
      </c>
      <c r="C863" s="3">
        <v>63.350000000000016</v>
      </c>
      <c r="D863" s="3">
        <v>0</v>
      </c>
      <c r="E863" s="3">
        <v>2199.5</v>
      </c>
      <c r="F863" s="3">
        <v>2262.8499999999985</v>
      </c>
    </row>
    <row r="864" spans="2:6" x14ac:dyDescent="0.3">
      <c r="B864" s="3">
        <v>853</v>
      </c>
      <c r="C864" s="3">
        <v>64.300000000000011</v>
      </c>
      <c r="D864" s="3">
        <v>0</v>
      </c>
      <c r="E864" s="3">
        <v>2199.5</v>
      </c>
      <c r="F864" s="3">
        <v>2263.7999999999997</v>
      </c>
    </row>
    <row r="865" spans="2:6" x14ac:dyDescent="0.3">
      <c r="B865" s="3">
        <v>854</v>
      </c>
      <c r="C865" s="3">
        <v>61.45</v>
      </c>
      <c r="D865" s="3">
        <v>0</v>
      </c>
      <c r="E865" s="3">
        <v>2199.5</v>
      </c>
      <c r="F865" s="3">
        <v>2260.9499999999998</v>
      </c>
    </row>
    <row r="866" spans="2:6" x14ac:dyDescent="0.3">
      <c r="B866" s="3">
        <v>855</v>
      </c>
      <c r="C866" s="3">
        <v>62.6</v>
      </c>
      <c r="D866" s="3">
        <v>0</v>
      </c>
      <c r="E866" s="3">
        <v>2199.5</v>
      </c>
      <c r="F866" s="3">
        <v>2262.0999999999995</v>
      </c>
    </row>
    <row r="867" spans="2:6" x14ac:dyDescent="0.3">
      <c r="B867" s="3">
        <v>856</v>
      </c>
      <c r="C867" s="3">
        <v>61.70000000000001</v>
      </c>
      <c r="D867" s="3">
        <v>0</v>
      </c>
      <c r="E867" s="3">
        <v>2199.5</v>
      </c>
      <c r="F867" s="3">
        <v>2261.2000000000003</v>
      </c>
    </row>
    <row r="868" spans="2:6" x14ac:dyDescent="0.3">
      <c r="B868" s="3">
        <v>857</v>
      </c>
      <c r="C868" s="3">
        <v>62.1</v>
      </c>
      <c r="D868" s="3">
        <v>0</v>
      </c>
      <c r="E868" s="3">
        <v>2199.5</v>
      </c>
      <c r="F868" s="3">
        <v>2261.6</v>
      </c>
    </row>
    <row r="869" spans="2:6" x14ac:dyDescent="0.3">
      <c r="B869" s="3">
        <v>858</v>
      </c>
      <c r="C869" s="3">
        <v>59.6</v>
      </c>
      <c r="D869" s="3">
        <v>0</v>
      </c>
      <c r="E869" s="3">
        <v>1099.75</v>
      </c>
      <c r="F869" s="3">
        <v>1159.3499999999999</v>
      </c>
    </row>
    <row r="870" spans="2:6" x14ac:dyDescent="0.3">
      <c r="B870" s="3">
        <v>859</v>
      </c>
      <c r="C870" s="3">
        <v>63.2</v>
      </c>
      <c r="D870" s="3">
        <v>0</v>
      </c>
      <c r="E870" s="3">
        <v>2199.5</v>
      </c>
      <c r="F870" s="3">
        <v>2262.6999999999998</v>
      </c>
    </row>
    <row r="871" spans="2:6" x14ac:dyDescent="0.3">
      <c r="B871" s="3">
        <v>860</v>
      </c>
      <c r="C871" s="3">
        <v>61.749999999999993</v>
      </c>
      <c r="D871" s="3">
        <v>0</v>
      </c>
      <c r="E871" s="3">
        <v>2199.5</v>
      </c>
      <c r="F871" s="3">
        <v>2261.2500000000005</v>
      </c>
    </row>
    <row r="872" spans="2:6" x14ac:dyDescent="0.3">
      <c r="B872" s="3">
        <v>861</v>
      </c>
      <c r="C872" s="3">
        <v>63.750000000000007</v>
      </c>
      <c r="D872" s="3">
        <v>0</v>
      </c>
      <c r="E872" s="3">
        <v>2199.5</v>
      </c>
      <c r="F872" s="3">
        <v>2263.2500000000005</v>
      </c>
    </row>
    <row r="873" spans="2:6" x14ac:dyDescent="0.3">
      <c r="B873" s="3">
        <v>862</v>
      </c>
      <c r="C873" s="3">
        <v>63.199999999999996</v>
      </c>
      <c r="D873" s="3">
        <v>0</v>
      </c>
      <c r="E873" s="3">
        <v>1099.75</v>
      </c>
      <c r="F873" s="3">
        <v>1162.9500000000003</v>
      </c>
    </row>
    <row r="874" spans="2:6" x14ac:dyDescent="0.3">
      <c r="B874" s="3">
        <v>863</v>
      </c>
      <c r="C874" s="3">
        <v>60.849999999999994</v>
      </c>
      <c r="D874" s="3">
        <v>0</v>
      </c>
      <c r="E874" s="3">
        <v>2199.5</v>
      </c>
      <c r="F874" s="3">
        <v>2260.3500000000004</v>
      </c>
    </row>
    <row r="875" spans="2:6" x14ac:dyDescent="0.3">
      <c r="B875" s="3">
        <v>864</v>
      </c>
      <c r="C875" s="3">
        <v>63.450000000000017</v>
      </c>
      <c r="D875" s="3">
        <v>0</v>
      </c>
      <c r="E875" s="3">
        <v>2199.5</v>
      </c>
      <c r="F875" s="3">
        <v>2262.9499999999994</v>
      </c>
    </row>
    <row r="876" spans="2:6" x14ac:dyDescent="0.3">
      <c r="B876" s="3">
        <v>865</v>
      </c>
      <c r="C876" s="3">
        <v>61.350000000000009</v>
      </c>
      <c r="D876" s="3">
        <v>0</v>
      </c>
      <c r="E876" s="3">
        <v>2199.5</v>
      </c>
      <c r="F876" s="3">
        <v>2260.8500000000004</v>
      </c>
    </row>
    <row r="877" spans="2:6" x14ac:dyDescent="0.3">
      <c r="B877" s="3">
        <v>866</v>
      </c>
      <c r="C877" s="3">
        <v>58.900000000000006</v>
      </c>
      <c r="D877" s="3">
        <v>0</v>
      </c>
      <c r="E877" s="3">
        <v>2199.5</v>
      </c>
      <c r="F877" s="3">
        <v>2258.3999999999996</v>
      </c>
    </row>
    <row r="878" spans="2:6" x14ac:dyDescent="0.3">
      <c r="B878" s="3">
        <v>867</v>
      </c>
      <c r="C878" s="3">
        <v>60.049999999999983</v>
      </c>
      <c r="D878" s="3">
        <v>0</v>
      </c>
      <c r="E878" s="3">
        <v>2199.5</v>
      </c>
      <c r="F878" s="3">
        <v>2259.5500000000006</v>
      </c>
    </row>
    <row r="879" spans="2:6" x14ac:dyDescent="0.3">
      <c r="B879" s="3">
        <v>868</v>
      </c>
      <c r="C879" s="3">
        <v>63.800000000000004</v>
      </c>
      <c r="D879" s="3">
        <v>0</v>
      </c>
      <c r="E879" s="3">
        <v>2199.5</v>
      </c>
      <c r="F879" s="3">
        <v>2263.3000000000002</v>
      </c>
    </row>
    <row r="880" spans="2:6" x14ac:dyDescent="0.3">
      <c r="B880" s="3">
        <v>869</v>
      </c>
      <c r="C880" s="3">
        <v>59.85</v>
      </c>
      <c r="D880" s="3">
        <v>0</v>
      </c>
      <c r="E880" s="3">
        <v>2199.5</v>
      </c>
      <c r="F880" s="3">
        <v>2259.3500000000004</v>
      </c>
    </row>
    <row r="881" spans="2:6" x14ac:dyDescent="0.3">
      <c r="B881" s="3">
        <v>870</v>
      </c>
      <c r="C881" s="3">
        <v>58.650000000000013</v>
      </c>
      <c r="D881" s="3">
        <v>0</v>
      </c>
      <c r="E881" s="3">
        <v>2199.5</v>
      </c>
      <c r="F881" s="3">
        <v>2258.1499999999996</v>
      </c>
    </row>
    <row r="882" spans="2:6" x14ac:dyDescent="0.3">
      <c r="B882" s="3">
        <v>871</v>
      </c>
      <c r="C882" s="3">
        <v>62.350000000000009</v>
      </c>
      <c r="D882" s="3">
        <v>0</v>
      </c>
      <c r="E882" s="3">
        <v>2199.5</v>
      </c>
      <c r="F882" s="3">
        <v>2261.85</v>
      </c>
    </row>
    <row r="883" spans="2:6" x14ac:dyDescent="0.3">
      <c r="B883" s="3">
        <v>872</v>
      </c>
      <c r="C883" s="3">
        <v>63.15</v>
      </c>
      <c r="D883" s="3">
        <v>0</v>
      </c>
      <c r="E883" s="3">
        <v>2199.5</v>
      </c>
      <c r="F883" s="3">
        <v>2262.6499999999996</v>
      </c>
    </row>
    <row r="884" spans="2:6" x14ac:dyDescent="0.3">
      <c r="B884" s="3">
        <v>873</v>
      </c>
      <c r="C884" s="3">
        <v>63.350000000000009</v>
      </c>
      <c r="D884" s="3">
        <v>0</v>
      </c>
      <c r="E884" s="3">
        <v>2199.5</v>
      </c>
      <c r="F884" s="3">
        <v>2262.8499999999995</v>
      </c>
    </row>
    <row r="885" spans="2:6" x14ac:dyDescent="0.3">
      <c r="B885" s="3">
        <v>874</v>
      </c>
      <c r="C885" s="3">
        <v>64.350000000000037</v>
      </c>
      <c r="D885" s="3">
        <v>0</v>
      </c>
      <c r="E885" s="3">
        <v>2199.5</v>
      </c>
      <c r="F885" s="3">
        <v>2263.8499999999995</v>
      </c>
    </row>
    <row r="886" spans="2:6" x14ac:dyDescent="0.3">
      <c r="B886" s="3">
        <v>875</v>
      </c>
      <c r="C886" s="3">
        <v>61.650000000000013</v>
      </c>
      <c r="D886" s="3">
        <v>0</v>
      </c>
      <c r="E886" s="3">
        <v>1099.75</v>
      </c>
      <c r="F886" s="3">
        <v>1161.4000000000003</v>
      </c>
    </row>
    <row r="887" spans="2:6" x14ac:dyDescent="0.3">
      <c r="B887" s="3">
        <v>876</v>
      </c>
      <c r="C887" s="3">
        <v>58.350000000000009</v>
      </c>
      <c r="D887" s="3">
        <v>0</v>
      </c>
      <c r="E887" s="3">
        <v>2199.5</v>
      </c>
      <c r="F887" s="3">
        <v>2257.849999999999</v>
      </c>
    </row>
    <row r="888" spans="2:6" x14ac:dyDescent="0.3">
      <c r="B888" s="3">
        <v>877</v>
      </c>
      <c r="C888" s="3">
        <v>60.599999999999994</v>
      </c>
      <c r="D888" s="3">
        <v>0</v>
      </c>
      <c r="E888" s="3">
        <v>2199.5</v>
      </c>
      <c r="F888" s="3">
        <v>2260.1000000000004</v>
      </c>
    </row>
    <row r="889" spans="2:6" x14ac:dyDescent="0.3">
      <c r="B889" s="3">
        <v>878</v>
      </c>
      <c r="C889" s="3">
        <v>62.650000000000006</v>
      </c>
      <c r="D889" s="3">
        <v>0</v>
      </c>
      <c r="E889" s="3">
        <v>2199.5</v>
      </c>
      <c r="F889" s="3">
        <v>2262.1499999999992</v>
      </c>
    </row>
    <row r="890" spans="2:6" x14ac:dyDescent="0.3">
      <c r="B890" s="3">
        <v>879</v>
      </c>
      <c r="C890" s="3">
        <v>66.449999999999989</v>
      </c>
      <c r="D890" s="3">
        <v>0</v>
      </c>
      <c r="E890" s="3">
        <v>2199.5</v>
      </c>
      <c r="F890" s="3">
        <v>2265.9500000000003</v>
      </c>
    </row>
    <row r="891" spans="2:6" x14ac:dyDescent="0.3">
      <c r="B891" s="3">
        <v>880</v>
      </c>
      <c r="C891" s="3">
        <v>57.85</v>
      </c>
      <c r="D891" s="3">
        <v>0</v>
      </c>
      <c r="E891" s="3">
        <v>2199.5</v>
      </c>
      <c r="F891" s="3">
        <v>2257.35</v>
      </c>
    </row>
    <row r="892" spans="2:6" x14ac:dyDescent="0.3">
      <c r="B892" s="3">
        <v>881</v>
      </c>
      <c r="C892" s="3">
        <v>63.850000000000016</v>
      </c>
      <c r="D892" s="3">
        <v>0</v>
      </c>
      <c r="E892" s="3">
        <v>1099.75</v>
      </c>
      <c r="F892" s="3">
        <v>1163.6000000000001</v>
      </c>
    </row>
    <row r="893" spans="2:6" x14ac:dyDescent="0.3">
      <c r="B893" s="3">
        <v>882</v>
      </c>
      <c r="C893" s="3">
        <v>62.199999999999996</v>
      </c>
      <c r="D893" s="3">
        <v>0</v>
      </c>
      <c r="E893" s="3">
        <v>2199.5</v>
      </c>
      <c r="F893" s="3">
        <v>2261.6999999999994</v>
      </c>
    </row>
    <row r="894" spans="2:6" x14ac:dyDescent="0.3">
      <c r="B894" s="3">
        <v>883</v>
      </c>
      <c r="C894" s="3">
        <v>66.150000000000006</v>
      </c>
      <c r="D894" s="3">
        <v>0</v>
      </c>
      <c r="E894" s="3">
        <v>2199.5</v>
      </c>
      <c r="F894" s="3">
        <v>2265.6499999999992</v>
      </c>
    </row>
    <row r="895" spans="2:6" x14ac:dyDescent="0.3">
      <c r="B895" s="3">
        <v>884</v>
      </c>
      <c r="C895" s="3">
        <v>60.550000000000011</v>
      </c>
      <c r="D895" s="3">
        <v>0</v>
      </c>
      <c r="E895" s="3">
        <v>2199.5</v>
      </c>
      <c r="F895" s="3">
        <v>2260.0499999999993</v>
      </c>
    </row>
    <row r="896" spans="2:6" x14ac:dyDescent="0.3">
      <c r="B896" s="3">
        <v>885</v>
      </c>
      <c r="C896" s="3">
        <v>62.150000000000013</v>
      </c>
      <c r="D896" s="3">
        <v>0</v>
      </c>
      <c r="E896" s="3">
        <v>2199.5</v>
      </c>
      <c r="F896" s="3">
        <v>2261.65</v>
      </c>
    </row>
    <row r="897" spans="2:6" x14ac:dyDescent="0.3">
      <c r="B897" s="3">
        <v>886</v>
      </c>
      <c r="C897" s="3">
        <v>59.449999999999989</v>
      </c>
      <c r="D897" s="3">
        <v>0</v>
      </c>
      <c r="E897" s="3">
        <v>2199.5</v>
      </c>
      <c r="F897" s="3">
        <v>2258.9500000000003</v>
      </c>
    </row>
    <row r="898" spans="2:6" x14ac:dyDescent="0.3">
      <c r="B898" s="3">
        <v>887</v>
      </c>
      <c r="C898" s="3">
        <v>60.75</v>
      </c>
      <c r="D898" s="3">
        <v>0</v>
      </c>
      <c r="E898" s="3">
        <v>2199.5</v>
      </c>
      <c r="F898" s="3">
        <v>2260.2500000000005</v>
      </c>
    </row>
    <row r="899" spans="2:6" x14ac:dyDescent="0.3">
      <c r="B899" s="3">
        <v>888</v>
      </c>
      <c r="C899" s="3">
        <v>63.6</v>
      </c>
      <c r="D899" s="3">
        <v>0</v>
      </c>
      <c r="E899" s="3">
        <v>2199.5</v>
      </c>
      <c r="F899" s="3">
        <v>2263.1</v>
      </c>
    </row>
    <row r="900" spans="2:6" x14ac:dyDescent="0.3">
      <c r="B900" s="3">
        <v>889</v>
      </c>
      <c r="C900" s="3">
        <v>63.750000000000014</v>
      </c>
      <c r="D900" s="3">
        <v>0</v>
      </c>
      <c r="E900" s="3">
        <v>2199.5</v>
      </c>
      <c r="F900" s="3">
        <v>2263.25</v>
      </c>
    </row>
    <row r="901" spans="2:6" x14ac:dyDescent="0.3">
      <c r="B901" s="3">
        <v>890</v>
      </c>
      <c r="C901" s="3">
        <v>59.849999999999987</v>
      </c>
      <c r="D901" s="3">
        <v>0</v>
      </c>
      <c r="E901" s="3">
        <v>2199.5</v>
      </c>
      <c r="F901" s="3">
        <v>2259.35</v>
      </c>
    </row>
    <row r="902" spans="2:6" x14ac:dyDescent="0.3">
      <c r="B902" s="3">
        <v>891</v>
      </c>
      <c r="C902" s="3">
        <v>62.90000000000002</v>
      </c>
      <c r="D902" s="3">
        <v>0</v>
      </c>
      <c r="E902" s="3">
        <v>2199.5</v>
      </c>
      <c r="F902" s="3">
        <v>2262.3999999999992</v>
      </c>
    </row>
    <row r="903" spans="2:6" x14ac:dyDescent="0.3">
      <c r="B903" s="3">
        <v>892</v>
      </c>
      <c r="C903" s="3">
        <v>63.65</v>
      </c>
      <c r="D903" s="3">
        <v>0</v>
      </c>
      <c r="E903" s="3">
        <v>2199.5</v>
      </c>
      <c r="F903" s="3">
        <v>2263.1499999999996</v>
      </c>
    </row>
    <row r="904" spans="2:6" x14ac:dyDescent="0.3">
      <c r="B904" s="3">
        <v>893</v>
      </c>
      <c r="C904" s="3">
        <v>64.650000000000006</v>
      </c>
      <c r="D904" s="3">
        <v>0</v>
      </c>
      <c r="E904" s="3">
        <v>2199.5</v>
      </c>
      <c r="F904" s="3">
        <v>2264.1500000000005</v>
      </c>
    </row>
    <row r="905" spans="2:6" x14ac:dyDescent="0.3">
      <c r="B905" s="3">
        <v>894</v>
      </c>
      <c r="C905" s="3">
        <v>63.699999999999996</v>
      </c>
      <c r="D905" s="3">
        <v>0</v>
      </c>
      <c r="E905" s="3">
        <v>2199.5</v>
      </c>
      <c r="F905" s="3">
        <v>2263.2000000000003</v>
      </c>
    </row>
    <row r="906" spans="2:6" x14ac:dyDescent="0.3">
      <c r="B906" s="3">
        <v>895</v>
      </c>
      <c r="C906" s="3">
        <v>63.150000000000006</v>
      </c>
      <c r="D906" s="3">
        <v>0</v>
      </c>
      <c r="E906" s="3">
        <v>2199.5</v>
      </c>
      <c r="F906" s="3">
        <v>2262.6499999999996</v>
      </c>
    </row>
    <row r="907" spans="2:6" x14ac:dyDescent="0.3">
      <c r="B907" s="3">
        <v>896</v>
      </c>
      <c r="C907" s="3">
        <v>63.100000000000009</v>
      </c>
      <c r="D907" s="3">
        <v>0</v>
      </c>
      <c r="E907" s="3">
        <v>2199.5</v>
      </c>
      <c r="F907" s="3">
        <v>2262.6000000000004</v>
      </c>
    </row>
    <row r="908" spans="2:6" x14ac:dyDescent="0.3">
      <c r="B908" s="3">
        <v>897</v>
      </c>
      <c r="C908" s="3">
        <v>61.7</v>
      </c>
      <c r="D908" s="3">
        <v>0</v>
      </c>
      <c r="E908" s="3">
        <v>2199.5</v>
      </c>
      <c r="F908" s="3">
        <v>2261.2000000000003</v>
      </c>
    </row>
    <row r="909" spans="2:6" x14ac:dyDescent="0.3">
      <c r="B909" s="3">
        <v>898</v>
      </c>
      <c r="C909" s="3">
        <v>63.749999999999986</v>
      </c>
      <c r="D909" s="3">
        <v>0</v>
      </c>
      <c r="E909" s="3">
        <v>2199.5</v>
      </c>
      <c r="F909" s="3">
        <v>2263.2500000000005</v>
      </c>
    </row>
    <row r="910" spans="2:6" x14ac:dyDescent="0.3">
      <c r="B910" s="3">
        <v>899</v>
      </c>
      <c r="C910" s="3">
        <v>59.300000000000004</v>
      </c>
      <c r="D910" s="3">
        <v>0</v>
      </c>
      <c r="E910" s="3">
        <v>2199.5</v>
      </c>
      <c r="F910" s="3">
        <v>2258.8000000000006</v>
      </c>
    </row>
    <row r="911" spans="2:6" x14ac:dyDescent="0.3">
      <c r="B911" s="3">
        <v>900</v>
      </c>
      <c r="C911" s="3">
        <v>65.150000000000006</v>
      </c>
      <c r="D911" s="3">
        <v>0</v>
      </c>
      <c r="E911" s="3">
        <v>2199.5</v>
      </c>
      <c r="F911" s="3">
        <v>2264.6499999999996</v>
      </c>
    </row>
    <row r="912" spans="2:6" x14ac:dyDescent="0.3">
      <c r="B912" s="3">
        <v>901</v>
      </c>
      <c r="C912" s="3">
        <v>62.5</v>
      </c>
      <c r="D912" s="3">
        <v>0</v>
      </c>
      <c r="E912" s="3">
        <v>2199.5</v>
      </c>
      <c r="F912" s="3">
        <v>2262.0000000000005</v>
      </c>
    </row>
    <row r="913" spans="2:6" x14ac:dyDescent="0.3">
      <c r="B913" s="3">
        <v>902</v>
      </c>
      <c r="C913" s="3">
        <v>62.2</v>
      </c>
      <c r="D913" s="3">
        <v>0</v>
      </c>
      <c r="E913" s="3">
        <v>2199.5</v>
      </c>
      <c r="F913" s="3">
        <v>2261.6999999999998</v>
      </c>
    </row>
    <row r="914" spans="2:6" x14ac:dyDescent="0.3">
      <c r="B914" s="3">
        <v>903</v>
      </c>
      <c r="C914" s="3">
        <v>65.550000000000026</v>
      </c>
      <c r="D914" s="3">
        <v>0</v>
      </c>
      <c r="E914" s="3">
        <v>2199.5</v>
      </c>
      <c r="F914" s="3">
        <v>2265.0499999999993</v>
      </c>
    </row>
    <row r="915" spans="2:6" x14ac:dyDescent="0.3">
      <c r="B915" s="3">
        <v>904</v>
      </c>
      <c r="C915" s="3">
        <v>66.25</v>
      </c>
      <c r="D915" s="3">
        <v>0</v>
      </c>
      <c r="E915" s="3">
        <v>2199.5</v>
      </c>
      <c r="F915" s="3">
        <v>2265.7499999999995</v>
      </c>
    </row>
    <row r="916" spans="2:6" x14ac:dyDescent="0.3">
      <c r="B916" s="3">
        <v>905</v>
      </c>
      <c r="C916" s="3">
        <v>56.650000000000013</v>
      </c>
      <c r="D916" s="3">
        <v>0</v>
      </c>
      <c r="E916" s="3">
        <v>2199.5</v>
      </c>
      <c r="F916" s="3">
        <v>2256.1499999999996</v>
      </c>
    </row>
    <row r="917" spans="2:6" x14ac:dyDescent="0.3">
      <c r="B917" s="3">
        <v>906</v>
      </c>
      <c r="C917" s="3">
        <v>59.700000000000017</v>
      </c>
      <c r="D917" s="3">
        <v>0</v>
      </c>
      <c r="E917" s="3">
        <v>2199.5</v>
      </c>
      <c r="F917" s="3">
        <v>2259.1999999999994</v>
      </c>
    </row>
    <row r="918" spans="2:6" x14ac:dyDescent="0.3">
      <c r="B918" s="3">
        <v>907</v>
      </c>
      <c r="C918" s="3">
        <v>66.099999999999994</v>
      </c>
      <c r="D918" s="3">
        <v>0</v>
      </c>
      <c r="E918" s="3">
        <v>2199.5</v>
      </c>
      <c r="F918" s="3">
        <v>2265.5999999999995</v>
      </c>
    </row>
    <row r="919" spans="2:6" x14ac:dyDescent="0.3">
      <c r="B919" s="3">
        <v>908</v>
      </c>
      <c r="C919" s="3">
        <v>68.55</v>
      </c>
      <c r="D919" s="3">
        <v>0</v>
      </c>
      <c r="E919" s="3">
        <v>2199.5</v>
      </c>
      <c r="F919" s="3">
        <v>2268.0500000000002</v>
      </c>
    </row>
    <row r="920" spans="2:6" x14ac:dyDescent="0.3">
      <c r="B920" s="3">
        <v>909</v>
      </c>
      <c r="C920" s="3">
        <v>64.099999999999994</v>
      </c>
      <c r="D920" s="3">
        <v>0</v>
      </c>
      <c r="E920" s="3">
        <v>2199.5</v>
      </c>
      <c r="F920" s="3">
        <v>2263.6000000000004</v>
      </c>
    </row>
    <row r="921" spans="2:6" x14ac:dyDescent="0.3">
      <c r="B921" s="3">
        <v>910</v>
      </c>
      <c r="C921" s="3">
        <v>60.350000000000009</v>
      </c>
      <c r="D921" s="3">
        <v>0</v>
      </c>
      <c r="E921" s="3">
        <v>2199.5</v>
      </c>
      <c r="F921" s="3">
        <v>2259.85</v>
      </c>
    </row>
    <row r="922" spans="2:6" x14ac:dyDescent="0.3">
      <c r="B922" s="3">
        <v>911</v>
      </c>
      <c r="C922" s="3">
        <v>64.950000000000017</v>
      </c>
      <c r="D922" s="3">
        <v>0</v>
      </c>
      <c r="E922" s="3">
        <v>2199.5</v>
      </c>
      <c r="F922" s="3">
        <v>2264.4499999999998</v>
      </c>
    </row>
    <row r="923" spans="2:6" x14ac:dyDescent="0.3">
      <c r="B923" s="3">
        <v>912</v>
      </c>
      <c r="C923" s="3">
        <v>61.300000000000004</v>
      </c>
      <c r="D923" s="3">
        <v>0</v>
      </c>
      <c r="E923" s="3">
        <v>2199.5</v>
      </c>
      <c r="F923" s="3">
        <v>2260.7999999999997</v>
      </c>
    </row>
    <row r="924" spans="2:6" x14ac:dyDescent="0.3">
      <c r="B924" s="3">
        <v>913</v>
      </c>
      <c r="C924" s="3">
        <v>62.90000000000002</v>
      </c>
      <c r="D924" s="3">
        <v>0</v>
      </c>
      <c r="E924" s="3">
        <v>2199.5</v>
      </c>
      <c r="F924" s="3">
        <v>2262.3999999999996</v>
      </c>
    </row>
    <row r="925" spans="2:6" x14ac:dyDescent="0.3">
      <c r="B925" s="3">
        <v>914</v>
      </c>
      <c r="C925" s="3">
        <v>60.7</v>
      </c>
      <c r="D925" s="3">
        <v>0</v>
      </c>
      <c r="E925" s="3">
        <v>2199.5</v>
      </c>
      <c r="F925" s="3">
        <v>2260.1999999999998</v>
      </c>
    </row>
    <row r="926" spans="2:6" x14ac:dyDescent="0.3">
      <c r="B926" s="3">
        <v>915</v>
      </c>
      <c r="C926" s="3">
        <v>63.95000000000001</v>
      </c>
      <c r="D926" s="3">
        <v>0</v>
      </c>
      <c r="E926" s="3">
        <v>2199.5</v>
      </c>
      <c r="F926" s="3">
        <v>2263.4499999999998</v>
      </c>
    </row>
    <row r="927" spans="2:6" x14ac:dyDescent="0.3">
      <c r="B927" s="3">
        <v>916</v>
      </c>
      <c r="C927" s="3">
        <v>61.550000000000004</v>
      </c>
      <c r="D927" s="3">
        <v>0</v>
      </c>
      <c r="E927" s="3">
        <v>2199.5</v>
      </c>
      <c r="F927" s="3">
        <v>2261.0500000000002</v>
      </c>
    </row>
    <row r="928" spans="2:6" x14ac:dyDescent="0.3">
      <c r="B928" s="3">
        <v>917</v>
      </c>
      <c r="C928" s="3">
        <v>61.550000000000004</v>
      </c>
      <c r="D928" s="3">
        <v>0</v>
      </c>
      <c r="E928" s="3">
        <v>1099.75</v>
      </c>
      <c r="F928" s="3">
        <v>1161.3000000000002</v>
      </c>
    </row>
    <row r="929" spans="2:6" x14ac:dyDescent="0.3">
      <c r="B929" s="3">
        <v>918</v>
      </c>
      <c r="C929" s="3">
        <v>60.550000000000018</v>
      </c>
      <c r="D929" s="3">
        <v>0</v>
      </c>
      <c r="E929" s="3">
        <v>2199.5</v>
      </c>
      <c r="F929" s="3">
        <v>2260.0499999999993</v>
      </c>
    </row>
    <row r="930" spans="2:6" x14ac:dyDescent="0.3">
      <c r="B930" s="3">
        <v>919</v>
      </c>
      <c r="C930" s="3">
        <v>62.600000000000009</v>
      </c>
      <c r="D930" s="3">
        <v>0</v>
      </c>
      <c r="E930" s="3">
        <v>2199.5</v>
      </c>
      <c r="F930" s="3">
        <v>2262.1</v>
      </c>
    </row>
    <row r="931" spans="2:6" x14ac:dyDescent="0.3">
      <c r="B931" s="3">
        <v>920</v>
      </c>
      <c r="C931" s="3">
        <v>62.199999999999996</v>
      </c>
      <c r="D931" s="3">
        <v>0</v>
      </c>
      <c r="E931" s="3">
        <v>2199.5</v>
      </c>
      <c r="F931" s="3">
        <v>2261.7000000000003</v>
      </c>
    </row>
    <row r="932" spans="2:6" x14ac:dyDescent="0.3">
      <c r="B932" s="3">
        <v>921</v>
      </c>
      <c r="C932" s="3">
        <v>63.35</v>
      </c>
      <c r="D932" s="3">
        <v>0</v>
      </c>
      <c r="E932" s="3">
        <v>2199.5</v>
      </c>
      <c r="F932" s="3">
        <v>2262.8500000000004</v>
      </c>
    </row>
    <row r="933" spans="2:6" x14ac:dyDescent="0.3">
      <c r="B933" s="3">
        <v>922</v>
      </c>
      <c r="C933" s="3">
        <v>61.7</v>
      </c>
      <c r="D933" s="3">
        <v>0</v>
      </c>
      <c r="E933" s="3">
        <v>2199.5</v>
      </c>
      <c r="F933" s="3">
        <v>2261.1999999999998</v>
      </c>
    </row>
    <row r="934" spans="2:6" x14ac:dyDescent="0.3">
      <c r="B934" s="3">
        <v>923</v>
      </c>
      <c r="C934" s="3">
        <v>61.999999999999986</v>
      </c>
      <c r="D934" s="3">
        <v>0</v>
      </c>
      <c r="E934" s="3">
        <v>2199.5</v>
      </c>
      <c r="F934" s="3">
        <v>2261.5000000000005</v>
      </c>
    </row>
    <row r="935" spans="2:6" x14ac:dyDescent="0.3">
      <c r="B935" s="3">
        <v>924</v>
      </c>
      <c r="C935" s="3">
        <v>59.550000000000004</v>
      </c>
      <c r="D935" s="3">
        <v>0</v>
      </c>
      <c r="E935" s="3">
        <v>2199.5</v>
      </c>
      <c r="F935" s="3">
        <v>2259.0499999999997</v>
      </c>
    </row>
    <row r="936" spans="2:6" x14ac:dyDescent="0.3">
      <c r="B936" s="3">
        <v>925</v>
      </c>
      <c r="C936" s="3">
        <v>60.949999999999996</v>
      </c>
      <c r="D936" s="3">
        <v>0</v>
      </c>
      <c r="E936" s="3">
        <v>2199.5</v>
      </c>
      <c r="F936" s="3">
        <v>2260.4500000000003</v>
      </c>
    </row>
    <row r="937" spans="2:6" x14ac:dyDescent="0.3">
      <c r="B937" s="3">
        <v>926</v>
      </c>
      <c r="C937" s="3">
        <v>66.249999999999986</v>
      </c>
      <c r="D937" s="3">
        <v>0</v>
      </c>
      <c r="E937" s="3">
        <v>2199.5</v>
      </c>
      <c r="F937" s="3">
        <v>2265.75</v>
      </c>
    </row>
    <row r="938" spans="2:6" x14ac:dyDescent="0.3">
      <c r="B938" s="3">
        <v>927</v>
      </c>
      <c r="C938" s="3">
        <v>58.29999999999999</v>
      </c>
      <c r="D938" s="3">
        <v>0</v>
      </c>
      <c r="E938" s="3">
        <v>2199.5</v>
      </c>
      <c r="F938" s="3">
        <v>2257.7999999999997</v>
      </c>
    </row>
    <row r="939" spans="2:6" x14ac:dyDescent="0.3">
      <c r="B939" s="3">
        <v>928</v>
      </c>
      <c r="C939" s="3">
        <v>61.4</v>
      </c>
      <c r="D939" s="3">
        <v>0</v>
      </c>
      <c r="E939" s="3">
        <v>1099.75</v>
      </c>
      <c r="F939" s="3">
        <v>1161.1500000000003</v>
      </c>
    </row>
    <row r="940" spans="2:6" x14ac:dyDescent="0.3">
      <c r="B940" s="3">
        <v>929</v>
      </c>
      <c r="C940" s="3">
        <v>65.850000000000023</v>
      </c>
      <c r="D940" s="3">
        <v>0</v>
      </c>
      <c r="E940" s="3">
        <v>2199.5</v>
      </c>
      <c r="F940" s="3">
        <v>2265.35</v>
      </c>
    </row>
    <row r="941" spans="2:6" x14ac:dyDescent="0.3">
      <c r="B941" s="3">
        <v>930</v>
      </c>
      <c r="C941" s="3">
        <v>65.650000000000006</v>
      </c>
      <c r="D941" s="3">
        <v>0</v>
      </c>
      <c r="E941" s="3">
        <v>2199.5</v>
      </c>
      <c r="F941" s="3">
        <v>2265.1499999999996</v>
      </c>
    </row>
    <row r="942" spans="2:6" x14ac:dyDescent="0.3">
      <c r="B942" s="3">
        <v>931</v>
      </c>
      <c r="C942" s="3">
        <v>63.550000000000011</v>
      </c>
      <c r="D942" s="3">
        <v>0</v>
      </c>
      <c r="E942" s="3">
        <v>2199.5</v>
      </c>
      <c r="F942" s="3">
        <v>2263.0500000000002</v>
      </c>
    </row>
    <row r="943" spans="2:6" x14ac:dyDescent="0.3">
      <c r="B943" s="3">
        <v>932</v>
      </c>
      <c r="C943" s="3">
        <v>63.85</v>
      </c>
      <c r="D943" s="3">
        <v>0</v>
      </c>
      <c r="E943" s="3">
        <v>1099.75</v>
      </c>
      <c r="F943" s="3">
        <v>1163.6000000000001</v>
      </c>
    </row>
    <row r="944" spans="2:6" x14ac:dyDescent="0.3">
      <c r="B944" s="3">
        <v>933</v>
      </c>
      <c r="C944" s="3">
        <v>58.95</v>
      </c>
      <c r="D944" s="3">
        <v>0</v>
      </c>
      <c r="E944" s="3">
        <v>2199.5</v>
      </c>
      <c r="F944" s="3">
        <v>2258.4499999999994</v>
      </c>
    </row>
    <row r="945" spans="2:6" x14ac:dyDescent="0.3">
      <c r="B945" s="3">
        <v>934</v>
      </c>
      <c r="C945" s="3">
        <v>59.800000000000011</v>
      </c>
      <c r="D945" s="3">
        <v>0</v>
      </c>
      <c r="E945" s="3">
        <v>2199.5</v>
      </c>
      <c r="F945" s="3">
        <v>2259.2999999999997</v>
      </c>
    </row>
    <row r="946" spans="2:6" x14ac:dyDescent="0.3">
      <c r="B946" s="3">
        <v>935</v>
      </c>
      <c r="C946" s="3">
        <v>63</v>
      </c>
      <c r="D946" s="3">
        <v>0</v>
      </c>
      <c r="E946" s="3">
        <v>2199.5</v>
      </c>
      <c r="F946" s="3">
        <v>2262.4999999999995</v>
      </c>
    </row>
    <row r="947" spans="2:6" x14ac:dyDescent="0.3">
      <c r="B947" s="3">
        <v>936</v>
      </c>
      <c r="C947" s="3">
        <v>58.550000000000004</v>
      </c>
      <c r="D947" s="3">
        <v>0</v>
      </c>
      <c r="E947" s="3">
        <v>2199.5</v>
      </c>
      <c r="F947" s="3">
        <v>2258.0500000000002</v>
      </c>
    </row>
    <row r="948" spans="2:6" x14ac:dyDescent="0.3">
      <c r="B948" s="3">
        <v>937</v>
      </c>
      <c r="C948" s="3">
        <v>59.249999999999993</v>
      </c>
      <c r="D948" s="3">
        <v>0</v>
      </c>
      <c r="E948" s="3">
        <v>2199.5</v>
      </c>
      <c r="F948" s="3">
        <v>2258.7500000000005</v>
      </c>
    </row>
    <row r="949" spans="2:6" x14ac:dyDescent="0.3">
      <c r="B949" s="3">
        <v>938</v>
      </c>
      <c r="C949" s="3">
        <v>60.20000000000001</v>
      </c>
      <c r="D949" s="3">
        <v>0</v>
      </c>
      <c r="E949" s="3">
        <v>2199.5</v>
      </c>
      <c r="F949" s="3">
        <v>2259.6999999999998</v>
      </c>
    </row>
    <row r="950" spans="2:6" x14ac:dyDescent="0.3">
      <c r="B950" s="3">
        <v>939</v>
      </c>
      <c r="C950" s="3">
        <v>62.149999999999991</v>
      </c>
      <c r="D950" s="3">
        <v>0</v>
      </c>
      <c r="E950" s="3">
        <v>2199.5</v>
      </c>
      <c r="F950" s="3">
        <v>2261.6500000000005</v>
      </c>
    </row>
    <row r="951" spans="2:6" x14ac:dyDescent="0.3">
      <c r="B951" s="3">
        <v>940</v>
      </c>
      <c r="C951" s="3">
        <v>60.149999999999984</v>
      </c>
      <c r="D951" s="3">
        <v>0</v>
      </c>
      <c r="E951" s="3">
        <v>2199.5</v>
      </c>
      <c r="F951" s="3">
        <v>2259.6500000000005</v>
      </c>
    </row>
    <row r="952" spans="2:6" x14ac:dyDescent="0.3">
      <c r="B952" s="3">
        <v>941</v>
      </c>
      <c r="C952" s="3">
        <v>59.300000000000026</v>
      </c>
      <c r="D952" s="3">
        <v>0</v>
      </c>
      <c r="E952" s="3">
        <v>2199.5</v>
      </c>
      <c r="F952" s="3">
        <v>2258.7999999999993</v>
      </c>
    </row>
    <row r="953" spans="2:6" x14ac:dyDescent="0.3">
      <c r="B953" s="3">
        <v>942</v>
      </c>
      <c r="C953" s="3">
        <v>59.249999999999993</v>
      </c>
      <c r="D953" s="3">
        <v>0</v>
      </c>
      <c r="E953" s="3">
        <v>1099.75</v>
      </c>
      <c r="F953" s="3">
        <v>1159</v>
      </c>
    </row>
    <row r="954" spans="2:6" x14ac:dyDescent="0.3">
      <c r="B954" s="3">
        <v>943</v>
      </c>
      <c r="C954" s="3">
        <v>58.6</v>
      </c>
      <c r="D954" s="3">
        <v>0</v>
      </c>
      <c r="E954" s="3">
        <v>2199.5</v>
      </c>
      <c r="F954" s="3">
        <v>2258.1000000000004</v>
      </c>
    </row>
    <row r="955" spans="2:6" x14ac:dyDescent="0.3">
      <c r="B955" s="3">
        <v>944</v>
      </c>
      <c r="C955" s="3">
        <v>61.45000000000001</v>
      </c>
      <c r="D955" s="3">
        <v>0</v>
      </c>
      <c r="E955" s="3">
        <v>2199.5</v>
      </c>
      <c r="F955" s="3">
        <v>2260.9499999999998</v>
      </c>
    </row>
    <row r="956" spans="2:6" x14ac:dyDescent="0.3">
      <c r="B956" s="3">
        <v>945</v>
      </c>
      <c r="C956" s="3">
        <v>58.249999999999993</v>
      </c>
      <c r="D956" s="3">
        <v>0</v>
      </c>
      <c r="E956" s="3">
        <v>2199.5</v>
      </c>
      <c r="F956" s="3">
        <v>2257.75</v>
      </c>
    </row>
    <row r="957" spans="2:6" x14ac:dyDescent="0.3">
      <c r="B957" s="3">
        <v>946</v>
      </c>
      <c r="C957" s="3">
        <v>61.699999999999996</v>
      </c>
      <c r="D957" s="3">
        <v>0</v>
      </c>
      <c r="E957" s="3">
        <v>2199.5</v>
      </c>
      <c r="F957" s="3">
        <v>2261.2000000000012</v>
      </c>
    </row>
    <row r="958" spans="2:6" x14ac:dyDescent="0.3">
      <c r="B958" s="3">
        <v>947</v>
      </c>
      <c r="C958" s="3">
        <v>67.649999999999991</v>
      </c>
      <c r="D958" s="3">
        <v>0</v>
      </c>
      <c r="E958" s="3">
        <v>2199.5</v>
      </c>
      <c r="F958" s="3">
        <v>2267.1500000000005</v>
      </c>
    </row>
    <row r="959" spans="2:6" x14ac:dyDescent="0.3">
      <c r="B959" s="3">
        <v>948</v>
      </c>
      <c r="C959" s="3">
        <v>63.300000000000004</v>
      </c>
      <c r="D959" s="3">
        <v>0</v>
      </c>
      <c r="E959" s="3">
        <v>2199.5</v>
      </c>
      <c r="F959" s="3">
        <v>2262.8000000000002</v>
      </c>
    </row>
    <row r="960" spans="2:6" x14ac:dyDescent="0.3">
      <c r="B960" s="3">
        <v>949</v>
      </c>
      <c r="C960" s="3">
        <v>61.4</v>
      </c>
      <c r="D960" s="3">
        <v>0</v>
      </c>
      <c r="E960" s="3">
        <v>1099.75</v>
      </c>
      <c r="F960" s="3">
        <v>1161.1500000000003</v>
      </c>
    </row>
    <row r="961" spans="2:6" x14ac:dyDescent="0.3">
      <c r="B961" s="3">
        <v>950</v>
      </c>
      <c r="C961" s="3">
        <v>66.7</v>
      </c>
      <c r="D961" s="3">
        <v>0</v>
      </c>
      <c r="E961" s="3">
        <v>2199.5</v>
      </c>
      <c r="F961" s="3">
        <v>2266.1999999999998</v>
      </c>
    </row>
    <row r="962" spans="2:6" x14ac:dyDescent="0.3">
      <c r="B962" s="3">
        <v>951</v>
      </c>
      <c r="C962" s="3">
        <v>59.3</v>
      </c>
      <c r="D962" s="3">
        <v>0</v>
      </c>
      <c r="E962" s="3">
        <v>2199.5</v>
      </c>
      <c r="F962" s="3">
        <v>2258.8000000000002</v>
      </c>
    </row>
    <row r="963" spans="2:6" x14ac:dyDescent="0.3">
      <c r="B963" s="3">
        <v>952</v>
      </c>
      <c r="C963" s="3">
        <v>61.95</v>
      </c>
      <c r="D963" s="3">
        <v>0</v>
      </c>
      <c r="E963" s="3">
        <v>2199.5</v>
      </c>
      <c r="F963" s="3">
        <v>2261.4500000000003</v>
      </c>
    </row>
    <row r="964" spans="2:6" x14ac:dyDescent="0.3">
      <c r="B964" s="3">
        <v>953</v>
      </c>
      <c r="C964" s="3">
        <v>63.699999999999996</v>
      </c>
      <c r="D964" s="3">
        <v>0</v>
      </c>
      <c r="E964" s="3">
        <v>2199.5</v>
      </c>
      <c r="F964" s="3">
        <v>2263.2000000000007</v>
      </c>
    </row>
    <row r="965" spans="2:6" x14ac:dyDescent="0.3">
      <c r="B965" s="3">
        <v>954</v>
      </c>
      <c r="C965" s="3">
        <v>58.85</v>
      </c>
      <c r="D965" s="3">
        <v>0</v>
      </c>
      <c r="E965" s="3">
        <v>1099.75</v>
      </c>
      <c r="F965" s="3">
        <v>1158.6000000000004</v>
      </c>
    </row>
    <row r="966" spans="2:6" x14ac:dyDescent="0.3">
      <c r="B966" s="3">
        <v>955</v>
      </c>
      <c r="C966" s="3">
        <v>61.399999999999991</v>
      </c>
      <c r="D966" s="3">
        <v>0</v>
      </c>
      <c r="E966" s="3">
        <v>2199.5</v>
      </c>
      <c r="F966" s="3">
        <v>2260.9</v>
      </c>
    </row>
    <row r="967" spans="2:6" x14ac:dyDescent="0.3">
      <c r="B967" s="3">
        <v>956</v>
      </c>
      <c r="C967" s="3">
        <v>61.1</v>
      </c>
      <c r="D967" s="3">
        <v>0</v>
      </c>
      <c r="E967" s="3">
        <v>2199.5</v>
      </c>
      <c r="F967" s="3">
        <v>2260.5999999999995</v>
      </c>
    </row>
    <row r="968" spans="2:6" x14ac:dyDescent="0.3">
      <c r="B968" s="3">
        <v>957</v>
      </c>
      <c r="C968" s="3">
        <v>58.900000000000013</v>
      </c>
      <c r="D968" s="3">
        <v>0</v>
      </c>
      <c r="E968" s="3">
        <v>2199.5</v>
      </c>
      <c r="F968" s="3">
        <v>2258.3999999999983</v>
      </c>
    </row>
    <row r="969" spans="2:6" x14ac:dyDescent="0.3">
      <c r="B969" s="3">
        <v>958</v>
      </c>
      <c r="C969" s="3">
        <v>64.75</v>
      </c>
      <c r="D969" s="3">
        <v>0</v>
      </c>
      <c r="E969" s="3">
        <v>2199.5</v>
      </c>
      <c r="F969" s="3">
        <v>2264.25</v>
      </c>
    </row>
    <row r="970" spans="2:6" x14ac:dyDescent="0.3">
      <c r="B970" s="3">
        <v>959</v>
      </c>
      <c r="C970" s="3">
        <v>59.45</v>
      </c>
      <c r="D970" s="3">
        <v>0</v>
      </c>
      <c r="E970" s="3">
        <v>2199.5</v>
      </c>
      <c r="F970" s="3">
        <v>2258.9499999999998</v>
      </c>
    </row>
    <row r="971" spans="2:6" x14ac:dyDescent="0.3">
      <c r="B971" s="3">
        <v>960</v>
      </c>
      <c r="C971" s="3">
        <v>57.949999999999989</v>
      </c>
      <c r="D971" s="3">
        <v>0</v>
      </c>
      <c r="E971" s="3">
        <v>2199.5</v>
      </c>
      <c r="F971" s="3">
        <v>2257.4500000000007</v>
      </c>
    </row>
    <row r="972" spans="2:6" x14ac:dyDescent="0.3">
      <c r="B972" s="3">
        <v>961</v>
      </c>
      <c r="C972" s="3">
        <v>62.84999999999998</v>
      </c>
      <c r="D972" s="3">
        <v>0</v>
      </c>
      <c r="E972" s="3">
        <v>2199.5</v>
      </c>
      <c r="F972" s="3">
        <v>2262.35</v>
      </c>
    </row>
    <row r="973" spans="2:6" x14ac:dyDescent="0.3">
      <c r="B973" s="3">
        <v>962</v>
      </c>
      <c r="C973" s="3">
        <v>66.000000000000014</v>
      </c>
      <c r="D973" s="3">
        <v>0</v>
      </c>
      <c r="E973" s="3">
        <v>2199.5</v>
      </c>
      <c r="F973" s="3">
        <v>2265.5</v>
      </c>
    </row>
    <row r="974" spans="2:6" x14ac:dyDescent="0.3">
      <c r="B974" s="3">
        <v>963</v>
      </c>
      <c r="C974" s="3">
        <v>63.8</v>
      </c>
      <c r="D974" s="3">
        <v>0</v>
      </c>
      <c r="E974" s="3">
        <v>2199.5</v>
      </c>
      <c r="F974" s="3">
        <v>2263.2999999999997</v>
      </c>
    </row>
    <row r="975" spans="2:6" x14ac:dyDescent="0.3">
      <c r="B975" s="3">
        <v>964</v>
      </c>
      <c r="C975" s="3">
        <v>60.800000000000004</v>
      </c>
      <c r="D975" s="3">
        <v>0</v>
      </c>
      <c r="E975" s="3">
        <v>1099.75</v>
      </c>
      <c r="F975" s="3">
        <v>1160.5500000000002</v>
      </c>
    </row>
    <row r="976" spans="2:6" x14ac:dyDescent="0.3">
      <c r="B976" s="3">
        <v>965</v>
      </c>
      <c r="C976" s="3">
        <v>55.250000000000007</v>
      </c>
      <c r="D976" s="3">
        <v>0</v>
      </c>
      <c r="E976" s="3">
        <v>2199.5</v>
      </c>
      <c r="F976" s="3">
        <v>2254.75</v>
      </c>
    </row>
    <row r="977" spans="2:6" x14ac:dyDescent="0.3">
      <c r="B977" s="3">
        <v>966</v>
      </c>
      <c r="C977" s="3">
        <v>68.050000000000011</v>
      </c>
      <c r="D977" s="3">
        <v>0</v>
      </c>
      <c r="E977" s="3">
        <v>2199.5</v>
      </c>
      <c r="F977" s="3">
        <v>2267.5500000000002</v>
      </c>
    </row>
    <row r="978" spans="2:6" x14ac:dyDescent="0.3">
      <c r="B978" s="3">
        <v>967</v>
      </c>
      <c r="C978" s="3">
        <v>58.75</v>
      </c>
      <c r="D978" s="3">
        <v>0</v>
      </c>
      <c r="E978" s="3">
        <v>1099.75</v>
      </c>
      <c r="F978" s="3">
        <v>1158.4999999999991</v>
      </c>
    </row>
    <row r="979" spans="2:6" x14ac:dyDescent="0.3">
      <c r="B979" s="3">
        <v>968</v>
      </c>
      <c r="C979" s="3">
        <v>57.25</v>
      </c>
      <c r="D979" s="3">
        <v>0</v>
      </c>
      <c r="E979" s="3">
        <v>2199.5</v>
      </c>
      <c r="F979" s="3">
        <v>2256.75</v>
      </c>
    </row>
    <row r="980" spans="2:6" x14ac:dyDescent="0.3">
      <c r="B980" s="3">
        <v>969</v>
      </c>
      <c r="C980" s="3">
        <v>62.499999999999993</v>
      </c>
      <c r="D980" s="3">
        <v>0</v>
      </c>
      <c r="E980" s="3">
        <v>2199.5</v>
      </c>
      <c r="F980" s="3">
        <v>2262.0000000000005</v>
      </c>
    </row>
    <row r="981" spans="2:6" x14ac:dyDescent="0.3">
      <c r="B981" s="3">
        <v>970</v>
      </c>
      <c r="C981" s="3">
        <v>64.000000000000014</v>
      </c>
      <c r="D981" s="3">
        <v>0</v>
      </c>
      <c r="E981" s="3">
        <v>1099.75</v>
      </c>
      <c r="F981" s="3">
        <v>1163.7499999999995</v>
      </c>
    </row>
    <row r="982" spans="2:6" x14ac:dyDescent="0.3">
      <c r="B982" s="3">
        <v>971</v>
      </c>
      <c r="C982" s="3">
        <v>62.749999999999986</v>
      </c>
      <c r="D982" s="3">
        <v>0</v>
      </c>
      <c r="E982" s="3">
        <v>2199.5</v>
      </c>
      <c r="F982" s="3">
        <v>2262.2500000000009</v>
      </c>
    </row>
    <row r="983" spans="2:6" x14ac:dyDescent="0.3">
      <c r="B983" s="3">
        <v>972</v>
      </c>
      <c r="C983" s="3">
        <v>67.95</v>
      </c>
      <c r="D983" s="3">
        <v>0</v>
      </c>
      <c r="E983" s="3">
        <v>2199.5</v>
      </c>
      <c r="F983" s="3">
        <v>2267.4499999999994</v>
      </c>
    </row>
    <row r="984" spans="2:6" x14ac:dyDescent="0.3">
      <c r="B984" s="3">
        <v>973</v>
      </c>
      <c r="C984" s="3">
        <v>58.20000000000001</v>
      </c>
      <c r="D984" s="3">
        <v>0</v>
      </c>
      <c r="E984" s="3">
        <v>1099.75</v>
      </c>
      <c r="F984" s="3">
        <v>1157.9499999999998</v>
      </c>
    </row>
    <row r="985" spans="2:6" x14ac:dyDescent="0.3">
      <c r="B985" s="3">
        <v>974</v>
      </c>
      <c r="C985" s="3">
        <v>60.79999999999999</v>
      </c>
      <c r="D985" s="3">
        <v>0</v>
      </c>
      <c r="E985" s="3">
        <v>2199.5</v>
      </c>
      <c r="F985" s="3">
        <v>2260.2999999999997</v>
      </c>
    </row>
    <row r="986" spans="2:6" x14ac:dyDescent="0.3">
      <c r="B986" s="3">
        <v>975</v>
      </c>
      <c r="C986" s="3">
        <v>60.899999999999991</v>
      </c>
      <c r="D986" s="3">
        <v>0</v>
      </c>
      <c r="E986" s="3">
        <v>2199.5</v>
      </c>
      <c r="F986" s="3">
        <v>2260.4000000000005</v>
      </c>
    </row>
    <row r="987" spans="2:6" x14ac:dyDescent="0.3">
      <c r="B987" s="3">
        <v>976</v>
      </c>
      <c r="C987" s="3">
        <v>59.800000000000018</v>
      </c>
      <c r="D987" s="3">
        <v>0</v>
      </c>
      <c r="E987" s="3">
        <v>2199.5</v>
      </c>
      <c r="F987" s="3">
        <v>2259.2999999999997</v>
      </c>
    </row>
    <row r="988" spans="2:6" x14ac:dyDescent="0.3">
      <c r="B988" s="3">
        <v>977</v>
      </c>
      <c r="C988" s="3">
        <v>60.9</v>
      </c>
      <c r="D988" s="3">
        <v>0</v>
      </c>
      <c r="E988" s="3">
        <v>2199.5</v>
      </c>
      <c r="F988" s="3">
        <v>2260.3999999999996</v>
      </c>
    </row>
    <row r="989" spans="2:6" x14ac:dyDescent="0.3">
      <c r="B989" s="3">
        <v>978</v>
      </c>
      <c r="C989" s="3">
        <v>61.95000000000001</v>
      </c>
      <c r="D989" s="3">
        <v>0</v>
      </c>
      <c r="E989" s="3">
        <v>2199.5</v>
      </c>
      <c r="F989" s="3">
        <v>2261.4499999999998</v>
      </c>
    </row>
    <row r="990" spans="2:6" x14ac:dyDescent="0.3">
      <c r="B990" s="3">
        <v>979</v>
      </c>
      <c r="C990" s="3">
        <v>61.900000000000013</v>
      </c>
      <c r="D990" s="3">
        <v>0</v>
      </c>
      <c r="E990" s="3">
        <v>2199.5</v>
      </c>
      <c r="F990" s="3">
        <v>2261.4</v>
      </c>
    </row>
    <row r="991" spans="2:6" x14ac:dyDescent="0.3">
      <c r="B991" s="3">
        <v>980</v>
      </c>
      <c r="C991" s="3">
        <v>62.350000000000009</v>
      </c>
      <c r="D991" s="3">
        <v>0</v>
      </c>
      <c r="E991" s="3">
        <v>2199.5</v>
      </c>
      <c r="F991" s="3">
        <v>2261.85</v>
      </c>
    </row>
    <row r="992" spans="2:6" x14ac:dyDescent="0.3">
      <c r="B992" s="3">
        <v>981</v>
      </c>
      <c r="C992" s="3">
        <v>64.900000000000006</v>
      </c>
      <c r="D992" s="3">
        <v>0</v>
      </c>
      <c r="E992" s="3">
        <v>2199.5</v>
      </c>
      <c r="F992" s="3">
        <v>2264.4000000000005</v>
      </c>
    </row>
    <row r="993" spans="2:6" x14ac:dyDescent="0.3">
      <c r="B993" s="3">
        <v>982</v>
      </c>
      <c r="C993" s="3">
        <v>56.6</v>
      </c>
      <c r="D993" s="3">
        <v>0</v>
      </c>
      <c r="E993" s="3">
        <v>2199.5</v>
      </c>
      <c r="F993" s="3">
        <v>2256.1</v>
      </c>
    </row>
    <row r="994" spans="2:6" x14ac:dyDescent="0.3">
      <c r="B994" s="3">
        <v>983</v>
      </c>
      <c r="C994" s="3">
        <v>62.449999999999996</v>
      </c>
      <c r="D994" s="3">
        <v>0</v>
      </c>
      <c r="E994" s="3">
        <v>2199.5</v>
      </c>
      <c r="F994" s="3">
        <v>2261.9500000000007</v>
      </c>
    </row>
    <row r="995" spans="2:6" x14ac:dyDescent="0.3">
      <c r="B995" s="3">
        <v>984</v>
      </c>
      <c r="C995" s="3">
        <v>62.54999999999999</v>
      </c>
      <c r="D995" s="3">
        <v>0</v>
      </c>
      <c r="E995" s="3">
        <v>2199.5</v>
      </c>
      <c r="F995" s="3">
        <v>2262.0500000000006</v>
      </c>
    </row>
    <row r="996" spans="2:6" x14ac:dyDescent="0.3">
      <c r="B996" s="3">
        <v>985</v>
      </c>
      <c r="C996" s="3">
        <v>63.05</v>
      </c>
      <c r="D996" s="3">
        <v>0</v>
      </c>
      <c r="E996" s="3">
        <v>2199.5</v>
      </c>
      <c r="F996" s="3">
        <v>2262.5500000000002</v>
      </c>
    </row>
    <row r="997" spans="2:6" x14ac:dyDescent="0.3">
      <c r="B997" s="3">
        <v>986</v>
      </c>
      <c r="C997" s="3">
        <v>60.650000000000006</v>
      </c>
      <c r="D997" s="3">
        <v>0</v>
      </c>
      <c r="E997" s="3">
        <v>2199.5</v>
      </c>
      <c r="F997" s="3">
        <v>2260.15</v>
      </c>
    </row>
    <row r="998" spans="2:6" x14ac:dyDescent="0.3">
      <c r="B998" s="3">
        <v>987</v>
      </c>
      <c r="C998" s="3">
        <v>63.699999999999996</v>
      </c>
      <c r="D998" s="3">
        <v>0</v>
      </c>
      <c r="E998" s="3">
        <v>2199.5</v>
      </c>
      <c r="F998" s="3">
        <v>2263.1999999999998</v>
      </c>
    </row>
    <row r="999" spans="2:6" x14ac:dyDescent="0.3">
      <c r="B999" s="3">
        <v>988</v>
      </c>
      <c r="C999" s="3">
        <v>63.400000000000006</v>
      </c>
      <c r="D999" s="3">
        <v>0</v>
      </c>
      <c r="E999" s="3">
        <v>2199.5</v>
      </c>
      <c r="F999" s="3">
        <v>2262.8999999999996</v>
      </c>
    </row>
    <row r="1000" spans="2:6" x14ac:dyDescent="0.3">
      <c r="B1000" s="3">
        <v>989</v>
      </c>
      <c r="C1000" s="3">
        <v>59.5</v>
      </c>
      <c r="D1000" s="3">
        <v>0</v>
      </c>
      <c r="E1000" s="3">
        <v>2199.5</v>
      </c>
      <c r="F1000" s="3">
        <v>2259.0000000000005</v>
      </c>
    </row>
    <row r="1001" spans="2:6" x14ac:dyDescent="0.3">
      <c r="B1001" s="3">
        <v>990</v>
      </c>
      <c r="C1001" s="3">
        <v>65.950000000000017</v>
      </c>
      <c r="D1001" s="3">
        <v>0</v>
      </c>
      <c r="E1001" s="3">
        <v>2199.5</v>
      </c>
      <c r="F1001" s="3">
        <v>2265.4499999999994</v>
      </c>
    </row>
    <row r="1002" spans="2:6" x14ac:dyDescent="0.3">
      <c r="B1002" s="3">
        <v>991</v>
      </c>
      <c r="C1002" s="3">
        <v>61.65</v>
      </c>
      <c r="D1002" s="3">
        <v>0</v>
      </c>
      <c r="E1002" s="3">
        <v>2199.5</v>
      </c>
      <c r="F1002" s="3">
        <v>2261.1499999999996</v>
      </c>
    </row>
    <row r="1003" spans="2:6" x14ac:dyDescent="0.3">
      <c r="B1003" s="3">
        <v>992</v>
      </c>
      <c r="C1003" s="3">
        <v>58.599999999999994</v>
      </c>
      <c r="D1003" s="3">
        <v>0</v>
      </c>
      <c r="E1003" s="3">
        <v>2199.5</v>
      </c>
      <c r="F1003" s="3">
        <v>2258.1000000000004</v>
      </c>
    </row>
    <row r="1004" spans="2:6" x14ac:dyDescent="0.3">
      <c r="B1004" s="3">
        <v>993</v>
      </c>
      <c r="C1004" s="3">
        <v>58.250000000000007</v>
      </c>
      <c r="D1004" s="3">
        <v>0</v>
      </c>
      <c r="E1004" s="3">
        <v>2199.5</v>
      </c>
      <c r="F1004" s="3">
        <v>2257.75</v>
      </c>
    </row>
    <row r="1005" spans="2:6" x14ac:dyDescent="0.3">
      <c r="B1005" s="3">
        <v>994</v>
      </c>
      <c r="C1005" s="3">
        <v>61.249999999999993</v>
      </c>
      <c r="D1005" s="3">
        <v>0</v>
      </c>
      <c r="E1005" s="3">
        <v>2199.5</v>
      </c>
      <c r="F1005" s="3">
        <v>2260.7500000000005</v>
      </c>
    </row>
    <row r="1006" spans="2:6" x14ac:dyDescent="0.3">
      <c r="B1006" s="3">
        <v>995</v>
      </c>
      <c r="C1006" s="3">
        <v>62.25</v>
      </c>
      <c r="D1006" s="3">
        <v>0</v>
      </c>
      <c r="E1006" s="3">
        <v>2199.5</v>
      </c>
      <c r="F1006" s="3">
        <v>2261.75</v>
      </c>
    </row>
    <row r="1007" spans="2:6" x14ac:dyDescent="0.3">
      <c r="B1007" s="3">
        <v>996</v>
      </c>
      <c r="C1007" s="3">
        <v>61.55</v>
      </c>
      <c r="D1007" s="3">
        <v>0</v>
      </c>
      <c r="E1007" s="3">
        <v>2199.5</v>
      </c>
      <c r="F1007" s="3">
        <v>2261.0500000000006</v>
      </c>
    </row>
    <row r="1008" spans="2:6" x14ac:dyDescent="0.3">
      <c r="B1008" s="3">
        <v>997</v>
      </c>
      <c r="C1008" s="3">
        <v>62.45</v>
      </c>
      <c r="D1008" s="3">
        <v>0</v>
      </c>
      <c r="E1008" s="3">
        <v>2199.5</v>
      </c>
      <c r="F1008" s="3">
        <v>2261.9499999999998</v>
      </c>
    </row>
    <row r="1009" spans="2:6" x14ac:dyDescent="0.3">
      <c r="B1009" s="3">
        <v>998</v>
      </c>
      <c r="C1009" s="3">
        <v>64.5</v>
      </c>
      <c r="D1009" s="3">
        <v>0</v>
      </c>
      <c r="E1009" s="3">
        <v>2199.5</v>
      </c>
      <c r="F1009" s="3">
        <v>2263.9999999999995</v>
      </c>
    </row>
    <row r="1010" spans="2:6" x14ac:dyDescent="0.3">
      <c r="B1010" s="3">
        <v>999</v>
      </c>
      <c r="C1010" s="3">
        <v>56.2</v>
      </c>
      <c r="D1010" s="3">
        <v>0</v>
      </c>
      <c r="E1010" s="3">
        <v>2199.5</v>
      </c>
      <c r="F1010" s="3">
        <v>2255.6999999999998</v>
      </c>
    </row>
    <row r="1011" spans="2:6" x14ac:dyDescent="0.3">
      <c r="B1011" s="3">
        <v>1000</v>
      </c>
      <c r="C1011" s="3">
        <v>61.55</v>
      </c>
      <c r="D1011" s="3">
        <v>0</v>
      </c>
      <c r="E1011" s="3">
        <v>2199.5</v>
      </c>
      <c r="F1011" s="3">
        <v>2261.0500000000002</v>
      </c>
    </row>
    <row r="1012" spans="2:6" x14ac:dyDescent="0.3">
      <c r="B1012" s="3">
        <v>1001</v>
      </c>
      <c r="C1012" s="3">
        <v>58.400000000000013</v>
      </c>
      <c r="D1012" s="3">
        <v>0</v>
      </c>
      <c r="E1012" s="3">
        <v>2199.5</v>
      </c>
      <c r="F1012" s="3">
        <v>2257.8999999999996</v>
      </c>
    </row>
    <row r="1013" spans="2:6" x14ac:dyDescent="0.3">
      <c r="B1013" s="3">
        <v>1002</v>
      </c>
      <c r="C1013" s="3">
        <v>60.15</v>
      </c>
      <c r="D1013" s="3">
        <v>0</v>
      </c>
      <c r="E1013" s="3">
        <v>2199.5</v>
      </c>
      <c r="F1013" s="3">
        <v>2259.6500000000015</v>
      </c>
    </row>
    <row r="1014" spans="2:6" x14ac:dyDescent="0.3">
      <c r="B1014" s="3">
        <v>1003</v>
      </c>
      <c r="C1014" s="3">
        <v>61.54999999999999</v>
      </c>
      <c r="D1014" s="3">
        <v>0</v>
      </c>
      <c r="E1014" s="3">
        <v>2199.5</v>
      </c>
      <c r="F1014" s="3">
        <v>2261.0499999999997</v>
      </c>
    </row>
    <row r="1015" spans="2:6" x14ac:dyDescent="0.3">
      <c r="B1015" s="3">
        <v>1004</v>
      </c>
      <c r="C1015" s="3">
        <v>61.999999999999993</v>
      </c>
      <c r="D1015" s="3">
        <v>0</v>
      </c>
      <c r="E1015" s="3">
        <v>2199.5</v>
      </c>
      <c r="F1015" s="3">
        <v>2261.5</v>
      </c>
    </row>
    <row r="1016" spans="2:6" x14ac:dyDescent="0.3">
      <c r="B1016" s="3">
        <v>1005</v>
      </c>
      <c r="C1016" s="3">
        <v>66.749999999999986</v>
      </c>
      <c r="D1016" s="3">
        <v>0</v>
      </c>
      <c r="E1016" s="3">
        <v>2199.5</v>
      </c>
      <c r="F1016" s="3">
        <v>2266.25</v>
      </c>
    </row>
    <row r="1017" spans="2:6" x14ac:dyDescent="0.3">
      <c r="B1017" s="3">
        <v>1006</v>
      </c>
      <c r="C1017" s="3">
        <v>63.750000000000007</v>
      </c>
      <c r="D1017" s="3">
        <v>0</v>
      </c>
      <c r="E1017" s="3">
        <v>2199.5</v>
      </c>
      <c r="F1017" s="3">
        <v>2263.2499999999995</v>
      </c>
    </row>
    <row r="1018" spans="2:6" x14ac:dyDescent="0.3">
      <c r="B1018" s="3">
        <v>1007</v>
      </c>
      <c r="C1018" s="3">
        <v>65.449999999999989</v>
      </c>
      <c r="D1018" s="3">
        <v>0</v>
      </c>
      <c r="E1018" s="3">
        <v>2199.5</v>
      </c>
      <c r="F1018" s="3">
        <v>2264.9500000000003</v>
      </c>
    </row>
    <row r="1019" spans="2:6" x14ac:dyDescent="0.3">
      <c r="B1019" s="3">
        <v>1008</v>
      </c>
      <c r="C1019" s="3">
        <v>59.050000000000004</v>
      </c>
      <c r="D1019" s="3">
        <v>0</v>
      </c>
      <c r="E1019" s="3">
        <v>2199.5</v>
      </c>
      <c r="F1019" s="3">
        <v>2258.5500000000002</v>
      </c>
    </row>
    <row r="1020" spans="2:6" x14ac:dyDescent="0.3">
      <c r="B1020" s="3">
        <v>1009</v>
      </c>
      <c r="C1020" s="3">
        <v>66.59999999999998</v>
      </c>
      <c r="D1020" s="3">
        <v>0</v>
      </c>
      <c r="E1020" s="3">
        <v>2199.5</v>
      </c>
      <c r="F1020" s="3">
        <v>2266.1000000000004</v>
      </c>
    </row>
    <row r="1021" spans="2:6" x14ac:dyDescent="0.3">
      <c r="B1021" s="3">
        <v>1010</v>
      </c>
      <c r="C1021" s="3">
        <v>62.800000000000004</v>
      </c>
      <c r="D1021" s="3">
        <v>0</v>
      </c>
      <c r="E1021" s="3">
        <v>2199.5</v>
      </c>
      <c r="F1021" s="3">
        <v>2262.2999999999997</v>
      </c>
    </row>
    <row r="1022" spans="2:6" x14ac:dyDescent="0.3">
      <c r="B1022" s="3">
        <v>1011</v>
      </c>
      <c r="C1022" s="3">
        <v>64.90000000000002</v>
      </c>
      <c r="D1022" s="3">
        <v>0</v>
      </c>
      <c r="E1022" s="3">
        <v>2199.5</v>
      </c>
      <c r="F1022" s="3">
        <v>2264.3999999999992</v>
      </c>
    </row>
    <row r="1023" spans="2:6" x14ac:dyDescent="0.3">
      <c r="B1023" s="3">
        <v>1012</v>
      </c>
      <c r="C1023" s="3">
        <v>54.20000000000001</v>
      </c>
      <c r="D1023" s="3">
        <v>0</v>
      </c>
      <c r="E1023" s="3">
        <v>2199.5</v>
      </c>
      <c r="F1023" s="3">
        <v>2253.6999999999994</v>
      </c>
    </row>
    <row r="1024" spans="2:6" x14ac:dyDescent="0.3">
      <c r="B1024" s="3">
        <v>1013</v>
      </c>
      <c r="C1024" s="3">
        <v>59.8</v>
      </c>
      <c r="D1024" s="3">
        <v>0</v>
      </c>
      <c r="E1024" s="3">
        <v>2199.5</v>
      </c>
      <c r="F1024" s="3">
        <v>2259.2999999999997</v>
      </c>
    </row>
    <row r="1025" spans="2:6" x14ac:dyDescent="0.3">
      <c r="B1025" s="3">
        <v>1014</v>
      </c>
      <c r="C1025" s="3">
        <v>61.250000000000007</v>
      </c>
      <c r="D1025" s="3">
        <v>0</v>
      </c>
      <c r="E1025" s="3">
        <v>2199.5</v>
      </c>
      <c r="F1025" s="3">
        <v>2260.7499999999991</v>
      </c>
    </row>
    <row r="1026" spans="2:6" x14ac:dyDescent="0.3">
      <c r="B1026" s="3">
        <v>1015</v>
      </c>
      <c r="C1026" s="3">
        <v>65.750000000000014</v>
      </c>
      <c r="D1026" s="3">
        <v>0</v>
      </c>
      <c r="E1026" s="3">
        <v>2199.5</v>
      </c>
      <c r="F1026" s="3">
        <v>2265.2499999999995</v>
      </c>
    </row>
    <row r="1027" spans="2:6" x14ac:dyDescent="0.3">
      <c r="B1027" s="3">
        <v>1016</v>
      </c>
      <c r="C1027" s="3">
        <v>62.3</v>
      </c>
      <c r="D1027" s="3">
        <v>0</v>
      </c>
      <c r="E1027" s="3">
        <v>1099.75</v>
      </c>
      <c r="F1027" s="3">
        <v>1162.05</v>
      </c>
    </row>
    <row r="1028" spans="2:6" x14ac:dyDescent="0.3">
      <c r="B1028" s="3">
        <v>1017</v>
      </c>
      <c r="C1028" s="3">
        <v>65.05</v>
      </c>
      <c r="D1028" s="3">
        <v>0</v>
      </c>
      <c r="E1028" s="3">
        <v>2199.5</v>
      </c>
      <c r="F1028" s="3">
        <v>2264.5500000000006</v>
      </c>
    </row>
    <row r="1029" spans="2:6" x14ac:dyDescent="0.3">
      <c r="B1029" s="3">
        <v>1018</v>
      </c>
      <c r="C1029" s="3">
        <v>56.650000000000006</v>
      </c>
      <c r="D1029" s="3">
        <v>0</v>
      </c>
      <c r="E1029" s="3">
        <v>2199.5</v>
      </c>
      <c r="F1029" s="3">
        <v>2256.15</v>
      </c>
    </row>
    <row r="1030" spans="2:6" x14ac:dyDescent="0.3">
      <c r="B1030" s="3">
        <v>1019</v>
      </c>
      <c r="C1030" s="3">
        <v>62.20000000000001</v>
      </c>
      <c r="D1030" s="3">
        <v>0</v>
      </c>
      <c r="E1030" s="3">
        <v>2199.5</v>
      </c>
      <c r="F1030" s="3">
        <v>2261.6999999999998</v>
      </c>
    </row>
    <row r="1031" spans="2:6" x14ac:dyDescent="0.3">
      <c r="B1031" s="3">
        <v>1020</v>
      </c>
      <c r="C1031" s="3">
        <v>63.800000000000004</v>
      </c>
      <c r="D1031" s="3">
        <v>0</v>
      </c>
      <c r="E1031" s="3">
        <v>2199.5</v>
      </c>
      <c r="F1031" s="3">
        <v>2263.2999999999997</v>
      </c>
    </row>
    <row r="1032" spans="2:6" x14ac:dyDescent="0.3">
      <c r="B1032" s="3">
        <v>1021</v>
      </c>
      <c r="C1032" s="3">
        <v>60.449999999999989</v>
      </c>
      <c r="D1032" s="3">
        <v>0</v>
      </c>
      <c r="E1032" s="3">
        <v>2199.5</v>
      </c>
      <c r="F1032" s="3">
        <v>2259.9500000000003</v>
      </c>
    </row>
    <row r="1033" spans="2:6" x14ac:dyDescent="0.3">
      <c r="B1033" s="3">
        <v>1022</v>
      </c>
      <c r="C1033" s="3">
        <v>56.8</v>
      </c>
      <c r="D1033" s="3">
        <v>0</v>
      </c>
      <c r="E1033" s="3">
        <v>2199.5</v>
      </c>
      <c r="F1033" s="3">
        <v>2256.2999999999997</v>
      </c>
    </row>
    <row r="1034" spans="2:6" x14ac:dyDescent="0.3">
      <c r="B1034" s="3">
        <v>1023</v>
      </c>
      <c r="C1034" s="3">
        <v>62.550000000000011</v>
      </c>
      <c r="D1034" s="3">
        <v>0</v>
      </c>
      <c r="E1034" s="3">
        <v>2199.5</v>
      </c>
      <c r="F1034" s="3">
        <v>2262.0499999999997</v>
      </c>
    </row>
    <row r="1035" spans="2:6" x14ac:dyDescent="0.3">
      <c r="B1035" s="3">
        <v>1024</v>
      </c>
      <c r="C1035" s="3">
        <v>61.949999999999996</v>
      </c>
      <c r="D1035" s="3">
        <v>0</v>
      </c>
      <c r="E1035" s="3">
        <v>2199.5</v>
      </c>
      <c r="F1035" s="3">
        <v>2261.4499999999998</v>
      </c>
    </row>
    <row r="1036" spans="2:6" x14ac:dyDescent="0.3">
      <c r="B1036" s="3">
        <v>1025</v>
      </c>
      <c r="C1036" s="3">
        <v>65.199999999999989</v>
      </c>
      <c r="D1036" s="3">
        <v>0</v>
      </c>
      <c r="E1036" s="3">
        <v>2199.5</v>
      </c>
      <c r="F1036" s="3">
        <v>2264.7000000000003</v>
      </c>
    </row>
    <row r="1037" spans="2:6" x14ac:dyDescent="0.3">
      <c r="B1037" s="3">
        <v>1026</v>
      </c>
      <c r="C1037" s="3">
        <v>57.95</v>
      </c>
      <c r="D1037" s="3">
        <v>0</v>
      </c>
      <c r="E1037" s="3">
        <v>2199.5</v>
      </c>
      <c r="F1037" s="3">
        <v>2257.4499999999994</v>
      </c>
    </row>
    <row r="1038" spans="2:6" x14ac:dyDescent="0.3">
      <c r="B1038" s="3">
        <v>1027</v>
      </c>
      <c r="C1038" s="3">
        <v>65.849999999999994</v>
      </c>
      <c r="D1038" s="3">
        <v>0</v>
      </c>
      <c r="E1038" s="3">
        <v>2199.5</v>
      </c>
      <c r="F1038" s="3">
        <v>2265.3500000000013</v>
      </c>
    </row>
    <row r="1039" spans="2:6" x14ac:dyDescent="0.3">
      <c r="B1039" s="3">
        <v>1028</v>
      </c>
      <c r="C1039" s="3">
        <v>62.85000000000003</v>
      </c>
      <c r="D1039" s="3">
        <v>0</v>
      </c>
      <c r="E1039" s="3">
        <v>2199.5</v>
      </c>
      <c r="F1039" s="3">
        <v>2262.3499999999981</v>
      </c>
    </row>
    <row r="1040" spans="2:6" x14ac:dyDescent="0.3">
      <c r="B1040" s="3">
        <v>1029</v>
      </c>
      <c r="C1040" s="3">
        <v>57.450000000000017</v>
      </c>
      <c r="D1040" s="3">
        <v>0</v>
      </c>
      <c r="E1040" s="3">
        <v>2199.5</v>
      </c>
      <c r="F1040" s="3">
        <v>2256.9499999999998</v>
      </c>
    </row>
    <row r="1041" spans="2:6" x14ac:dyDescent="0.3">
      <c r="B1041" s="3">
        <v>1030</v>
      </c>
      <c r="C1041" s="3">
        <v>65.75</v>
      </c>
      <c r="D1041" s="3">
        <v>0</v>
      </c>
      <c r="E1041" s="3">
        <v>2199.5</v>
      </c>
      <c r="F1041" s="3">
        <v>2265.2499999999995</v>
      </c>
    </row>
    <row r="1042" spans="2:6" x14ac:dyDescent="0.3">
      <c r="B1042" s="3">
        <v>1031</v>
      </c>
      <c r="C1042" s="3">
        <v>63.600000000000009</v>
      </c>
      <c r="D1042" s="3">
        <v>0</v>
      </c>
      <c r="E1042" s="3">
        <v>2199.5</v>
      </c>
      <c r="F1042" s="3">
        <v>2263.1</v>
      </c>
    </row>
    <row r="1043" spans="2:6" x14ac:dyDescent="0.3">
      <c r="B1043" s="3">
        <v>1032</v>
      </c>
      <c r="C1043" s="3">
        <v>56.150000000000013</v>
      </c>
      <c r="D1043" s="3">
        <v>0</v>
      </c>
      <c r="E1043" s="3">
        <v>1099.75</v>
      </c>
      <c r="F1043" s="3">
        <v>1155.8999999999994</v>
      </c>
    </row>
    <row r="1044" spans="2:6" x14ac:dyDescent="0.3">
      <c r="B1044" s="3">
        <v>1033</v>
      </c>
      <c r="C1044" s="3">
        <v>56.500000000000007</v>
      </c>
      <c r="D1044" s="3">
        <v>0</v>
      </c>
      <c r="E1044" s="3">
        <v>2199.5</v>
      </c>
      <c r="F1044" s="3">
        <v>2256</v>
      </c>
    </row>
    <row r="1045" spans="2:6" x14ac:dyDescent="0.3">
      <c r="B1045" s="3">
        <v>1034</v>
      </c>
      <c r="C1045" s="3">
        <v>64.75</v>
      </c>
      <c r="D1045" s="3">
        <v>0</v>
      </c>
      <c r="E1045" s="3">
        <v>2199.5</v>
      </c>
      <c r="F1045" s="3">
        <v>2264.25</v>
      </c>
    </row>
    <row r="1046" spans="2:6" x14ac:dyDescent="0.3">
      <c r="B1046" s="3">
        <v>1035</v>
      </c>
      <c r="C1046" s="3">
        <v>61.199999999999982</v>
      </c>
      <c r="D1046" s="3">
        <v>0</v>
      </c>
      <c r="E1046" s="3">
        <v>2199.5</v>
      </c>
      <c r="F1046" s="3">
        <v>2260.7000000000003</v>
      </c>
    </row>
    <row r="1047" spans="2:6" x14ac:dyDescent="0.3">
      <c r="B1047" s="3">
        <v>1036</v>
      </c>
      <c r="C1047" s="3">
        <v>64.750000000000014</v>
      </c>
      <c r="D1047" s="3">
        <v>0</v>
      </c>
      <c r="E1047" s="3">
        <v>2199.5</v>
      </c>
      <c r="F1047" s="3">
        <v>2264.2500000000005</v>
      </c>
    </row>
    <row r="1048" spans="2:6" x14ac:dyDescent="0.3">
      <c r="B1048" s="3">
        <v>1037</v>
      </c>
      <c r="C1048" s="3">
        <v>66.550000000000011</v>
      </c>
      <c r="D1048" s="3">
        <v>0</v>
      </c>
      <c r="E1048" s="3">
        <v>2199.5</v>
      </c>
      <c r="F1048" s="3">
        <v>2266.0499999999997</v>
      </c>
    </row>
    <row r="1049" spans="2:6" x14ac:dyDescent="0.3">
      <c r="B1049" s="3">
        <v>1038</v>
      </c>
      <c r="C1049" s="3">
        <v>63.55</v>
      </c>
      <c r="D1049" s="3">
        <v>0</v>
      </c>
      <c r="E1049" s="3">
        <v>2199.5</v>
      </c>
      <c r="F1049" s="3">
        <v>2263.0500000000011</v>
      </c>
    </row>
    <row r="1050" spans="2:6" x14ac:dyDescent="0.3">
      <c r="B1050" s="3">
        <v>1039</v>
      </c>
      <c r="C1050" s="3">
        <v>60.249999999999993</v>
      </c>
      <c r="D1050" s="3">
        <v>0</v>
      </c>
      <c r="E1050" s="3">
        <v>1099.75</v>
      </c>
      <c r="F1050" s="3">
        <v>1160</v>
      </c>
    </row>
    <row r="1051" spans="2:6" x14ac:dyDescent="0.3">
      <c r="B1051" s="3">
        <v>1040</v>
      </c>
      <c r="C1051" s="3">
        <v>62.150000000000006</v>
      </c>
      <c r="D1051" s="3">
        <v>0</v>
      </c>
      <c r="E1051" s="3">
        <v>2199.5</v>
      </c>
      <c r="F1051" s="3">
        <v>2261.650000000001</v>
      </c>
    </row>
    <row r="1052" spans="2:6" x14ac:dyDescent="0.3">
      <c r="B1052" s="3">
        <v>1041</v>
      </c>
      <c r="C1052" s="3">
        <v>62.150000000000006</v>
      </c>
      <c r="D1052" s="3">
        <v>0</v>
      </c>
      <c r="E1052" s="3">
        <v>2199.5</v>
      </c>
      <c r="F1052" s="3">
        <v>2261.6499999999996</v>
      </c>
    </row>
    <row r="1053" spans="2:6" x14ac:dyDescent="0.3">
      <c r="B1053" s="3">
        <v>1042</v>
      </c>
      <c r="C1053" s="3">
        <v>61.749999999999993</v>
      </c>
      <c r="D1053" s="3">
        <v>0</v>
      </c>
      <c r="E1053" s="3">
        <v>2199.5</v>
      </c>
      <c r="F1053" s="3">
        <v>2261.2499999999995</v>
      </c>
    </row>
    <row r="1054" spans="2:6" x14ac:dyDescent="0.3">
      <c r="B1054" s="3">
        <v>1043</v>
      </c>
      <c r="C1054" s="3">
        <v>62.500000000000021</v>
      </c>
      <c r="D1054" s="3">
        <v>0</v>
      </c>
      <c r="E1054" s="3">
        <v>2199.5</v>
      </c>
      <c r="F1054" s="3">
        <v>2261.9999999999995</v>
      </c>
    </row>
    <row r="1055" spans="2:6" x14ac:dyDescent="0.3">
      <c r="B1055" s="3">
        <v>1044</v>
      </c>
      <c r="C1055" s="3">
        <v>59.400000000000013</v>
      </c>
      <c r="D1055" s="3">
        <v>0</v>
      </c>
      <c r="E1055" s="3">
        <v>2199.5</v>
      </c>
      <c r="F1055" s="3">
        <v>2258.8999999999996</v>
      </c>
    </row>
    <row r="1056" spans="2:6" x14ac:dyDescent="0.3">
      <c r="B1056" s="3">
        <v>1045</v>
      </c>
      <c r="C1056" s="3">
        <v>59.15</v>
      </c>
      <c r="D1056" s="3">
        <v>0</v>
      </c>
      <c r="E1056" s="3">
        <v>2199.5</v>
      </c>
      <c r="F1056" s="3">
        <v>2258.65</v>
      </c>
    </row>
    <row r="1057" spans="2:6" x14ac:dyDescent="0.3">
      <c r="B1057" s="3">
        <v>1046</v>
      </c>
      <c r="C1057" s="3">
        <v>57.8</v>
      </c>
      <c r="D1057" s="3">
        <v>0</v>
      </c>
      <c r="E1057" s="3">
        <v>2199.5</v>
      </c>
      <c r="F1057" s="3">
        <v>2257.2999999999997</v>
      </c>
    </row>
    <row r="1058" spans="2:6" x14ac:dyDescent="0.3">
      <c r="B1058" s="3">
        <v>1047</v>
      </c>
      <c r="C1058" s="3">
        <v>63.25</v>
      </c>
      <c r="D1058" s="3">
        <v>0</v>
      </c>
      <c r="E1058" s="3">
        <v>2199.5</v>
      </c>
      <c r="F1058" s="3">
        <v>2262.7499999999991</v>
      </c>
    </row>
    <row r="1059" spans="2:6" x14ac:dyDescent="0.3">
      <c r="B1059" s="3">
        <v>1048</v>
      </c>
      <c r="C1059" s="3">
        <v>64.199999999999989</v>
      </c>
      <c r="D1059" s="3">
        <v>0</v>
      </c>
      <c r="E1059" s="3">
        <v>2199.5</v>
      </c>
      <c r="F1059" s="3">
        <v>2263.7000000000007</v>
      </c>
    </row>
    <row r="1060" spans="2:6" x14ac:dyDescent="0.3">
      <c r="B1060" s="3">
        <v>1049</v>
      </c>
      <c r="C1060" s="3">
        <v>62.249999999999993</v>
      </c>
      <c r="D1060" s="3">
        <v>0</v>
      </c>
      <c r="E1060" s="3">
        <v>2199.5</v>
      </c>
      <c r="F1060" s="3">
        <v>2261.75</v>
      </c>
    </row>
    <row r="1061" spans="2:6" x14ac:dyDescent="0.3">
      <c r="B1061" s="3">
        <v>1050</v>
      </c>
      <c r="C1061" s="3">
        <v>65.95</v>
      </c>
      <c r="D1061" s="3">
        <v>0</v>
      </c>
      <c r="E1061" s="3">
        <v>2199.5</v>
      </c>
      <c r="F1061" s="3">
        <v>2265.4500000000003</v>
      </c>
    </row>
    <row r="1062" spans="2:6" x14ac:dyDescent="0.3">
      <c r="B1062" s="3">
        <v>1051</v>
      </c>
      <c r="C1062" s="3">
        <v>65.150000000000006</v>
      </c>
      <c r="D1062" s="3">
        <v>0</v>
      </c>
      <c r="E1062" s="3">
        <v>2199.5</v>
      </c>
      <c r="F1062" s="3">
        <v>2264.6499999999992</v>
      </c>
    </row>
    <row r="1063" spans="2:6" x14ac:dyDescent="0.3">
      <c r="B1063" s="3">
        <v>1052</v>
      </c>
      <c r="C1063" s="3">
        <v>62.5</v>
      </c>
      <c r="D1063" s="3">
        <v>0</v>
      </c>
      <c r="E1063" s="3">
        <v>2199.5</v>
      </c>
      <c r="F1063" s="3">
        <v>2262</v>
      </c>
    </row>
    <row r="1064" spans="2:6" x14ac:dyDescent="0.3">
      <c r="B1064" s="3">
        <v>1053</v>
      </c>
      <c r="C1064" s="3">
        <v>64.3</v>
      </c>
      <c r="D1064" s="3">
        <v>0</v>
      </c>
      <c r="E1064" s="3">
        <v>1099.75</v>
      </c>
      <c r="F1064" s="3">
        <v>1164.05</v>
      </c>
    </row>
    <row r="1065" spans="2:6" x14ac:dyDescent="0.3">
      <c r="B1065" s="3">
        <v>1054</v>
      </c>
      <c r="C1065" s="3">
        <v>59.549999999999976</v>
      </c>
      <c r="D1065" s="3">
        <v>0</v>
      </c>
      <c r="E1065" s="3">
        <v>2199.5</v>
      </c>
      <c r="F1065" s="3">
        <v>2259.0500000000011</v>
      </c>
    </row>
    <row r="1066" spans="2:6" x14ac:dyDescent="0.3">
      <c r="B1066" s="3">
        <v>1055</v>
      </c>
      <c r="C1066" s="3">
        <v>61.850000000000016</v>
      </c>
      <c r="D1066" s="3">
        <v>0</v>
      </c>
      <c r="E1066" s="3">
        <v>2199.5</v>
      </c>
      <c r="F1066" s="3">
        <v>2261.3499999999995</v>
      </c>
    </row>
    <row r="1067" spans="2:6" x14ac:dyDescent="0.3">
      <c r="B1067" s="3">
        <v>1056</v>
      </c>
      <c r="C1067" s="3">
        <v>58.100000000000009</v>
      </c>
      <c r="D1067" s="3">
        <v>0</v>
      </c>
      <c r="E1067" s="3">
        <v>2199.5</v>
      </c>
      <c r="F1067" s="3">
        <v>2257.6</v>
      </c>
    </row>
    <row r="1068" spans="2:6" x14ac:dyDescent="0.3">
      <c r="B1068" s="3">
        <v>1057</v>
      </c>
      <c r="C1068" s="3">
        <v>57.4</v>
      </c>
      <c r="D1068" s="3">
        <v>0</v>
      </c>
      <c r="E1068" s="3">
        <v>1099.75</v>
      </c>
      <c r="F1068" s="3">
        <v>1157.1500000000005</v>
      </c>
    </row>
    <row r="1069" spans="2:6" x14ac:dyDescent="0.3">
      <c r="B1069" s="3">
        <v>1058</v>
      </c>
      <c r="C1069" s="3">
        <v>58.000000000000007</v>
      </c>
      <c r="D1069" s="3">
        <v>0</v>
      </c>
      <c r="E1069" s="3">
        <v>2199.5</v>
      </c>
      <c r="F1069" s="3">
        <v>2257.5</v>
      </c>
    </row>
    <row r="1070" spans="2:6" x14ac:dyDescent="0.3">
      <c r="B1070" s="3">
        <v>1059</v>
      </c>
      <c r="C1070" s="3">
        <v>63.050000000000004</v>
      </c>
      <c r="D1070" s="3">
        <v>0</v>
      </c>
      <c r="E1070" s="3">
        <v>2199.5</v>
      </c>
      <c r="F1070" s="3">
        <v>2262.5499999999997</v>
      </c>
    </row>
    <row r="1071" spans="2:6" x14ac:dyDescent="0.3">
      <c r="B1071" s="3">
        <v>1060</v>
      </c>
      <c r="C1071" s="3">
        <v>63.099999999999987</v>
      </c>
      <c r="D1071" s="3">
        <v>0</v>
      </c>
      <c r="E1071" s="3">
        <v>2199.5</v>
      </c>
      <c r="F1071" s="3">
        <v>2262.6</v>
      </c>
    </row>
    <row r="1072" spans="2:6" x14ac:dyDescent="0.3">
      <c r="B1072" s="3">
        <v>1061</v>
      </c>
      <c r="C1072" s="3">
        <v>59.800000000000011</v>
      </c>
      <c r="D1072" s="3">
        <v>0</v>
      </c>
      <c r="E1072" s="3">
        <v>2199.5</v>
      </c>
      <c r="F1072" s="3">
        <v>2259.2999999999997</v>
      </c>
    </row>
    <row r="1073" spans="2:6" x14ac:dyDescent="0.3">
      <c r="B1073" s="3">
        <v>1062</v>
      </c>
      <c r="C1073" s="3">
        <v>61.8</v>
      </c>
      <c r="D1073" s="3">
        <v>0</v>
      </c>
      <c r="E1073" s="3">
        <v>1099.75</v>
      </c>
      <c r="F1073" s="3">
        <v>1161.5499999999997</v>
      </c>
    </row>
    <row r="1074" spans="2:6" x14ac:dyDescent="0.3">
      <c r="B1074" s="3">
        <v>1063</v>
      </c>
      <c r="C1074" s="3">
        <v>64.100000000000023</v>
      </c>
      <c r="D1074" s="3">
        <v>0</v>
      </c>
      <c r="E1074" s="3">
        <v>2199.5</v>
      </c>
      <c r="F1074" s="3">
        <v>2263.6000000000004</v>
      </c>
    </row>
    <row r="1075" spans="2:6" x14ac:dyDescent="0.3">
      <c r="B1075" s="3">
        <v>1064</v>
      </c>
      <c r="C1075" s="3">
        <v>60.55</v>
      </c>
      <c r="D1075" s="3">
        <v>0</v>
      </c>
      <c r="E1075" s="3">
        <v>2199.5</v>
      </c>
      <c r="F1075" s="3">
        <v>2260.0500000000002</v>
      </c>
    </row>
    <row r="1076" spans="2:6" x14ac:dyDescent="0.3">
      <c r="B1076" s="3">
        <v>1065</v>
      </c>
      <c r="C1076" s="3">
        <v>59.2</v>
      </c>
      <c r="D1076" s="3">
        <v>0</v>
      </c>
      <c r="E1076" s="3">
        <v>2199.5</v>
      </c>
      <c r="F1076" s="3">
        <v>2258.6999999999994</v>
      </c>
    </row>
    <row r="1077" spans="2:6" x14ac:dyDescent="0.3">
      <c r="B1077" s="3">
        <v>1066</v>
      </c>
      <c r="C1077" s="3">
        <v>60.3</v>
      </c>
      <c r="D1077" s="3">
        <v>0</v>
      </c>
      <c r="E1077" s="3">
        <v>2199.5</v>
      </c>
      <c r="F1077" s="3">
        <v>2259.7999999999997</v>
      </c>
    </row>
    <row r="1078" spans="2:6" x14ac:dyDescent="0.3">
      <c r="B1078" s="3">
        <v>1067</v>
      </c>
      <c r="C1078" s="3">
        <v>60.750000000000007</v>
      </c>
      <c r="D1078" s="3">
        <v>0</v>
      </c>
      <c r="E1078" s="3">
        <v>2199.5</v>
      </c>
      <c r="F1078" s="3">
        <v>2260.2499999999995</v>
      </c>
    </row>
    <row r="1079" spans="2:6" x14ac:dyDescent="0.3">
      <c r="B1079" s="3">
        <v>1068</v>
      </c>
      <c r="C1079" s="3">
        <v>65.2</v>
      </c>
      <c r="D1079" s="3">
        <v>0</v>
      </c>
      <c r="E1079" s="3">
        <v>2199.5</v>
      </c>
      <c r="F1079" s="3">
        <v>2264.6999999999998</v>
      </c>
    </row>
    <row r="1080" spans="2:6" x14ac:dyDescent="0.3">
      <c r="B1080" s="3">
        <v>1069</v>
      </c>
      <c r="C1080" s="3">
        <v>63.8</v>
      </c>
      <c r="D1080" s="3">
        <v>0</v>
      </c>
      <c r="E1080" s="3">
        <v>2199.5</v>
      </c>
      <c r="F1080" s="3">
        <v>2263.3000000000002</v>
      </c>
    </row>
    <row r="1081" spans="2:6" x14ac:dyDescent="0.3">
      <c r="B1081" s="3">
        <v>1070</v>
      </c>
      <c r="C1081" s="3">
        <v>64.400000000000006</v>
      </c>
      <c r="D1081" s="3">
        <v>0</v>
      </c>
      <c r="E1081" s="3">
        <v>2199.5</v>
      </c>
      <c r="F1081" s="3">
        <v>2263.8999999999992</v>
      </c>
    </row>
    <row r="1082" spans="2:6" x14ac:dyDescent="0.3">
      <c r="B1082" s="3">
        <v>1071</v>
      </c>
      <c r="C1082" s="3">
        <v>64.999999999999986</v>
      </c>
      <c r="D1082" s="3">
        <v>0</v>
      </c>
      <c r="E1082" s="3">
        <v>2199.5</v>
      </c>
      <c r="F1082" s="3">
        <v>2264.4999999999995</v>
      </c>
    </row>
    <row r="1083" spans="2:6" x14ac:dyDescent="0.3">
      <c r="B1083" s="3">
        <v>1072</v>
      </c>
      <c r="C1083" s="3">
        <v>61.150000000000013</v>
      </c>
      <c r="D1083" s="3">
        <v>0</v>
      </c>
      <c r="E1083" s="3">
        <v>2199.5</v>
      </c>
      <c r="F1083" s="3">
        <v>2260.65</v>
      </c>
    </row>
    <row r="1084" spans="2:6" x14ac:dyDescent="0.3">
      <c r="B1084" s="3">
        <v>1073</v>
      </c>
      <c r="C1084" s="3">
        <v>59.050000000000011</v>
      </c>
      <c r="D1084" s="3">
        <v>0</v>
      </c>
      <c r="E1084" s="3">
        <v>1099.75</v>
      </c>
      <c r="F1084" s="3">
        <v>1158.8000000000004</v>
      </c>
    </row>
    <row r="1085" spans="2:6" x14ac:dyDescent="0.3">
      <c r="B1085" s="3">
        <v>1074</v>
      </c>
      <c r="C1085" s="3">
        <v>59.449999999999996</v>
      </c>
      <c r="D1085" s="3">
        <v>0</v>
      </c>
      <c r="E1085" s="3">
        <v>2199.5</v>
      </c>
      <c r="F1085" s="3">
        <v>2258.9500000000003</v>
      </c>
    </row>
    <row r="1086" spans="2:6" x14ac:dyDescent="0.3">
      <c r="B1086" s="3">
        <v>1075</v>
      </c>
      <c r="C1086" s="3">
        <v>61.04999999999999</v>
      </c>
      <c r="D1086" s="3">
        <v>0</v>
      </c>
      <c r="E1086" s="3">
        <v>2199.5</v>
      </c>
      <c r="F1086" s="3">
        <v>2260.5500000000011</v>
      </c>
    </row>
    <row r="1087" spans="2:6" x14ac:dyDescent="0.3">
      <c r="B1087" s="3">
        <v>1076</v>
      </c>
      <c r="C1087" s="3">
        <v>62.6</v>
      </c>
      <c r="D1087" s="3">
        <v>0</v>
      </c>
      <c r="E1087" s="3">
        <v>2199.5</v>
      </c>
      <c r="F1087" s="3">
        <v>2262.1</v>
      </c>
    </row>
    <row r="1088" spans="2:6" x14ac:dyDescent="0.3">
      <c r="B1088" s="3">
        <v>1077</v>
      </c>
      <c r="C1088" s="3">
        <v>61.70000000000001</v>
      </c>
      <c r="D1088" s="3">
        <v>0</v>
      </c>
      <c r="E1088" s="3">
        <v>2199.5</v>
      </c>
      <c r="F1088" s="3">
        <v>2261.1999999999989</v>
      </c>
    </row>
    <row r="1089" spans="2:6" x14ac:dyDescent="0.3">
      <c r="B1089" s="3">
        <v>1078</v>
      </c>
      <c r="C1089" s="3">
        <v>63.000000000000007</v>
      </c>
      <c r="D1089" s="3">
        <v>0</v>
      </c>
      <c r="E1089" s="3">
        <v>2199.5</v>
      </c>
      <c r="F1089" s="3">
        <v>2262.5</v>
      </c>
    </row>
    <row r="1090" spans="2:6" x14ac:dyDescent="0.3">
      <c r="B1090" s="3">
        <v>1079</v>
      </c>
      <c r="C1090" s="3">
        <v>59.1</v>
      </c>
      <c r="D1090" s="3">
        <v>0</v>
      </c>
      <c r="E1090" s="3">
        <v>2199.5</v>
      </c>
      <c r="F1090" s="3">
        <v>2258.6000000000004</v>
      </c>
    </row>
    <row r="1091" spans="2:6" x14ac:dyDescent="0.3">
      <c r="B1091" s="3">
        <v>1080</v>
      </c>
      <c r="C1091" s="3">
        <v>59.350000000000023</v>
      </c>
      <c r="D1091" s="3">
        <v>0</v>
      </c>
      <c r="E1091" s="3">
        <v>2199.5</v>
      </c>
      <c r="F1091" s="3">
        <v>2258.8499999999985</v>
      </c>
    </row>
    <row r="1092" spans="2:6" x14ac:dyDescent="0.3">
      <c r="B1092" s="3">
        <v>1081</v>
      </c>
      <c r="C1092" s="3">
        <v>67.3</v>
      </c>
      <c r="D1092" s="3">
        <v>0</v>
      </c>
      <c r="E1092" s="3">
        <v>2199.5</v>
      </c>
      <c r="F1092" s="3">
        <v>2266.8000000000006</v>
      </c>
    </row>
    <row r="1093" spans="2:6" x14ac:dyDescent="0.3">
      <c r="B1093" s="3">
        <v>1082</v>
      </c>
      <c r="C1093" s="3">
        <v>61.8</v>
      </c>
      <c r="D1093" s="3">
        <v>0</v>
      </c>
      <c r="E1093" s="3">
        <v>2199.5</v>
      </c>
      <c r="F1093" s="3">
        <v>2261.2999999999993</v>
      </c>
    </row>
    <row r="1094" spans="2:6" x14ac:dyDescent="0.3">
      <c r="B1094" s="3">
        <v>1083</v>
      </c>
      <c r="C1094" s="3">
        <v>60.050000000000011</v>
      </c>
      <c r="D1094" s="3">
        <v>0</v>
      </c>
      <c r="E1094" s="3">
        <v>2199.5</v>
      </c>
      <c r="F1094" s="3">
        <v>2259.5499999999997</v>
      </c>
    </row>
    <row r="1095" spans="2:6" x14ac:dyDescent="0.3">
      <c r="B1095" s="3">
        <v>1084</v>
      </c>
      <c r="C1095" s="3">
        <v>60.550000000000004</v>
      </c>
      <c r="D1095" s="3">
        <v>0</v>
      </c>
      <c r="E1095" s="3">
        <v>2199.5</v>
      </c>
      <c r="F1095" s="3">
        <v>2260.0499999999997</v>
      </c>
    </row>
    <row r="1096" spans="2:6" x14ac:dyDescent="0.3">
      <c r="B1096" s="3">
        <v>1085</v>
      </c>
      <c r="C1096" s="3">
        <v>62.95</v>
      </c>
      <c r="D1096" s="3">
        <v>0</v>
      </c>
      <c r="E1096" s="3">
        <v>2199.5</v>
      </c>
      <c r="F1096" s="3">
        <v>2262.4499999999998</v>
      </c>
    </row>
    <row r="1097" spans="2:6" x14ac:dyDescent="0.3">
      <c r="B1097" s="3">
        <v>1086</v>
      </c>
      <c r="C1097" s="3">
        <v>64.449999999999989</v>
      </c>
      <c r="D1097" s="3">
        <v>0</v>
      </c>
      <c r="E1097" s="3">
        <v>2199.5</v>
      </c>
      <c r="F1097" s="3">
        <v>2263.9500000000007</v>
      </c>
    </row>
    <row r="1098" spans="2:6" x14ac:dyDescent="0.3">
      <c r="B1098" s="3">
        <v>1087</v>
      </c>
      <c r="C1098" s="3">
        <v>58.999999999999993</v>
      </c>
      <c r="D1098" s="3">
        <v>0</v>
      </c>
      <c r="E1098" s="3">
        <v>2199.5</v>
      </c>
      <c r="F1098" s="3">
        <v>2258.5</v>
      </c>
    </row>
    <row r="1099" spans="2:6" x14ac:dyDescent="0.3">
      <c r="B1099" s="3">
        <v>1088</v>
      </c>
      <c r="C1099" s="3">
        <v>68.599999999999994</v>
      </c>
      <c r="D1099" s="3">
        <v>0</v>
      </c>
      <c r="E1099" s="3">
        <v>2199.5</v>
      </c>
      <c r="F1099" s="3">
        <v>2268.0999999999995</v>
      </c>
    </row>
    <row r="1100" spans="2:6" x14ac:dyDescent="0.3">
      <c r="B1100" s="3">
        <v>1089</v>
      </c>
      <c r="C1100" s="3">
        <v>62.850000000000016</v>
      </c>
      <c r="D1100" s="3">
        <v>0</v>
      </c>
      <c r="E1100" s="3">
        <v>2199.5</v>
      </c>
      <c r="F1100" s="3">
        <v>2262.349999999999</v>
      </c>
    </row>
    <row r="1101" spans="2:6" x14ac:dyDescent="0.3">
      <c r="B1101" s="3">
        <v>1090</v>
      </c>
      <c r="C1101" s="3">
        <v>67.8</v>
      </c>
      <c r="D1101" s="3">
        <v>0</v>
      </c>
      <c r="E1101" s="3">
        <v>2199.5</v>
      </c>
      <c r="F1101" s="3">
        <v>2267.3000000000002</v>
      </c>
    </row>
    <row r="1102" spans="2:6" x14ac:dyDescent="0.3">
      <c r="B1102" s="3">
        <v>1091</v>
      </c>
      <c r="C1102" s="3">
        <v>59.449999999999996</v>
      </c>
      <c r="D1102" s="3">
        <v>0</v>
      </c>
      <c r="E1102" s="3">
        <v>2199.5</v>
      </c>
      <c r="F1102" s="3">
        <v>2258.9499999999998</v>
      </c>
    </row>
    <row r="1103" spans="2:6" x14ac:dyDescent="0.3">
      <c r="B1103" s="3">
        <v>1092</v>
      </c>
      <c r="C1103" s="3">
        <v>60.45</v>
      </c>
      <c r="D1103" s="3">
        <v>0</v>
      </c>
      <c r="E1103" s="3">
        <v>2199.5</v>
      </c>
      <c r="F1103" s="3">
        <v>2259.9499999999994</v>
      </c>
    </row>
    <row r="1104" spans="2:6" x14ac:dyDescent="0.3">
      <c r="B1104" s="3">
        <v>1093</v>
      </c>
      <c r="C1104" s="3">
        <v>60.95</v>
      </c>
      <c r="D1104" s="3">
        <v>0</v>
      </c>
      <c r="E1104" s="3">
        <v>2199.5</v>
      </c>
      <c r="F1104" s="3">
        <v>2260.4499999999998</v>
      </c>
    </row>
    <row r="1105" spans="2:6" x14ac:dyDescent="0.3">
      <c r="B1105" s="3">
        <v>1094</v>
      </c>
      <c r="C1105" s="3">
        <v>64.8</v>
      </c>
      <c r="D1105" s="3">
        <v>0</v>
      </c>
      <c r="E1105" s="3">
        <v>2199.5</v>
      </c>
      <c r="F1105" s="3">
        <v>2264.3000000000002</v>
      </c>
    </row>
    <row r="1106" spans="2:6" x14ac:dyDescent="0.3">
      <c r="B1106" s="3">
        <v>1095</v>
      </c>
      <c r="C1106" s="3">
        <v>59.2</v>
      </c>
      <c r="D1106" s="3">
        <v>0</v>
      </c>
      <c r="E1106" s="3">
        <v>2199.5</v>
      </c>
      <c r="F1106" s="3">
        <v>2258.6999999999998</v>
      </c>
    </row>
    <row r="1107" spans="2:6" x14ac:dyDescent="0.3">
      <c r="B1107" s="3">
        <v>1096</v>
      </c>
      <c r="C1107" s="3">
        <v>60.949999999999989</v>
      </c>
      <c r="D1107" s="3">
        <v>0</v>
      </c>
      <c r="E1107" s="3">
        <v>2199.5</v>
      </c>
      <c r="F1107" s="3">
        <v>2260.4500000000003</v>
      </c>
    </row>
    <row r="1108" spans="2:6" x14ac:dyDescent="0.3">
      <c r="B1108" s="3">
        <v>1097</v>
      </c>
      <c r="C1108" s="3">
        <v>62.300000000000018</v>
      </c>
      <c r="D1108" s="3">
        <v>0</v>
      </c>
      <c r="E1108" s="3">
        <v>2199.5</v>
      </c>
      <c r="F1108" s="3">
        <v>2261.7999999999997</v>
      </c>
    </row>
    <row r="1109" spans="2:6" x14ac:dyDescent="0.3">
      <c r="B1109" s="3">
        <v>1098</v>
      </c>
      <c r="C1109" s="3">
        <v>58.750000000000007</v>
      </c>
      <c r="D1109" s="3">
        <v>0</v>
      </c>
      <c r="E1109" s="3">
        <v>2199.5</v>
      </c>
      <c r="F1109" s="3">
        <v>2258.2500000000005</v>
      </c>
    </row>
    <row r="1110" spans="2:6" x14ac:dyDescent="0.3">
      <c r="B1110" s="3">
        <v>1099</v>
      </c>
      <c r="C1110" s="3">
        <v>62.449999999999989</v>
      </c>
      <c r="D1110" s="3">
        <v>0</v>
      </c>
      <c r="E1110" s="3">
        <v>2199.5</v>
      </c>
      <c r="F1110" s="3">
        <v>2261.9500000000003</v>
      </c>
    </row>
    <row r="1111" spans="2:6" x14ac:dyDescent="0.3">
      <c r="B1111" s="3">
        <v>1100</v>
      </c>
      <c r="C1111" s="3">
        <v>56.650000000000006</v>
      </c>
      <c r="D1111" s="3">
        <v>0</v>
      </c>
      <c r="E1111" s="3">
        <v>1099.75</v>
      </c>
      <c r="F1111" s="3">
        <v>1156.4000000000001</v>
      </c>
    </row>
    <row r="1112" spans="2:6" x14ac:dyDescent="0.3">
      <c r="B1112" s="3">
        <v>1101</v>
      </c>
      <c r="C1112" s="3">
        <v>62.849999999999994</v>
      </c>
      <c r="D1112" s="3">
        <v>0</v>
      </c>
      <c r="E1112" s="3">
        <v>2199.5</v>
      </c>
      <c r="F1112" s="3">
        <v>2262.3500000000008</v>
      </c>
    </row>
    <row r="1113" spans="2:6" x14ac:dyDescent="0.3">
      <c r="B1113" s="3">
        <v>1102</v>
      </c>
      <c r="C1113" s="3">
        <v>60.85</v>
      </c>
      <c r="D1113" s="3">
        <v>0</v>
      </c>
      <c r="E1113" s="3">
        <v>2199.5</v>
      </c>
      <c r="F1113" s="3">
        <v>2260.3499999999995</v>
      </c>
    </row>
    <row r="1114" spans="2:6" x14ac:dyDescent="0.3">
      <c r="B1114" s="3">
        <v>1103</v>
      </c>
      <c r="C1114" s="3">
        <v>61.4</v>
      </c>
      <c r="D1114" s="3">
        <v>0</v>
      </c>
      <c r="E1114" s="3">
        <v>2199.5</v>
      </c>
      <c r="F1114" s="3">
        <v>2260.9000000000005</v>
      </c>
    </row>
    <row r="1115" spans="2:6" x14ac:dyDescent="0.3">
      <c r="B1115" s="3">
        <v>1104</v>
      </c>
      <c r="C1115" s="3">
        <v>57.300000000000004</v>
      </c>
      <c r="D1115" s="3">
        <v>0</v>
      </c>
      <c r="E1115" s="3">
        <v>2199.5</v>
      </c>
      <c r="F1115" s="3">
        <v>2256.7999999999997</v>
      </c>
    </row>
    <row r="1116" spans="2:6" x14ac:dyDescent="0.3">
      <c r="B1116" s="3">
        <v>1105</v>
      </c>
      <c r="C1116" s="3">
        <v>62.349999999999987</v>
      </c>
      <c r="D1116" s="3">
        <v>0</v>
      </c>
      <c r="E1116" s="3">
        <v>2199.5</v>
      </c>
      <c r="F1116" s="3">
        <v>2261.8500000000004</v>
      </c>
    </row>
    <row r="1117" spans="2:6" x14ac:dyDescent="0.3">
      <c r="B1117" s="3">
        <v>1106</v>
      </c>
      <c r="C1117" s="3">
        <v>59.650000000000006</v>
      </c>
      <c r="D1117" s="3">
        <v>0</v>
      </c>
      <c r="E1117" s="3">
        <v>1099.75</v>
      </c>
      <c r="F1117" s="3">
        <v>1159.4000000000005</v>
      </c>
    </row>
    <row r="1118" spans="2:6" x14ac:dyDescent="0.3">
      <c r="B1118" s="3">
        <v>1107</v>
      </c>
      <c r="C1118" s="3">
        <v>61.800000000000004</v>
      </c>
      <c r="D1118" s="3">
        <v>0</v>
      </c>
      <c r="E1118" s="3">
        <v>2199.5</v>
      </c>
      <c r="F1118" s="3">
        <v>2261.3000000000006</v>
      </c>
    </row>
    <row r="1119" spans="2:6" x14ac:dyDescent="0.3">
      <c r="B1119" s="3">
        <v>1108</v>
      </c>
      <c r="C1119" s="3">
        <v>65.05</v>
      </c>
      <c r="D1119" s="3">
        <v>0</v>
      </c>
      <c r="E1119" s="3">
        <v>2199.5</v>
      </c>
      <c r="F1119" s="3">
        <v>2264.5500000000002</v>
      </c>
    </row>
    <row r="1120" spans="2:6" x14ac:dyDescent="0.3">
      <c r="B1120" s="3">
        <v>1109</v>
      </c>
      <c r="C1120" s="3">
        <v>61.79999999999999</v>
      </c>
      <c r="D1120" s="3">
        <v>0</v>
      </c>
      <c r="E1120" s="3">
        <v>2199.5</v>
      </c>
      <c r="F1120" s="3">
        <v>2261.3000000000006</v>
      </c>
    </row>
    <row r="1121" spans="2:6" x14ac:dyDescent="0.3">
      <c r="B1121" s="3">
        <v>1110</v>
      </c>
      <c r="C1121" s="3">
        <v>62.899999999999991</v>
      </c>
      <c r="D1121" s="3">
        <v>0</v>
      </c>
      <c r="E1121" s="3">
        <v>2199.5</v>
      </c>
      <c r="F1121" s="3">
        <v>2262.4</v>
      </c>
    </row>
    <row r="1122" spans="2:6" x14ac:dyDescent="0.3">
      <c r="B1122" s="3">
        <v>1111</v>
      </c>
      <c r="C1122" s="3">
        <v>67.300000000000011</v>
      </c>
      <c r="D1122" s="3">
        <v>0</v>
      </c>
      <c r="E1122" s="3">
        <v>2199.5</v>
      </c>
      <c r="F1122" s="3">
        <v>2266.8000000000011</v>
      </c>
    </row>
    <row r="1123" spans="2:6" x14ac:dyDescent="0.3">
      <c r="B1123" s="3">
        <v>1112</v>
      </c>
      <c r="C1123" s="3">
        <v>62.699999999999989</v>
      </c>
      <c r="D1123" s="3">
        <v>0</v>
      </c>
      <c r="E1123" s="3">
        <v>2199.5</v>
      </c>
      <c r="F1123" s="3">
        <v>2262.2000000000007</v>
      </c>
    </row>
    <row r="1124" spans="2:6" x14ac:dyDescent="0.3">
      <c r="B1124" s="3">
        <v>1113</v>
      </c>
      <c r="C1124" s="3">
        <v>62.95000000000001</v>
      </c>
      <c r="D1124" s="3">
        <v>0</v>
      </c>
      <c r="E1124" s="3">
        <v>2199.5</v>
      </c>
      <c r="F1124" s="3">
        <v>2262.4499999999998</v>
      </c>
    </row>
    <row r="1125" spans="2:6" x14ac:dyDescent="0.3">
      <c r="B1125" s="3">
        <v>1114</v>
      </c>
      <c r="C1125" s="3">
        <v>65.100000000000009</v>
      </c>
      <c r="D1125" s="3">
        <v>0</v>
      </c>
      <c r="E1125" s="3">
        <v>2199.5</v>
      </c>
      <c r="F1125" s="3">
        <v>2264.6</v>
      </c>
    </row>
    <row r="1126" spans="2:6" x14ac:dyDescent="0.3">
      <c r="B1126" s="3">
        <v>1115</v>
      </c>
      <c r="C1126" s="3">
        <v>62.800000000000018</v>
      </c>
      <c r="D1126" s="3">
        <v>0</v>
      </c>
      <c r="E1126" s="3">
        <v>2199.5</v>
      </c>
      <c r="F1126" s="3">
        <v>2262.3000000000002</v>
      </c>
    </row>
    <row r="1127" spans="2:6" x14ac:dyDescent="0.3">
      <c r="B1127" s="3">
        <v>1116</v>
      </c>
      <c r="C1127" s="3">
        <v>62.65</v>
      </c>
      <c r="D1127" s="3">
        <v>0</v>
      </c>
      <c r="E1127" s="3">
        <v>2199.5</v>
      </c>
      <c r="F1127" s="3">
        <v>2262.1500000000005</v>
      </c>
    </row>
    <row r="1128" spans="2:6" x14ac:dyDescent="0.3">
      <c r="B1128" s="3">
        <v>1117</v>
      </c>
      <c r="C1128" s="3">
        <v>57.3</v>
      </c>
      <c r="D1128" s="3">
        <v>0</v>
      </c>
      <c r="E1128" s="3">
        <v>2199.5</v>
      </c>
      <c r="F1128" s="3">
        <v>2256.8000000000002</v>
      </c>
    </row>
    <row r="1129" spans="2:6" x14ac:dyDescent="0.3">
      <c r="B1129" s="3">
        <v>1118</v>
      </c>
      <c r="C1129" s="3">
        <v>65.45</v>
      </c>
      <c r="D1129" s="3">
        <v>0</v>
      </c>
      <c r="E1129" s="3">
        <v>2199.5</v>
      </c>
      <c r="F1129" s="3">
        <v>2264.9499999999994</v>
      </c>
    </row>
    <row r="1130" spans="2:6" x14ac:dyDescent="0.3">
      <c r="B1130" s="3">
        <v>1119</v>
      </c>
      <c r="C1130" s="3">
        <v>64.55</v>
      </c>
      <c r="D1130" s="3">
        <v>0</v>
      </c>
      <c r="E1130" s="3">
        <v>2199.5</v>
      </c>
      <c r="F1130" s="3">
        <v>2264.0499999999997</v>
      </c>
    </row>
    <row r="1131" spans="2:6" x14ac:dyDescent="0.3">
      <c r="B1131" s="3">
        <v>1120</v>
      </c>
      <c r="C1131" s="3">
        <v>65</v>
      </c>
      <c r="D1131" s="3">
        <v>0</v>
      </c>
      <c r="E1131" s="3">
        <v>2199.5</v>
      </c>
      <c r="F1131" s="3">
        <v>2264.4999999999995</v>
      </c>
    </row>
    <row r="1132" spans="2:6" x14ac:dyDescent="0.3">
      <c r="B1132" s="3">
        <v>1121</v>
      </c>
      <c r="C1132" s="3">
        <v>59.249999999999986</v>
      </c>
      <c r="D1132" s="3">
        <v>0</v>
      </c>
      <c r="E1132" s="3">
        <v>1099.75</v>
      </c>
      <c r="F1132" s="3">
        <v>1159.0000000000005</v>
      </c>
    </row>
    <row r="1133" spans="2:6" x14ac:dyDescent="0.3">
      <c r="B1133" s="3">
        <v>1122</v>
      </c>
      <c r="C1133" s="3">
        <v>61.599999999999987</v>
      </c>
      <c r="D1133" s="3">
        <v>0</v>
      </c>
      <c r="E1133" s="3">
        <v>2199.5</v>
      </c>
      <c r="F1133" s="3">
        <v>2261.0999999999995</v>
      </c>
    </row>
    <row r="1134" spans="2:6" x14ac:dyDescent="0.3">
      <c r="B1134" s="3">
        <v>1123</v>
      </c>
      <c r="C1134" s="3">
        <v>63.499999999999986</v>
      </c>
      <c r="D1134" s="3">
        <v>0</v>
      </c>
      <c r="E1134" s="3">
        <v>2199.5</v>
      </c>
      <c r="F1134" s="3">
        <v>2263.0000000000014</v>
      </c>
    </row>
    <row r="1135" spans="2:6" x14ac:dyDescent="0.3">
      <c r="B1135" s="3">
        <v>1124</v>
      </c>
      <c r="C1135" s="3">
        <v>62.999999999999986</v>
      </c>
      <c r="D1135" s="3">
        <v>0</v>
      </c>
      <c r="E1135" s="3">
        <v>1099.75</v>
      </c>
      <c r="F1135" s="3">
        <v>1162.75</v>
      </c>
    </row>
    <row r="1136" spans="2:6" x14ac:dyDescent="0.3">
      <c r="B1136" s="3">
        <v>1125</v>
      </c>
      <c r="C1136" s="3">
        <v>60.450000000000017</v>
      </c>
      <c r="D1136" s="3">
        <v>0</v>
      </c>
      <c r="E1136" s="3">
        <v>2199.5</v>
      </c>
      <c r="F1136" s="3">
        <v>2259.9499999999994</v>
      </c>
    </row>
    <row r="1137" spans="2:6" x14ac:dyDescent="0.3">
      <c r="B1137" s="3">
        <v>1126</v>
      </c>
      <c r="C1137" s="3">
        <v>61.449999999999996</v>
      </c>
      <c r="D1137" s="3">
        <v>0</v>
      </c>
      <c r="E1137" s="3">
        <v>2199.5</v>
      </c>
      <c r="F1137" s="3">
        <v>2260.9500000000007</v>
      </c>
    </row>
    <row r="1138" spans="2:6" x14ac:dyDescent="0.3">
      <c r="B1138" s="3">
        <v>1127</v>
      </c>
      <c r="C1138" s="3">
        <v>60.20000000000001</v>
      </c>
      <c r="D1138" s="3">
        <v>0</v>
      </c>
      <c r="E1138" s="3">
        <v>1099.75</v>
      </c>
      <c r="F1138" s="3">
        <v>1159.9499999999996</v>
      </c>
    </row>
    <row r="1139" spans="2:6" x14ac:dyDescent="0.3">
      <c r="B1139" s="3">
        <v>1128</v>
      </c>
      <c r="C1139" s="3">
        <v>64.050000000000011</v>
      </c>
      <c r="D1139" s="3">
        <v>0</v>
      </c>
      <c r="E1139" s="3">
        <v>2199.5</v>
      </c>
      <c r="F1139" s="3">
        <v>2263.5499999999993</v>
      </c>
    </row>
    <row r="1140" spans="2:6" x14ac:dyDescent="0.3">
      <c r="B1140" s="3">
        <v>1129</v>
      </c>
      <c r="C1140" s="3">
        <v>58.3</v>
      </c>
      <c r="D1140" s="3">
        <v>0</v>
      </c>
      <c r="E1140" s="3">
        <v>2199.5</v>
      </c>
      <c r="F1140" s="3">
        <v>2257.7999999999997</v>
      </c>
    </row>
    <row r="1141" spans="2:6" x14ac:dyDescent="0.3">
      <c r="B1141" s="3">
        <v>1130</v>
      </c>
      <c r="C1141" s="3">
        <v>63.650000000000006</v>
      </c>
      <c r="D1141" s="3">
        <v>0</v>
      </c>
      <c r="E1141" s="3">
        <v>2199.5</v>
      </c>
      <c r="F1141" s="3">
        <v>2263.1499999999996</v>
      </c>
    </row>
    <row r="1142" spans="2:6" x14ac:dyDescent="0.3">
      <c r="B1142" s="3">
        <v>1131</v>
      </c>
      <c r="C1142" s="3">
        <v>61.59999999999998</v>
      </c>
      <c r="D1142" s="3">
        <v>0</v>
      </c>
      <c r="E1142" s="3">
        <v>2199.5</v>
      </c>
      <c r="F1142" s="3">
        <v>2261.1000000000008</v>
      </c>
    </row>
    <row r="1143" spans="2:6" x14ac:dyDescent="0.3">
      <c r="B1143" s="3">
        <v>1132</v>
      </c>
      <c r="C1143" s="3">
        <v>58.3</v>
      </c>
      <c r="D1143" s="3">
        <v>0</v>
      </c>
      <c r="E1143" s="3">
        <v>2199.5</v>
      </c>
      <c r="F1143" s="3">
        <v>2257.8000000000002</v>
      </c>
    </row>
    <row r="1144" spans="2:6" x14ac:dyDescent="0.3">
      <c r="B1144" s="3">
        <v>1133</v>
      </c>
      <c r="C1144" s="3">
        <v>61.300000000000004</v>
      </c>
      <c r="D1144" s="3">
        <v>0</v>
      </c>
      <c r="E1144" s="3">
        <v>2199.5</v>
      </c>
      <c r="F1144" s="3">
        <v>2260.8000000000002</v>
      </c>
    </row>
    <row r="1145" spans="2:6" x14ac:dyDescent="0.3">
      <c r="B1145" s="3">
        <v>1134</v>
      </c>
      <c r="C1145" s="3">
        <v>61.2</v>
      </c>
      <c r="D1145" s="3">
        <v>0</v>
      </c>
      <c r="E1145" s="3">
        <v>2199.5</v>
      </c>
      <c r="F1145" s="3">
        <v>2260.7000000000003</v>
      </c>
    </row>
    <row r="1146" spans="2:6" x14ac:dyDescent="0.3">
      <c r="B1146" s="3">
        <v>1135</v>
      </c>
      <c r="C1146" s="3">
        <v>64.499999999999986</v>
      </c>
      <c r="D1146" s="3">
        <v>0</v>
      </c>
      <c r="E1146" s="3">
        <v>2199.5</v>
      </c>
      <c r="F1146" s="3">
        <v>2264</v>
      </c>
    </row>
    <row r="1147" spans="2:6" x14ac:dyDescent="0.3">
      <c r="B1147" s="3">
        <v>1136</v>
      </c>
      <c r="C1147" s="3">
        <v>56.199999999999996</v>
      </c>
      <c r="D1147" s="3">
        <v>0</v>
      </c>
      <c r="E1147" s="3">
        <v>2199.5</v>
      </c>
      <c r="F1147" s="3">
        <v>2255.6999999999998</v>
      </c>
    </row>
    <row r="1148" spans="2:6" x14ac:dyDescent="0.3">
      <c r="B1148" s="3">
        <v>1137</v>
      </c>
      <c r="C1148" s="3">
        <v>62.750000000000014</v>
      </c>
      <c r="D1148" s="3">
        <v>0</v>
      </c>
      <c r="E1148" s="3">
        <v>2199.5</v>
      </c>
      <c r="F1148" s="3">
        <v>2262.2499999999995</v>
      </c>
    </row>
    <row r="1149" spans="2:6" x14ac:dyDescent="0.3">
      <c r="B1149" s="3">
        <v>1138</v>
      </c>
      <c r="C1149" s="3">
        <v>63.09999999999998</v>
      </c>
      <c r="D1149" s="3">
        <v>0</v>
      </c>
      <c r="E1149" s="3">
        <v>2199.5</v>
      </c>
      <c r="F1149" s="3">
        <v>2262.6000000000004</v>
      </c>
    </row>
    <row r="1150" spans="2:6" x14ac:dyDescent="0.3">
      <c r="B1150" s="3">
        <v>1139</v>
      </c>
      <c r="C1150" s="3">
        <v>60.65</v>
      </c>
      <c r="D1150" s="3">
        <v>0</v>
      </c>
      <c r="E1150" s="3">
        <v>2199.5</v>
      </c>
      <c r="F1150" s="3">
        <v>2260.1499999999996</v>
      </c>
    </row>
    <row r="1151" spans="2:6" x14ac:dyDescent="0.3">
      <c r="B1151" s="3">
        <v>1140</v>
      </c>
      <c r="C1151" s="3">
        <v>66.400000000000006</v>
      </c>
      <c r="D1151" s="3">
        <v>0</v>
      </c>
      <c r="E1151" s="3">
        <v>2199.5</v>
      </c>
      <c r="F1151" s="3">
        <v>2265.8999999999992</v>
      </c>
    </row>
    <row r="1152" spans="2:6" x14ac:dyDescent="0.3">
      <c r="B1152" s="3">
        <v>1141</v>
      </c>
      <c r="C1152" s="3">
        <v>63.29999999999999</v>
      </c>
      <c r="D1152" s="3">
        <v>0</v>
      </c>
      <c r="E1152" s="3">
        <v>2199.5</v>
      </c>
      <c r="F1152" s="3">
        <v>2262.8000000000006</v>
      </c>
    </row>
    <row r="1153" spans="2:6" x14ac:dyDescent="0.3">
      <c r="B1153" s="3">
        <v>1142</v>
      </c>
      <c r="C1153" s="3">
        <v>65.450000000000017</v>
      </c>
      <c r="D1153" s="3">
        <v>0</v>
      </c>
      <c r="E1153" s="3">
        <v>2199.5</v>
      </c>
      <c r="F1153" s="3">
        <v>2264.9499999999994</v>
      </c>
    </row>
    <row r="1154" spans="2:6" x14ac:dyDescent="0.3">
      <c r="B1154" s="3">
        <v>1143</v>
      </c>
      <c r="C1154" s="3">
        <v>64.8</v>
      </c>
      <c r="D1154" s="3">
        <v>0</v>
      </c>
      <c r="E1154" s="3">
        <v>2199.5</v>
      </c>
      <c r="F1154" s="3">
        <v>2264.2999999999997</v>
      </c>
    </row>
    <row r="1155" spans="2:6" x14ac:dyDescent="0.3">
      <c r="B1155" s="3">
        <v>1144</v>
      </c>
      <c r="C1155" s="3">
        <v>59.70000000000001</v>
      </c>
      <c r="D1155" s="3">
        <v>0</v>
      </c>
      <c r="E1155" s="3">
        <v>2199.5</v>
      </c>
      <c r="F1155" s="3">
        <v>2259.2000000000003</v>
      </c>
    </row>
    <row r="1156" spans="2:6" x14ac:dyDescent="0.3">
      <c r="B1156" s="3">
        <v>1145</v>
      </c>
      <c r="C1156" s="3">
        <v>61.199999999999996</v>
      </c>
      <c r="D1156" s="3">
        <v>0</v>
      </c>
      <c r="E1156" s="3">
        <v>2199.5</v>
      </c>
      <c r="F1156" s="3">
        <v>2260.7000000000003</v>
      </c>
    </row>
    <row r="1157" spans="2:6" x14ac:dyDescent="0.3">
      <c r="B1157" s="3">
        <v>1146</v>
      </c>
      <c r="C1157" s="3">
        <v>62.850000000000016</v>
      </c>
      <c r="D1157" s="3">
        <v>0</v>
      </c>
      <c r="E1157" s="3">
        <v>2199.5</v>
      </c>
      <c r="F1157" s="3">
        <v>2262.3500000000004</v>
      </c>
    </row>
    <row r="1158" spans="2:6" x14ac:dyDescent="0.3">
      <c r="B1158" s="3">
        <v>1147</v>
      </c>
      <c r="C1158" s="3">
        <v>63.45000000000001</v>
      </c>
      <c r="D1158" s="3">
        <v>0</v>
      </c>
      <c r="E1158" s="3">
        <v>2199.5</v>
      </c>
      <c r="F1158" s="3">
        <v>2262.9500000000003</v>
      </c>
    </row>
    <row r="1159" spans="2:6" x14ac:dyDescent="0.3">
      <c r="B1159" s="3">
        <v>1148</v>
      </c>
      <c r="C1159" s="3">
        <v>61.700000000000017</v>
      </c>
      <c r="D1159" s="3">
        <v>0</v>
      </c>
      <c r="E1159" s="3">
        <v>2199.5</v>
      </c>
      <c r="F1159" s="3">
        <v>2261.2000000000003</v>
      </c>
    </row>
    <row r="1160" spans="2:6" x14ac:dyDescent="0.3">
      <c r="B1160" s="3">
        <v>1149</v>
      </c>
      <c r="C1160" s="3">
        <v>62.699999999999996</v>
      </c>
      <c r="D1160" s="3">
        <v>0</v>
      </c>
      <c r="E1160" s="3">
        <v>1099.75</v>
      </c>
      <c r="F1160" s="3">
        <v>1162.4499999999998</v>
      </c>
    </row>
    <row r="1161" spans="2:6" x14ac:dyDescent="0.3">
      <c r="B1161" s="3">
        <v>1150</v>
      </c>
      <c r="C1161" s="3">
        <v>60.70000000000001</v>
      </c>
      <c r="D1161" s="3">
        <v>0</v>
      </c>
      <c r="E1161" s="3">
        <v>2199.5</v>
      </c>
      <c r="F1161" s="3">
        <v>2260.1999999999998</v>
      </c>
    </row>
    <row r="1162" spans="2:6" x14ac:dyDescent="0.3">
      <c r="B1162" s="3">
        <v>1151</v>
      </c>
      <c r="C1162" s="3">
        <v>65.599999999999994</v>
      </c>
      <c r="D1162" s="3">
        <v>0</v>
      </c>
      <c r="E1162" s="3">
        <v>2199.5</v>
      </c>
      <c r="F1162" s="3">
        <v>2265.1</v>
      </c>
    </row>
    <row r="1163" spans="2:6" x14ac:dyDescent="0.3">
      <c r="B1163" s="3">
        <v>1152</v>
      </c>
      <c r="C1163" s="3">
        <v>59.000000000000007</v>
      </c>
      <c r="D1163" s="3">
        <v>0</v>
      </c>
      <c r="E1163" s="3">
        <v>1099.75</v>
      </c>
      <c r="F1163" s="3">
        <v>1158.7500000000005</v>
      </c>
    </row>
    <row r="1164" spans="2:6" x14ac:dyDescent="0.3">
      <c r="B1164" s="3">
        <v>1153</v>
      </c>
      <c r="C1164" s="3">
        <v>64.149999999999991</v>
      </c>
      <c r="D1164" s="3">
        <v>0</v>
      </c>
      <c r="E1164" s="3">
        <v>2199.5</v>
      </c>
      <c r="F1164" s="3">
        <v>2263.6500000000005</v>
      </c>
    </row>
    <row r="1165" spans="2:6" x14ac:dyDescent="0.3">
      <c r="B1165" s="3">
        <v>1154</v>
      </c>
      <c r="C1165" s="3">
        <v>62</v>
      </c>
      <c r="D1165" s="3">
        <v>0</v>
      </c>
      <c r="E1165" s="3">
        <v>2199.5</v>
      </c>
      <c r="F1165" s="3">
        <v>2261.5</v>
      </c>
    </row>
    <row r="1166" spans="2:6" x14ac:dyDescent="0.3">
      <c r="B1166" s="3">
        <v>1155</v>
      </c>
      <c r="C1166" s="3">
        <v>59.600000000000009</v>
      </c>
      <c r="D1166" s="3">
        <v>0</v>
      </c>
      <c r="E1166" s="3">
        <v>2199.5</v>
      </c>
      <c r="F1166" s="3">
        <v>2259.1000000000004</v>
      </c>
    </row>
    <row r="1167" spans="2:6" x14ac:dyDescent="0.3">
      <c r="B1167" s="3">
        <v>1156</v>
      </c>
      <c r="C1167" s="3">
        <v>57.600000000000009</v>
      </c>
      <c r="D1167" s="3">
        <v>0</v>
      </c>
      <c r="E1167" s="3">
        <v>1099.75</v>
      </c>
      <c r="F1167" s="3">
        <v>1157.3500000000004</v>
      </c>
    </row>
    <row r="1168" spans="2:6" x14ac:dyDescent="0.3">
      <c r="B1168" s="3">
        <v>1157</v>
      </c>
      <c r="C1168" s="3">
        <v>59.899999999999991</v>
      </c>
      <c r="D1168" s="3">
        <v>0</v>
      </c>
      <c r="E1168" s="3">
        <v>2199.5</v>
      </c>
      <c r="F1168" s="3">
        <v>2259.4</v>
      </c>
    </row>
    <row r="1169" spans="2:6" x14ac:dyDescent="0.3">
      <c r="B1169" s="3">
        <v>1158</v>
      </c>
      <c r="C1169" s="3">
        <v>65.650000000000006</v>
      </c>
      <c r="D1169" s="3">
        <v>0</v>
      </c>
      <c r="E1169" s="3">
        <v>2199.5</v>
      </c>
      <c r="F1169" s="3">
        <v>2265.15</v>
      </c>
    </row>
    <row r="1170" spans="2:6" x14ac:dyDescent="0.3">
      <c r="B1170" s="3">
        <v>1159</v>
      </c>
      <c r="C1170" s="3">
        <v>57.649999999999984</v>
      </c>
      <c r="D1170" s="3">
        <v>0</v>
      </c>
      <c r="E1170" s="3">
        <v>2199.5</v>
      </c>
      <c r="F1170" s="3">
        <v>2257.1500000000015</v>
      </c>
    </row>
    <row r="1171" spans="2:6" x14ac:dyDescent="0.3">
      <c r="B1171" s="3">
        <v>1160</v>
      </c>
      <c r="C1171" s="3">
        <v>64.650000000000006</v>
      </c>
      <c r="D1171" s="3">
        <v>0</v>
      </c>
      <c r="E1171" s="3">
        <v>2199.5</v>
      </c>
      <c r="F1171" s="3">
        <v>2264.1499999999992</v>
      </c>
    </row>
    <row r="1172" spans="2:6" x14ac:dyDescent="0.3">
      <c r="B1172" s="3">
        <v>1161</v>
      </c>
      <c r="C1172" s="3">
        <v>61.25</v>
      </c>
      <c r="D1172" s="3">
        <v>0</v>
      </c>
      <c r="E1172" s="3">
        <v>2199.5</v>
      </c>
      <c r="F1172" s="3">
        <v>2260.7499999999991</v>
      </c>
    </row>
    <row r="1173" spans="2:6" x14ac:dyDescent="0.3">
      <c r="B1173" s="3">
        <v>1162</v>
      </c>
      <c r="C1173" s="3">
        <v>62.8</v>
      </c>
      <c r="D1173" s="3">
        <v>0</v>
      </c>
      <c r="E1173" s="3">
        <v>2199.5</v>
      </c>
      <c r="F1173" s="3">
        <v>2262.3000000000006</v>
      </c>
    </row>
    <row r="1174" spans="2:6" x14ac:dyDescent="0.3">
      <c r="B1174" s="3">
        <v>1163</v>
      </c>
      <c r="C1174" s="3">
        <v>60.800000000000004</v>
      </c>
      <c r="D1174" s="3">
        <v>0</v>
      </c>
      <c r="E1174" s="3">
        <v>2199.5</v>
      </c>
      <c r="F1174" s="3">
        <v>2260.2999999999993</v>
      </c>
    </row>
    <row r="1175" spans="2:6" x14ac:dyDescent="0.3">
      <c r="B1175" s="3">
        <v>1164</v>
      </c>
      <c r="C1175" s="3">
        <v>67.199999999999989</v>
      </c>
      <c r="D1175" s="3">
        <v>0</v>
      </c>
      <c r="E1175" s="3">
        <v>2199.5</v>
      </c>
      <c r="F1175" s="3">
        <v>2266.7000000000003</v>
      </c>
    </row>
    <row r="1176" spans="2:6" x14ac:dyDescent="0.3">
      <c r="B1176" s="3">
        <v>1165</v>
      </c>
      <c r="C1176" s="3">
        <v>65.05</v>
      </c>
      <c r="D1176" s="3">
        <v>0</v>
      </c>
      <c r="E1176" s="3">
        <v>2199.5</v>
      </c>
      <c r="F1176" s="3">
        <v>2264.5500000000002</v>
      </c>
    </row>
    <row r="1177" spans="2:6" x14ac:dyDescent="0.3">
      <c r="B1177" s="3">
        <v>1166</v>
      </c>
      <c r="C1177" s="3">
        <v>65.699999999999989</v>
      </c>
      <c r="D1177" s="3">
        <v>0</v>
      </c>
      <c r="E1177" s="3">
        <v>2199.5</v>
      </c>
      <c r="F1177" s="3">
        <v>2265.2000000000007</v>
      </c>
    </row>
    <row r="1178" spans="2:6" x14ac:dyDescent="0.3">
      <c r="B1178" s="3">
        <v>1167</v>
      </c>
      <c r="C1178" s="3">
        <v>59.700000000000017</v>
      </c>
      <c r="D1178" s="3">
        <v>0</v>
      </c>
      <c r="E1178" s="3">
        <v>2199.5</v>
      </c>
      <c r="F1178" s="3">
        <v>2259.1999999999994</v>
      </c>
    </row>
    <row r="1179" spans="2:6" x14ac:dyDescent="0.3">
      <c r="B1179" s="3">
        <v>1168</v>
      </c>
      <c r="C1179" s="3">
        <v>59.95</v>
      </c>
      <c r="D1179" s="3">
        <v>0</v>
      </c>
      <c r="E1179" s="3">
        <v>2199.5</v>
      </c>
      <c r="F1179" s="3">
        <v>2259.4500000000007</v>
      </c>
    </row>
    <row r="1180" spans="2:6" x14ac:dyDescent="0.3">
      <c r="B1180" s="3">
        <v>1169</v>
      </c>
      <c r="C1180" s="3">
        <v>61.7</v>
      </c>
      <c r="D1180" s="3">
        <v>0</v>
      </c>
      <c r="E1180" s="3">
        <v>2199.5</v>
      </c>
      <c r="F1180" s="3">
        <v>2261.1999999999994</v>
      </c>
    </row>
    <row r="1181" spans="2:6" x14ac:dyDescent="0.3">
      <c r="B1181" s="3">
        <v>1170</v>
      </c>
      <c r="C1181" s="3">
        <v>64.500000000000014</v>
      </c>
      <c r="D1181" s="3">
        <v>0</v>
      </c>
      <c r="E1181" s="3">
        <v>2199.5</v>
      </c>
      <c r="F1181" s="3">
        <v>2263.9999999999995</v>
      </c>
    </row>
    <row r="1182" spans="2:6" x14ac:dyDescent="0.3">
      <c r="B1182" s="3">
        <v>1171</v>
      </c>
      <c r="C1182" s="3">
        <v>61.95</v>
      </c>
      <c r="D1182" s="3">
        <v>0</v>
      </c>
      <c r="E1182" s="3">
        <v>2199.5</v>
      </c>
      <c r="F1182" s="3">
        <v>2261.4500000000003</v>
      </c>
    </row>
    <row r="1183" spans="2:6" x14ac:dyDescent="0.3">
      <c r="B1183" s="3">
        <v>1172</v>
      </c>
      <c r="C1183" s="3">
        <v>62.899999999999991</v>
      </c>
      <c r="D1183" s="3">
        <v>0</v>
      </c>
      <c r="E1183" s="3">
        <v>2199.5</v>
      </c>
      <c r="F1183" s="3">
        <v>2262.3999999999996</v>
      </c>
    </row>
    <row r="1184" spans="2:6" x14ac:dyDescent="0.3">
      <c r="B1184" s="3">
        <v>1173</v>
      </c>
      <c r="C1184" s="3">
        <v>56.150000000000013</v>
      </c>
      <c r="D1184" s="3">
        <v>0</v>
      </c>
      <c r="E1184" s="3">
        <v>2199.5</v>
      </c>
      <c r="F1184" s="3">
        <v>2255.6499999999996</v>
      </c>
    </row>
    <row r="1185" spans="2:6" x14ac:dyDescent="0.3">
      <c r="B1185" s="3">
        <v>1174</v>
      </c>
      <c r="C1185" s="3">
        <v>67.600000000000023</v>
      </c>
      <c r="D1185" s="3">
        <v>0</v>
      </c>
      <c r="E1185" s="3">
        <v>2199.5</v>
      </c>
      <c r="F1185" s="3">
        <v>2267.1</v>
      </c>
    </row>
    <row r="1186" spans="2:6" x14ac:dyDescent="0.3">
      <c r="B1186" s="3">
        <v>1175</v>
      </c>
      <c r="C1186" s="3">
        <v>65.250000000000014</v>
      </c>
      <c r="D1186" s="3">
        <v>0</v>
      </c>
      <c r="E1186" s="3">
        <v>2199.5</v>
      </c>
      <c r="F1186" s="3">
        <v>2264.75</v>
      </c>
    </row>
    <row r="1187" spans="2:6" x14ac:dyDescent="0.3">
      <c r="B1187" s="3">
        <v>1176</v>
      </c>
      <c r="C1187" s="3">
        <v>57.2</v>
      </c>
      <c r="D1187" s="3">
        <v>0</v>
      </c>
      <c r="E1187" s="3">
        <v>2199.5</v>
      </c>
      <c r="F1187" s="3">
        <v>2256.6999999999998</v>
      </c>
    </row>
    <row r="1188" spans="2:6" x14ac:dyDescent="0.3">
      <c r="B1188" s="3">
        <v>1177</v>
      </c>
      <c r="C1188" s="3">
        <v>63.299999999999983</v>
      </c>
      <c r="D1188" s="3">
        <v>0</v>
      </c>
      <c r="E1188" s="3">
        <v>2199.5</v>
      </c>
      <c r="F1188" s="3">
        <v>2262.8000000000011</v>
      </c>
    </row>
    <row r="1189" spans="2:6" x14ac:dyDescent="0.3">
      <c r="B1189" s="3">
        <v>1178</v>
      </c>
      <c r="C1189" s="3">
        <v>58.349999999999994</v>
      </c>
      <c r="D1189" s="3">
        <v>0</v>
      </c>
      <c r="E1189" s="3">
        <v>1099.75</v>
      </c>
      <c r="F1189" s="3">
        <v>1158.1000000000001</v>
      </c>
    </row>
    <row r="1190" spans="2:6" x14ac:dyDescent="0.3">
      <c r="B1190" s="3">
        <v>1179</v>
      </c>
      <c r="C1190" s="3">
        <v>65.75</v>
      </c>
      <c r="D1190" s="3">
        <v>0</v>
      </c>
      <c r="E1190" s="3">
        <v>2199.5</v>
      </c>
      <c r="F1190" s="3">
        <v>2265.25</v>
      </c>
    </row>
    <row r="1191" spans="2:6" x14ac:dyDescent="0.3">
      <c r="B1191" s="3">
        <v>1180</v>
      </c>
      <c r="C1191" s="3">
        <v>62.000000000000014</v>
      </c>
      <c r="D1191" s="3">
        <v>0</v>
      </c>
      <c r="E1191" s="3">
        <v>1099.75</v>
      </c>
      <c r="F1191" s="3">
        <v>1161.7500000000002</v>
      </c>
    </row>
    <row r="1192" spans="2:6" x14ac:dyDescent="0.3">
      <c r="B1192" s="3">
        <v>1181</v>
      </c>
      <c r="C1192" s="3">
        <v>59.150000000000006</v>
      </c>
      <c r="D1192" s="3">
        <v>0</v>
      </c>
      <c r="E1192" s="3">
        <v>1099.75</v>
      </c>
      <c r="F1192" s="3">
        <v>1158.9000000000001</v>
      </c>
    </row>
    <row r="1193" spans="2:6" x14ac:dyDescent="0.3">
      <c r="B1193" s="3">
        <v>1182</v>
      </c>
      <c r="C1193" s="3">
        <v>62.20000000000001</v>
      </c>
      <c r="D1193" s="3">
        <v>0</v>
      </c>
      <c r="E1193" s="3">
        <v>2199.5</v>
      </c>
      <c r="F1193" s="3">
        <v>2261.6999999999998</v>
      </c>
    </row>
    <row r="1194" spans="2:6" x14ac:dyDescent="0.3">
      <c r="B1194" s="3">
        <v>1183</v>
      </c>
      <c r="C1194" s="3">
        <v>62.800000000000004</v>
      </c>
      <c r="D1194" s="3">
        <v>0</v>
      </c>
      <c r="E1194" s="3">
        <v>2199.5</v>
      </c>
      <c r="F1194" s="3">
        <v>2262.3000000000006</v>
      </c>
    </row>
    <row r="1195" spans="2:6" x14ac:dyDescent="0.3">
      <c r="B1195" s="3">
        <v>1184</v>
      </c>
      <c r="C1195" s="3">
        <v>63.699999999999982</v>
      </c>
      <c r="D1195" s="3">
        <v>0</v>
      </c>
      <c r="E1195" s="3">
        <v>2199.5</v>
      </c>
      <c r="F1195" s="3">
        <v>2263.2000000000007</v>
      </c>
    </row>
    <row r="1196" spans="2:6" x14ac:dyDescent="0.3">
      <c r="B1196" s="3">
        <v>1185</v>
      </c>
      <c r="C1196" s="3">
        <v>60.099999999999987</v>
      </c>
      <c r="D1196" s="3">
        <v>0</v>
      </c>
      <c r="E1196" s="3">
        <v>1099.75</v>
      </c>
      <c r="F1196" s="3">
        <v>1159.8500000000008</v>
      </c>
    </row>
    <row r="1197" spans="2:6" x14ac:dyDescent="0.3">
      <c r="B1197" s="3">
        <v>1186</v>
      </c>
      <c r="C1197" s="3">
        <v>64.799999999999983</v>
      </c>
      <c r="D1197" s="3">
        <v>0</v>
      </c>
      <c r="E1197" s="3">
        <v>2199.5</v>
      </c>
      <c r="F1197" s="3">
        <v>2264.3000000000006</v>
      </c>
    </row>
    <row r="1198" spans="2:6" x14ac:dyDescent="0.3">
      <c r="B1198" s="3">
        <v>1187</v>
      </c>
      <c r="C1198" s="3">
        <v>60.29999999999999</v>
      </c>
      <c r="D1198" s="3">
        <v>0</v>
      </c>
      <c r="E1198" s="3">
        <v>2199.5</v>
      </c>
      <c r="F1198" s="3">
        <v>2259.8000000000006</v>
      </c>
    </row>
    <row r="1199" spans="2:6" x14ac:dyDescent="0.3">
      <c r="B1199" s="3">
        <v>1188</v>
      </c>
      <c r="C1199" s="3">
        <v>58.95</v>
      </c>
      <c r="D1199" s="3">
        <v>0</v>
      </c>
      <c r="E1199" s="3">
        <v>2199.5</v>
      </c>
      <c r="F1199" s="3">
        <v>2258.4499999999998</v>
      </c>
    </row>
    <row r="1200" spans="2:6" x14ac:dyDescent="0.3">
      <c r="B1200" s="3">
        <v>1189</v>
      </c>
      <c r="C1200" s="3">
        <v>59.2</v>
      </c>
      <c r="D1200" s="3">
        <v>0</v>
      </c>
      <c r="E1200" s="3">
        <v>2199.5</v>
      </c>
      <c r="F1200" s="3">
        <v>2258.6999999999998</v>
      </c>
    </row>
    <row r="1201" spans="2:6" x14ac:dyDescent="0.3">
      <c r="B1201" s="3">
        <v>1190</v>
      </c>
      <c r="C1201" s="3">
        <v>59.900000000000013</v>
      </c>
      <c r="D1201" s="3">
        <v>0</v>
      </c>
      <c r="E1201" s="3">
        <v>2199.5</v>
      </c>
      <c r="F1201" s="3">
        <v>2259.4000000000005</v>
      </c>
    </row>
    <row r="1202" spans="2:6" x14ac:dyDescent="0.3">
      <c r="B1202" s="3">
        <v>1191</v>
      </c>
      <c r="C1202" s="3">
        <v>64.25</v>
      </c>
      <c r="D1202" s="3">
        <v>0</v>
      </c>
      <c r="E1202" s="3">
        <v>2199.5</v>
      </c>
      <c r="F1202" s="3">
        <v>2263.7499999999995</v>
      </c>
    </row>
    <row r="1203" spans="2:6" x14ac:dyDescent="0.3">
      <c r="B1203" s="3">
        <v>1192</v>
      </c>
      <c r="C1203" s="3">
        <v>63.449999999999982</v>
      </c>
      <c r="D1203" s="3">
        <v>0</v>
      </c>
      <c r="E1203" s="3">
        <v>2199.5</v>
      </c>
      <c r="F1203" s="3">
        <v>2262.9500000000007</v>
      </c>
    </row>
    <row r="1204" spans="2:6" x14ac:dyDescent="0.3">
      <c r="B1204" s="3">
        <v>1193</v>
      </c>
      <c r="C1204" s="3">
        <v>59.400000000000013</v>
      </c>
      <c r="D1204" s="3">
        <v>0</v>
      </c>
      <c r="E1204" s="3">
        <v>2199.5</v>
      </c>
      <c r="F1204" s="3">
        <v>2258.8999999999992</v>
      </c>
    </row>
    <row r="1205" spans="2:6" x14ac:dyDescent="0.3">
      <c r="B1205" s="3">
        <v>1194</v>
      </c>
      <c r="C1205" s="3">
        <v>59.550000000000011</v>
      </c>
      <c r="D1205" s="3">
        <v>0</v>
      </c>
      <c r="E1205" s="3">
        <v>2199.5</v>
      </c>
      <c r="F1205" s="3">
        <v>2259.0499999999993</v>
      </c>
    </row>
    <row r="1206" spans="2:6" x14ac:dyDescent="0.3">
      <c r="B1206" s="3">
        <v>1195</v>
      </c>
      <c r="C1206" s="3">
        <v>58.29999999999999</v>
      </c>
      <c r="D1206" s="3">
        <v>0</v>
      </c>
      <c r="E1206" s="3">
        <v>2199.5</v>
      </c>
      <c r="F1206" s="3">
        <v>2257.8000000000006</v>
      </c>
    </row>
    <row r="1207" spans="2:6" x14ac:dyDescent="0.3">
      <c r="B1207" s="3">
        <v>1196</v>
      </c>
      <c r="C1207" s="3">
        <v>63.350000000000009</v>
      </c>
      <c r="D1207" s="3">
        <v>0</v>
      </c>
      <c r="E1207" s="3">
        <v>2199.5</v>
      </c>
      <c r="F1207" s="3">
        <v>2262.8499999999995</v>
      </c>
    </row>
    <row r="1208" spans="2:6" x14ac:dyDescent="0.3">
      <c r="B1208" s="3">
        <v>1197</v>
      </c>
      <c r="C1208" s="3">
        <v>64.600000000000009</v>
      </c>
      <c r="D1208" s="3">
        <v>0</v>
      </c>
      <c r="E1208" s="3">
        <v>2199.5</v>
      </c>
      <c r="F1208" s="3">
        <v>2264.1</v>
      </c>
    </row>
    <row r="1209" spans="2:6" x14ac:dyDescent="0.3">
      <c r="B1209" s="3">
        <v>1198</v>
      </c>
      <c r="C1209" s="3">
        <v>61.050000000000004</v>
      </c>
      <c r="D1209" s="3">
        <v>0</v>
      </c>
      <c r="E1209" s="3">
        <v>1099.75</v>
      </c>
      <c r="F1209" s="3">
        <v>1160.8000000000002</v>
      </c>
    </row>
    <row r="1210" spans="2:6" x14ac:dyDescent="0.3">
      <c r="B1210" s="3">
        <v>1199</v>
      </c>
      <c r="C1210" s="3">
        <v>59.500000000000007</v>
      </c>
      <c r="D1210" s="3">
        <v>0</v>
      </c>
      <c r="E1210" s="3">
        <v>2199.5</v>
      </c>
      <c r="F1210" s="3">
        <v>2258.9999999999995</v>
      </c>
    </row>
    <row r="1211" spans="2:6" x14ac:dyDescent="0.3">
      <c r="B1211" s="3">
        <v>1200</v>
      </c>
      <c r="C1211" s="3">
        <v>61.899999999999991</v>
      </c>
      <c r="D1211" s="3">
        <v>0</v>
      </c>
      <c r="E1211" s="3">
        <v>2199.5</v>
      </c>
      <c r="F1211" s="3">
        <v>2261.3999999999996</v>
      </c>
    </row>
    <row r="1212" spans="2:6" x14ac:dyDescent="0.3">
      <c r="B1212" s="3">
        <v>1201</v>
      </c>
      <c r="C1212" s="3">
        <v>61.150000000000013</v>
      </c>
      <c r="D1212" s="3">
        <v>0</v>
      </c>
      <c r="E1212" s="3">
        <v>2199.5</v>
      </c>
      <c r="F1212" s="3">
        <v>2260.6499999999992</v>
      </c>
    </row>
    <row r="1213" spans="2:6" x14ac:dyDescent="0.3">
      <c r="B1213" s="3">
        <v>1202</v>
      </c>
      <c r="C1213" s="3">
        <v>59.649999999999991</v>
      </c>
      <c r="D1213" s="3">
        <v>0</v>
      </c>
      <c r="E1213" s="3">
        <v>2199.5</v>
      </c>
      <c r="F1213" s="3">
        <v>2259.15</v>
      </c>
    </row>
    <row r="1214" spans="2:6" x14ac:dyDescent="0.3">
      <c r="B1214" s="3">
        <v>1203</v>
      </c>
      <c r="C1214" s="3">
        <v>61.149999999999984</v>
      </c>
      <c r="D1214" s="3">
        <v>0</v>
      </c>
      <c r="E1214" s="3">
        <v>2199.5</v>
      </c>
      <c r="F1214" s="3">
        <v>2260.6500000000005</v>
      </c>
    </row>
    <row r="1215" spans="2:6" x14ac:dyDescent="0.3">
      <c r="B1215" s="3">
        <v>1204</v>
      </c>
      <c r="C1215" s="3">
        <v>63.20000000000001</v>
      </c>
      <c r="D1215" s="3">
        <v>0</v>
      </c>
      <c r="E1215" s="3">
        <v>2199.5</v>
      </c>
      <c r="F1215" s="3">
        <v>2262.6999999999998</v>
      </c>
    </row>
    <row r="1216" spans="2:6" x14ac:dyDescent="0.3">
      <c r="B1216" s="3">
        <v>1205</v>
      </c>
      <c r="C1216" s="3">
        <v>63.25</v>
      </c>
      <c r="D1216" s="3">
        <v>0</v>
      </c>
      <c r="E1216" s="3">
        <v>2199.5</v>
      </c>
      <c r="F1216" s="3">
        <v>2262.7499999999995</v>
      </c>
    </row>
    <row r="1217" spans="2:6" x14ac:dyDescent="0.3">
      <c r="B1217" s="3">
        <v>1206</v>
      </c>
      <c r="C1217" s="3">
        <v>65.25</v>
      </c>
      <c r="D1217" s="3">
        <v>0</v>
      </c>
      <c r="E1217" s="3">
        <v>2199.5</v>
      </c>
      <c r="F1217" s="3">
        <v>2264.7499999999991</v>
      </c>
    </row>
    <row r="1218" spans="2:6" x14ac:dyDescent="0.3">
      <c r="B1218" s="3">
        <v>1207</v>
      </c>
      <c r="C1218" s="3">
        <v>67.050000000000011</v>
      </c>
      <c r="D1218" s="3">
        <v>0</v>
      </c>
      <c r="E1218" s="3">
        <v>2199.5</v>
      </c>
      <c r="F1218" s="3">
        <v>2266.5500000000006</v>
      </c>
    </row>
    <row r="1219" spans="2:6" x14ac:dyDescent="0.3">
      <c r="B1219" s="3">
        <v>1208</v>
      </c>
      <c r="C1219" s="3">
        <v>60.249999999999993</v>
      </c>
      <c r="D1219" s="3">
        <v>0</v>
      </c>
      <c r="E1219" s="3">
        <v>2199.5</v>
      </c>
      <c r="F1219" s="3">
        <v>2259.75</v>
      </c>
    </row>
    <row r="1220" spans="2:6" x14ac:dyDescent="0.3">
      <c r="B1220" s="3">
        <v>1209</v>
      </c>
      <c r="C1220" s="3">
        <v>62.900000000000006</v>
      </c>
      <c r="D1220" s="3">
        <v>0</v>
      </c>
      <c r="E1220" s="3">
        <v>2199.5</v>
      </c>
      <c r="F1220" s="3">
        <v>2262.3999999999996</v>
      </c>
    </row>
    <row r="1221" spans="2:6" x14ac:dyDescent="0.3">
      <c r="B1221" s="3">
        <v>1210</v>
      </c>
      <c r="C1221" s="3">
        <v>62.95000000000001</v>
      </c>
      <c r="D1221" s="3">
        <v>0</v>
      </c>
      <c r="E1221" s="3">
        <v>2199.5</v>
      </c>
      <c r="F1221" s="3">
        <v>2262.4499999999998</v>
      </c>
    </row>
    <row r="1222" spans="2:6" x14ac:dyDescent="0.3">
      <c r="B1222" s="3">
        <v>1211</v>
      </c>
      <c r="C1222" s="3">
        <v>64.200000000000017</v>
      </c>
      <c r="D1222" s="3">
        <v>0</v>
      </c>
      <c r="E1222" s="3">
        <v>2199.5</v>
      </c>
      <c r="F1222" s="3">
        <v>2263.6999999999998</v>
      </c>
    </row>
    <row r="1223" spans="2:6" x14ac:dyDescent="0.3">
      <c r="B1223" s="3">
        <v>1212</v>
      </c>
      <c r="C1223" s="3">
        <v>66.050000000000011</v>
      </c>
      <c r="D1223" s="3">
        <v>0</v>
      </c>
      <c r="E1223" s="3">
        <v>1099.75</v>
      </c>
      <c r="F1223" s="3">
        <v>1165.8</v>
      </c>
    </row>
    <row r="1224" spans="2:6" x14ac:dyDescent="0.3">
      <c r="B1224" s="3">
        <v>1213</v>
      </c>
      <c r="C1224" s="3">
        <v>60.749999999999986</v>
      </c>
      <c r="D1224" s="3">
        <v>0</v>
      </c>
      <c r="E1224" s="3">
        <v>2199.5</v>
      </c>
      <c r="F1224" s="3">
        <v>2260.2499999999995</v>
      </c>
    </row>
    <row r="1225" spans="2:6" x14ac:dyDescent="0.3">
      <c r="B1225" s="3">
        <v>1214</v>
      </c>
      <c r="C1225" s="3">
        <v>66</v>
      </c>
      <c r="D1225" s="3">
        <v>0</v>
      </c>
      <c r="E1225" s="3">
        <v>2199.5</v>
      </c>
      <c r="F1225" s="3">
        <v>2265.5000000000005</v>
      </c>
    </row>
    <row r="1226" spans="2:6" x14ac:dyDescent="0.3">
      <c r="B1226" s="3">
        <v>1215</v>
      </c>
      <c r="C1226" s="3">
        <v>63.150000000000013</v>
      </c>
      <c r="D1226" s="3">
        <v>0</v>
      </c>
      <c r="E1226" s="3">
        <v>2199.5</v>
      </c>
      <c r="F1226" s="3">
        <v>2262.6499999999992</v>
      </c>
    </row>
    <row r="1227" spans="2:6" x14ac:dyDescent="0.3">
      <c r="B1227" s="3">
        <v>1216</v>
      </c>
      <c r="C1227" s="3">
        <v>65.399999999999991</v>
      </c>
      <c r="D1227" s="3">
        <v>0</v>
      </c>
      <c r="E1227" s="3">
        <v>1099.75</v>
      </c>
      <c r="F1227" s="3">
        <v>1165.1499999999996</v>
      </c>
    </row>
    <row r="1228" spans="2:6" x14ac:dyDescent="0.3">
      <c r="B1228" s="3">
        <v>1217</v>
      </c>
      <c r="C1228" s="3">
        <v>60.9</v>
      </c>
      <c r="D1228" s="3">
        <v>0</v>
      </c>
      <c r="E1228" s="3">
        <v>2199.5</v>
      </c>
      <c r="F1228" s="3">
        <v>2260.4</v>
      </c>
    </row>
    <row r="1229" spans="2:6" x14ac:dyDescent="0.3">
      <c r="B1229" s="3">
        <v>1218</v>
      </c>
      <c r="C1229" s="3">
        <v>64.250000000000014</v>
      </c>
      <c r="D1229" s="3">
        <v>0</v>
      </c>
      <c r="E1229" s="3">
        <v>2199.5</v>
      </c>
      <c r="F1229" s="3">
        <v>2263.7500000000005</v>
      </c>
    </row>
    <row r="1230" spans="2:6" x14ac:dyDescent="0.3">
      <c r="B1230" s="3">
        <v>1219</v>
      </c>
      <c r="C1230" s="3">
        <v>59.1</v>
      </c>
      <c r="D1230" s="3">
        <v>0</v>
      </c>
      <c r="E1230" s="3">
        <v>2199.5</v>
      </c>
      <c r="F1230" s="3">
        <v>2258.6</v>
      </c>
    </row>
    <row r="1231" spans="2:6" x14ac:dyDescent="0.3">
      <c r="B1231" s="3">
        <v>1220</v>
      </c>
      <c r="C1231" s="3">
        <v>56.949999999999989</v>
      </c>
      <c r="D1231" s="3">
        <v>0</v>
      </c>
      <c r="E1231" s="3">
        <v>2199.5</v>
      </c>
      <c r="F1231" s="3">
        <v>2256.4500000000003</v>
      </c>
    </row>
    <row r="1232" spans="2:6" x14ac:dyDescent="0.3">
      <c r="B1232" s="3">
        <v>1221</v>
      </c>
      <c r="C1232" s="3">
        <v>56.350000000000009</v>
      </c>
      <c r="D1232" s="3">
        <v>0</v>
      </c>
      <c r="E1232" s="3">
        <v>2199.5</v>
      </c>
      <c r="F1232" s="3">
        <v>2255.85</v>
      </c>
    </row>
    <row r="1233" spans="2:6" x14ac:dyDescent="0.3">
      <c r="B1233" s="3">
        <v>1222</v>
      </c>
      <c r="C1233" s="3">
        <v>63.800000000000011</v>
      </c>
      <c r="D1233" s="3">
        <v>0</v>
      </c>
      <c r="E1233" s="3">
        <v>2199.5</v>
      </c>
      <c r="F1233" s="3">
        <v>2263.2999999999988</v>
      </c>
    </row>
    <row r="1234" spans="2:6" x14ac:dyDescent="0.3">
      <c r="B1234" s="3">
        <v>1223</v>
      </c>
      <c r="C1234" s="3">
        <v>63.300000000000011</v>
      </c>
      <c r="D1234" s="3">
        <v>0</v>
      </c>
      <c r="E1234" s="3">
        <v>2199.5</v>
      </c>
      <c r="F1234" s="3">
        <v>2262.8000000000002</v>
      </c>
    </row>
    <row r="1235" spans="2:6" x14ac:dyDescent="0.3">
      <c r="B1235" s="3">
        <v>1224</v>
      </c>
      <c r="C1235" s="3">
        <v>59.2</v>
      </c>
      <c r="D1235" s="3">
        <v>0</v>
      </c>
      <c r="E1235" s="3">
        <v>2199.5</v>
      </c>
      <c r="F1235" s="3">
        <v>2258.6999999999994</v>
      </c>
    </row>
    <row r="1236" spans="2:6" x14ac:dyDescent="0.3">
      <c r="B1236" s="3">
        <v>1225</v>
      </c>
      <c r="C1236" s="3">
        <v>60.650000000000006</v>
      </c>
      <c r="D1236" s="3">
        <v>0</v>
      </c>
      <c r="E1236" s="3">
        <v>1099.75</v>
      </c>
      <c r="F1236" s="3">
        <v>1160.3999999999996</v>
      </c>
    </row>
    <row r="1237" spans="2:6" x14ac:dyDescent="0.3">
      <c r="B1237" s="3">
        <v>1226</v>
      </c>
      <c r="C1237" s="3">
        <v>59.349999999999987</v>
      </c>
      <c r="D1237" s="3">
        <v>0</v>
      </c>
      <c r="E1237" s="3">
        <v>2199.5</v>
      </c>
      <c r="F1237" s="3">
        <v>2258.8500000000004</v>
      </c>
    </row>
    <row r="1238" spans="2:6" x14ac:dyDescent="0.3">
      <c r="B1238" s="3">
        <v>1227</v>
      </c>
      <c r="C1238" s="3">
        <v>58.350000000000009</v>
      </c>
      <c r="D1238" s="3">
        <v>0</v>
      </c>
      <c r="E1238" s="3">
        <v>1099.75</v>
      </c>
      <c r="F1238" s="3">
        <v>1158.0999999999999</v>
      </c>
    </row>
    <row r="1239" spans="2:6" x14ac:dyDescent="0.3">
      <c r="B1239" s="3">
        <v>1228</v>
      </c>
      <c r="C1239" s="3">
        <v>57.5</v>
      </c>
      <c r="D1239" s="3">
        <v>0</v>
      </c>
      <c r="E1239" s="3">
        <v>2199.5</v>
      </c>
      <c r="F1239" s="3">
        <v>2257.0000000000009</v>
      </c>
    </row>
    <row r="1240" spans="2:6" x14ac:dyDescent="0.3">
      <c r="B1240" s="3">
        <v>1229</v>
      </c>
      <c r="C1240" s="3">
        <v>63.70000000000001</v>
      </c>
      <c r="D1240" s="3">
        <v>0</v>
      </c>
      <c r="E1240" s="3">
        <v>2199.5</v>
      </c>
      <c r="F1240" s="3">
        <v>2263.1999999999994</v>
      </c>
    </row>
    <row r="1241" spans="2:6" x14ac:dyDescent="0.3">
      <c r="B1241" s="3">
        <v>1230</v>
      </c>
      <c r="C1241" s="3">
        <v>65.150000000000006</v>
      </c>
      <c r="D1241" s="3">
        <v>0</v>
      </c>
      <c r="E1241" s="3">
        <v>2199.5</v>
      </c>
      <c r="F1241" s="3">
        <v>2264.6499999999996</v>
      </c>
    </row>
    <row r="1242" spans="2:6" x14ac:dyDescent="0.3">
      <c r="B1242" s="3">
        <v>1231</v>
      </c>
      <c r="C1242" s="3">
        <v>63.649999999999984</v>
      </c>
      <c r="D1242" s="3">
        <v>0</v>
      </c>
      <c r="E1242" s="3">
        <v>2199.5</v>
      </c>
      <c r="F1242" s="3">
        <v>2263.1499999999996</v>
      </c>
    </row>
    <row r="1243" spans="2:6" x14ac:dyDescent="0.3">
      <c r="B1243" s="3">
        <v>1232</v>
      </c>
      <c r="C1243" s="3">
        <v>60.799999999999983</v>
      </c>
      <c r="D1243" s="3">
        <v>0</v>
      </c>
      <c r="E1243" s="3">
        <v>2199.5</v>
      </c>
      <c r="F1243" s="3">
        <v>2260.3000000000002</v>
      </c>
    </row>
    <row r="1244" spans="2:6" x14ac:dyDescent="0.3">
      <c r="B1244" s="3">
        <v>1233</v>
      </c>
      <c r="C1244" s="3">
        <v>65.750000000000028</v>
      </c>
      <c r="D1244" s="3">
        <v>0</v>
      </c>
      <c r="E1244" s="3">
        <v>2199.5</v>
      </c>
      <c r="F1244" s="3">
        <v>2265.2499999999991</v>
      </c>
    </row>
    <row r="1245" spans="2:6" x14ac:dyDescent="0.3">
      <c r="B1245" s="3">
        <v>1234</v>
      </c>
      <c r="C1245" s="3">
        <v>60.050000000000011</v>
      </c>
      <c r="D1245" s="3">
        <v>0</v>
      </c>
      <c r="E1245" s="3">
        <v>1099.75</v>
      </c>
      <c r="F1245" s="3">
        <v>1159.8000000000002</v>
      </c>
    </row>
    <row r="1246" spans="2:6" x14ac:dyDescent="0.3">
      <c r="B1246" s="3">
        <v>1235</v>
      </c>
      <c r="C1246" s="3">
        <v>64.3</v>
      </c>
      <c r="D1246" s="3">
        <v>0</v>
      </c>
      <c r="E1246" s="3">
        <v>2199.5</v>
      </c>
      <c r="F1246" s="3">
        <v>2263.7999999999997</v>
      </c>
    </row>
    <row r="1247" spans="2:6" x14ac:dyDescent="0.3">
      <c r="B1247" s="3">
        <v>1236</v>
      </c>
      <c r="C1247" s="3">
        <v>64.5</v>
      </c>
      <c r="D1247" s="3">
        <v>0</v>
      </c>
      <c r="E1247" s="3">
        <v>2199.5</v>
      </c>
      <c r="F1247" s="3">
        <v>2264.0000000000005</v>
      </c>
    </row>
    <row r="1248" spans="2:6" x14ac:dyDescent="0.3">
      <c r="B1248" s="3">
        <v>1237</v>
      </c>
      <c r="C1248" s="3">
        <v>60.95</v>
      </c>
      <c r="D1248" s="3">
        <v>0</v>
      </c>
      <c r="E1248" s="3">
        <v>2199.5</v>
      </c>
      <c r="F1248" s="3">
        <v>2260.4500000000003</v>
      </c>
    </row>
    <row r="1249" spans="2:6" x14ac:dyDescent="0.3">
      <c r="B1249" s="3">
        <v>1238</v>
      </c>
      <c r="C1249" s="3">
        <v>63.15</v>
      </c>
      <c r="D1249" s="3">
        <v>0</v>
      </c>
      <c r="E1249" s="3">
        <v>2199.5</v>
      </c>
      <c r="F1249" s="3">
        <v>2262.6499999999996</v>
      </c>
    </row>
    <row r="1250" spans="2:6" x14ac:dyDescent="0.3">
      <c r="B1250" s="3">
        <v>1239</v>
      </c>
      <c r="C1250" s="3">
        <v>55.85</v>
      </c>
      <c r="D1250" s="3">
        <v>0</v>
      </c>
      <c r="E1250" s="3">
        <v>2199.5</v>
      </c>
      <c r="F1250" s="3">
        <v>2255.3500000000004</v>
      </c>
    </row>
    <row r="1251" spans="2:6" x14ac:dyDescent="0.3">
      <c r="B1251" s="3">
        <v>1240</v>
      </c>
      <c r="C1251" s="3">
        <v>58.950000000000017</v>
      </c>
      <c r="D1251" s="3">
        <v>0</v>
      </c>
      <c r="E1251" s="3">
        <v>2199.5</v>
      </c>
      <c r="F1251" s="3">
        <v>2258.4499999999998</v>
      </c>
    </row>
    <row r="1252" spans="2:6" x14ac:dyDescent="0.3">
      <c r="B1252" s="3">
        <v>1241</v>
      </c>
      <c r="C1252" s="3">
        <v>65.200000000000017</v>
      </c>
      <c r="D1252" s="3">
        <v>0</v>
      </c>
      <c r="E1252" s="3">
        <v>2199.5</v>
      </c>
      <c r="F1252" s="3">
        <v>2264.7000000000007</v>
      </c>
    </row>
    <row r="1253" spans="2:6" x14ac:dyDescent="0.3">
      <c r="B1253" s="3">
        <v>1242</v>
      </c>
      <c r="C1253" s="3">
        <v>60.949999999999996</v>
      </c>
      <c r="D1253" s="3">
        <v>0</v>
      </c>
      <c r="E1253" s="3">
        <v>2199.5</v>
      </c>
      <c r="F1253" s="3">
        <v>2260.4500000000016</v>
      </c>
    </row>
    <row r="1254" spans="2:6" x14ac:dyDescent="0.3">
      <c r="B1254" s="3">
        <v>1243</v>
      </c>
      <c r="C1254" s="3">
        <v>62.65</v>
      </c>
      <c r="D1254" s="3">
        <v>0</v>
      </c>
      <c r="E1254" s="3">
        <v>2199.5</v>
      </c>
      <c r="F1254" s="3">
        <v>2262.15</v>
      </c>
    </row>
    <row r="1255" spans="2:6" x14ac:dyDescent="0.3">
      <c r="B1255" s="3">
        <v>1244</v>
      </c>
      <c r="C1255" s="3">
        <v>64.3</v>
      </c>
      <c r="D1255" s="3">
        <v>0</v>
      </c>
      <c r="E1255" s="3">
        <v>2199.5</v>
      </c>
      <c r="F1255" s="3">
        <v>2263.8000000000006</v>
      </c>
    </row>
    <row r="1256" spans="2:6" x14ac:dyDescent="0.3">
      <c r="B1256" s="3">
        <v>1245</v>
      </c>
      <c r="C1256" s="3">
        <v>65.75</v>
      </c>
      <c r="D1256" s="3">
        <v>0</v>
      </c>
      <c r="E1256" s="3">
        <v>2199.5</v>
      </c>
      <c r="F1256" s="3">
        <v>2265.2499999999995</v>
      </c>
    </row>
    <row r="1257" spans="2:6" x14ac:dyDescent="0.3">
      <c r="B1257" s="3">
        <v>1246</v>
      </c>
      <c r="C1257" s="3">
        <v>60.449999999999996</v>
      </c>
      <c r="D1257" s="3">
        <v>0</v>
      </c>
      <c r="E1257" s="3">
        <v>2199.5</v>
      </c>
      <c r="F1257" s="3">
        <v>2259.9500000000003</v>
      </c>
    </row>
    <row r="1258" spans="2:6" x14ac:dyDescent="0.3">
      <c r="B1258" s="3">
        <v>1247</v>
      </c>
      <c r="C1258" s="3">
        <v>63.05</v>
      </c>
      <c r="D1258" s="3">
        <v>0</v>
      </c>
      <c r="E1258" s="3">
        <v>1099.75</v>
      </c>
      <c r="F1258" s="3">
        <v>1162.8000000000002</v>
      </c>
    </row>
    <row r="1259" spans="2:6" x14ac:dyDescent="0.3">
      <c r="B1259" s="3">
        <v>1248</v>
      </c>
      <c r="C1259" s="3">
        <v>64.600000000000009</v>
      </c>
      <c r="D1259" s="3">
        <v>0</v>
      </c>
      <c r="E1259" s="3">
        <v>2199.5</v>
      </c>
      <c r="F1259" s="3">
        <v>2264.1000000000004</v>
      </c>
    </row>
    <row r="1260" spans="2:6" x14ac:dyDescent="0.3">
      <c r="B1260" s="3">
        <v>1249</v>
      </c>
      <c r="C1260" s="3">
        <v>60.050000000000011</v>
      </c>
      <c r="D1260" s="3">
        <v>0</v>
      </c>
      <c r="E1260" s="3">
        <v>2199.5</v>
      </c>
      <c r="F1260" s="3">
        <v>2259.5499999999997</v>
      </c>
    </row>
    <row r="1261" spans="2:6" x14ac:dyDescent="0.3">
      <c r="B1261" s="3">
        <v>1250</v>
      </c>
      <c r="C1261" s="3">
        <v>64.700000000000017</v>
      </c>
      <c r="D1261" s="3">
        <v>0</v>
      </c>
      <c r="E1261" s="3">
        <v>2199.5</v>
      </c>
      <c r="F1261" s="3">
        <v>2264.2000000000007</v>
      </c>
    </row>
    <row r="1262" spans="2:6" x14ac:dyDescent="0.3">
      <c r="B1262" s="3">
        <v>1251</v>
      </c>
      <c r="C1262" s="3">
        <v>64.550000000000011</v>
      </c>
      <c r="D1262" s="3">
        <v>0</v>
      </c>
      <c r="E1262" s="3">
        <v>2199.5</v>
      </c>
      <c r="F1262" s="3">
        <v>2264.0499999999997</v>
      </c>
    </row>
    <row r="1263" spans="2:6" x14ac:dyDescent="0.3">
      <c r="B1263" s="3">
        <v>1252</v>
      </c>
      <c r="C1263" s="3">
        <v>60.349999999999987</v>
      </c>
      <c r="D1263" s="3">
        <v>0</v>
      </c>
      <c r="E1263" s="3">
        <v>2199.5</v>
      </c>
      <c r="F1263" s="3">
        <v>2259.85</v>
      </c>
    </row>
    <row r="1264" spans="2:6" x14ac:dyDescent="0.3">
      <c r="B1264" s="3">
        <v>1253</v>
      </c>
      <c r="C1264" s="3">
        <v>58.999999999999993</v>
      </c>
      <c r="D1264" s="3">
        <v>0</v>
      </c>
      <c r="E1264" s="3">
        <v>2199.5</v>
      </c>
      <c r="F1264" s="3">
        <v>2258.4999999999995</v>
      </c>
    </row>
    <row r="1265" spans="2:6" x14ac:dyDescent="0.3">
      <c r="B1265" s="3">
        <v>1254</v>
      </c>
      <c r="C1265" s="3">
        <v>59</v>
      </c>
      <c r="D1265" s="3">
        <v>0</v>
      </c>
      <c r="E1265" s="3">
        <v>2199.5</v>
      </c>
      <c r="F1265" s="3">
        <v>2258.5</v>
      </c>
    </row>
    <row r="1266" spans="2:6" x14ac:dyDescent="0.3">
      <c r="B1266" s="3">
        <v>1255</v>
      </c>
      <c r="C1266" s="3">
        <v>60.800000000000004</v>
      </c>
      <c r="D1266" s="3">
        <v>0</v>
      </c>
      <c r="E1266" s="3">
        <v>2199.5</v>
      </c>
      <c r="F1266" s="3">
        <v>2260.2999999999993</v>
      </c>
    </row>
    <row r="1267" spans="2:6" x14ac:dyDescent="0.3">
      <c r="B1267" s="3">
        <v>1256</v>
      </c>
      <c r="C1267" s="3">
        <v>59.199999999999996</v>
      </c>
      <c r="D1267" s="3">
        <v>0</v>
      </c>
      <c r="E1267" s="3">
        <v>2199.5</v>
      </c>
      <c r="F1267" s="3">
        <v>2258.7000000000007</v>
      </c>
    </row>
    <row r="1268" spans="2:6" x14ac:dyDescent="0.3">
      <c r="B1268" s="3">
        <v>1257</v>
      </c>
      <c r="C1268" s="3">
        <v>63.250000000000007</v>
      </c>
      <c r="D1268" s="3">
        <v>0</v>
      </c>
      <c r="E1268" s="3">
        <v>2199.5</v>
      </c>
      <c r="F1268" s="3">
        <v>2262.7499999999991</v>
      </c>
    </row>
    <row r="1269" spans="2:6" x14ac:dyDescent="0.3">
      <c r="B1269" s="3">
        <v>1258</v>
      </c>
      <c r="C1269" s="3">
        <v>63.8</v>
      </c>
      <c r="D1269" s="3">
        <v>0</v>
      </c>
      <c r="E1269" s="3">
        <v>2199.5</v>
      </c>
      <c r="F1269" s="3">
        <v>2263.3000000000002</v>
      </c>
    </row>
    <row r="1270" spans="2:6" x14ac:dyDescent="0.3">
      <c r="B1270" s="3">
        <v>1259</v>
      </c>
      <c r="C1270" s="3">
        <v>59.050000000000011</v>
      </c>
      <c r="D1270" s="3">
        <v>0</v>
      </c>
      <c r="E1270" s="3">
        <v>1099.75</v>
      </c>
      <c r="F1270" s="3">
        <v>1158.8000000000002</v>
      </c>
    </row>
    <row r="1271" spans="2:6" x14ac:dyDescent="0.3">
      <c r="B1271" s="3">
        <v>1260</v>
      </c>
      <c r="C1271" s="3">
        <v>63.4</v>
      </c>
      <c r="D1271" s="3">
        <v>0</v>
      </c>
      <c r="E1271" s="3">
        <v>2199.5</v>
      </c>
      <c r="F1271" s="3">
        <v>2262.9000000000005</v>
      </c>
    </row>
    <row r="1272" spans="2:6" x14ac:dyDescent="0.3">
      <c r="B1272" s="3">
        <v>1261</v>
      </c>
      <c r="C1272" s="3">
        <v>56.649999999999991</v>
      </c>
      <c r="D1272" s="3">
        <v>0</v>
      </c>
      <c r="E1272" s="3">
        <v>2199.5</v>
      </c>
      <c r="F1272" s="3">
        <v>2256.1500000000005</v>
      </c>
    </row>
    <row r="1273" spans="2:6" x14ac:dyDescent="0.3">
      <c r="B1273" s="3">
        <v>1262</v>
      </c>
      <c r="C1273" s="3">
        <v>58.100000000000016</v>
      </c>
      <c r="D1273" s="3">
        <v>0</v>
      </c>
      <c r="E1273" s="3">
        <v>2199.5</v>
      </c>
      <c r="F1273" s="3">
        <v>2257.6</v>
      </c>
    </row>
    <row r="1274" spans="2:6" x14ac:dyDescent="0.3">
      <c r="B1274" s="3">
        <v>1263</v>
      </c>
      <c r="C1274" s="3">
        <v>65.650000000000006</v>
      </c>
      <c r="D1274" s="3">
        <v>0</v>
      </c>
      <c r="E1274" s="3">
        <v>2199.5</v>
      </c>
      <c r="F1274" s="3">
        <v>2265.1500000000005</v>
      </c>
    </row>
    <row r="1275" spans="2:6" x14ac:dyDescent="0.3">
      <c r="B1275" s="3">
        <v>1264</v>
      </c>
      <c r="C1275" s="3">
        <v>61.400000000000013</v>
      </c>
      <c r="D1275" s="3">
        <v>0</v>
      </c>
      <c r="E1275" s="3">
        <v>1099.75</v>
      </c>
      <c r="F1275" s="3">
        <v>1161.1500000000005</v>
      </c>
    </row>
    <row r="1276" spans="2:6" x14ac:dyDescent="0.3">
      <c r="B1276" s="3">
        <v>1265</v>
      </c>
      <c r="C1276" s="3">
        <v>67.45</v>
      </c>
      <c r="D1276" s="3">
        <v>0</v>
      </c>
      <c r="E1276" s="3">
        <v>2199.5</v>
      </c>
      <c r="F1276" s="3">
        <v>2266.9499999999994</v>
      </c>
    </row>
    <row r="1277" spans="2:6" x14ac:dyDescent="0.3">
      <c r="B1277" s="3">
        <v>1266</v>
      </c>
      <c r="C1277" s="3">
        <v>61.249999999999979</v>
      </c>
      <c r="D1277" s="3">
        <v>0</v>
      </c>
      <c r="E1277" s="3">
        <v>2199.5</v>
      </c>
      <c r="F1277" s="3">
        <v>2260.7500000000009</v>
      </c>
    </row>
    <row r="1278" spans="2:6" x14ac:dyDescent="0.3">
      <c r="B1278" s="3">
        <v>1267</v>
      </c>
      <c r="C1278" s="3">
        <v>59.3</v>
      </c>
      <c r="D1278" s="3">
        <v>0</v>
      </c>
      <c r="E1278" s="3">
        <v>2199.5</v>
      </c>
      <c r="F1278" s="3">
        <v>2258.8000000000002</v>
      </c>
    </row>
    <row r="1279" spans="2:6" x14ac:dyDescent="0.3">
      <c r="B1279" s="3">
        <v>1268</v>
      </c>
      <c r="C1279" s="3">
        <v>63.600000000000016</v>
      </c>
      <c r="D1279" s="3">
        <v>0</v>
      </c>
      <c r="E1279" s="3">
        <v>2199.5</v>
      </c>
      <c r="F1279" s="3">
        <v>2263.0999999999995</v>
      </c>
    </row>
    <row r="1280" spans="2:6" x14ac:dyDescent="0.3">
      <c r="B1280" s="3">
        <v>1269</v>
      </c>
      <c r="C1280" s="3">
        <v>66.25</v>
      </c>
      <c r="D1280" s="3">
        <v>0</v>
      </c>
      <c r="E1280" s="3">
        <v>2199.5</v>
      </c>
      <c r="F1280" s="3">
        <v>2265.75</v>
      </c>
    </row>
    <row r="1281" spans="2:6" x14ac:dyDescent="0.3">
      <c r="B1281" s="3">
        <v>1270</v>
      </c>
      <c r="C1281" s="3">
        <v>64.3</v>
      </c>
      <c r="D1281" s="3">
        <v>0</v>
      </c>
      <c r="E1281" s="3">
        <v>2199.5</v>
      </c>
      <c r="F1281" s="3">
        <v>2263.8000000000002</v>
      </c>
    </row>
    <row r="1282" spans="2:6" x14ac:dyDescent="0.3">
      <c r="B1282" s="3">
        <v>1271</v>
      </c>
      <c r="C1282" s="3">
        <v>57.35</v>
      </c>
      <c r="D1282" s="3">
        <v>0</v>
      </c>
      <c r="E1282" s="3">
        <v>2199.5</v>
      </c>
      <c r="F1282" s="3">
        <v>2256.8500000000004</v>
      </c>
    </row>
    <row r="1283" spans="2:6" x14ac:dyDescent="0.3">
      <c r="B1283" s="3">
        <v>1272</v>
      </c>
      <c r="C1283" s="3">
        <v>62.800000000000004</v>
      </c>
      <c r="D1283" s="3">
        <v>0</v>
      </c>
      <c r="E1283" s="3">
        <v>2199.5</v>
      </c>
      <c r="F1283" s="3">
        <v>2262.2999999999997</v>
      </c>
    </row>
    <row r="1284" spans="2:6" x14ac:dyDescent="0.3">
      <c r="B1284" s="3">
        <v>1273</v>
      </c>
      <c r="C1284" s="3">
        <v>56.3</v>
      </c>
      <c r="D1284" s="3">
        <v>0</v>
      </c>
      <c r="E1284" s="3">
        <v>1099.75</v>
      </c>
      <c r="F1284" s="3">
        <v>1156.0499999999997</v>
      </c>
    </row>
    <row r="1285" spans="2:6" x14ac:dyDescent="0.3">
      <c r="B1285" s="3">
        <v>1274</v>
      </c>
      <c r="C1285" s="3">
        <v>61.300000000000004</v>
      </c>
      <c r="D1285" s="3">
        <v>0</v>
      </c>
      <c r="E1285" s="3">
        <v>2199.5</v>
      </c>
      <c r="F1285" s="3">
        <v>2260.7999999999997</v>
      </c>
    </row>
    <row r="1286" spans="2:6" x14ac:dyDescent="0.3">
      <c r="B1286" s="3">
        <v>1275</v>
      </c>
      <c r="C1286" s="3">
        <v>64.250000000000014</v>
      </c>
      <c r="D1286" s="3">
        <v>0</v>
      </c>
      <c r="E1286" s="3">
        <v>2199.5</v>
      </c>
      <c r="F1286" s="3">
        <v>2263.7499999999995</v>
      </c>
    </row>
    <row r="1287" spans="2:6" x14ac:dyDescent="0.3">
      <c r="B1287" s="3">
        <v>1276</v>
      </c>
      <c r="C1287" s="3">
        <v>62.25</v>
      </c>
      <c r="D1287" s="3">
        <v>0</v>
      </c>
      <c r="E1287" s="3">
        <v>2199.5</v>
      </c>
      <c r="F1287" s="3">
        <v>2261.7499999999991</v>
      </c>
    </row>
    <row r="1288" spans="2:6" x14ac:dyDescent="0.3">
      <c r="B1288" s="3">
        <v>1277</v>
      </c>
      <c r="C1288" s="3">
        <v>61.899999999999991</v>
      </c>
      <c r="D1288" s="3">
        <v>0</v>
      </c>
      <c r="E1288" s="3">
        <v>2199.5</v>
      </c>
      <c r="F1288" s="3">
        <v>2261.3999999999996</v>
      </c>
    </row>
    <row r="1289" spans="2:6" x14ac:dyDescent="0.3">
      <c r="B1289" s="3">
        <v>1278</v>
      </c>
      <c r="C1289" s="3">
        <v>59.55</v>
      </c>
      <c r="D1289" s="3">
        <v>0</v>
      </c>
      <c r="E1289" s="3">
        <v>2199.5</v>
      </c>
      <c r="F1289" s="3">
        <v>2259.0500000000002</v>
      </c>
    </row>
    <row r="1290" spans="2:6" x14ac:dyDescent="0.3">
      <c r="B1290" s="3">
        <v>1279</v>
      </c>
      <c r="C1290" s="3">
        <v>60.400000000000006</v>
      </c>
      <c r="D1290" s="3">
        <v>0</v>
      </c>
      <c r="E1290" s="3">
        <v>2199.5</v>
      </c>
      <c r="F1290" s="3">
        <v>2259.9</v>
      </c>
    </row>
    <row r="1291" spans="2:6" x14ac:dyDescent="0.3">
      <c r="B1291" s="3">
        <v>1280</v>
      </c>
      <c r="C1291" s="3">
        <v>63.2</v>
      </c>
      <c r="D1291" s="3">
        <v>0</v>
      </c>
      <c r="E1291" s="3">
        <v>2199.5</v>
      </c>
      <c r="F1291" s="3">
        <v>2262.7000000000007</v>
      </c>
    </row>
    <row r="1292" spans="2:6" x14ac:dyDescent="0.3">
      <c r="B1292" s="3">
        <v>1281</v>
      </c>
      <c r="C1292" s="3">
        <v>61.850000000000009</v>
      </c>
      <c r="D1292" s="3">
        <v>0</v>
      </c>
      <c r="E1292" s="3">
        <v>2199.5</v>
      </c>
      <c r="F1292" s="3">
        <v>2261.3500000000004</v>
      </c>
    </row>
    <row r="1293" spans="2:6" x14ac:dyDescent="0.3">
      <c r="B1293" s="3">
        <v>1282</v>
      </c>
      <c r="C1293" s="3">
        <v>64.100000000000023</v>
      </c>
      <c r="D1293" s="3">
        <v>0</v>
      </c>
      <c r="E1293" s="3">
        <v>2199.5</v>
      </c>
      <c r="F1293" s="3">
        <v>2263.6000000000004</v>
      </c>
    </row>
    <row r="1294" spans="2:6" x14ac:dyDescent="0.3">
      <c r="B1294" s="3">
        <v>1283</v>
      </c>
      <c r="C1294" s="3">
        <v>62.950000000000017</v>
      </c>
      <c r="D1294" s="3">
        <v>0</v>
      </c>
      <c r="E1294" s="3">
        <v>2199.5</v>
      </c>
      <c r="F1294" s="3">
        <v>2262.4499999999998</v>
      </c>
    </row>
    <row r="1295" spans="2:6" x14ac:dyDescent="0.3">
      <c r="B1295" s="3">
        <v>1284</v>
      </c>
      <c r="C1295" s="3">
        <v>60.850000000000009</v>
      </c>
      <c r="D1295" s="3">
        <v>0</v>
      </c>
      <c r="E1295" s="3">
        <v>2199.5</v>
      </c>
      <c r="F1295" s="3">
        <v>2260.35</v>
      </c>
    </row>
    <row r="1296" spans="2:6" x14ac:dyDescent="0.3">
      <c r="B1296" s="3">
        <v>1285</v>
      </c>
      <c r="C1296" s="3">
        <v>61.249999999999993</v>
      </c>
      <c r="D1296" s="3">
        <v>0</v>
      </c>
      <c r="E1296" s="3">
        <v>2199.5</v>
      </c>
      <c r="F1296" s="3">
        <v>2260.75</v>
      </c>
    </row>
    <row r="1297" spans="2:6" x14ac:dyDescent="0.3">
      <c r="B1297" s="3">
        <v>1286</v>
      </c>
      <c r="C1297" s="3">
        <v>58.04999999999999</v>
      </c>
      <c r="D1297" s="3">
        <v>0</v>
      </c>
      <c r="E1297" s="3">
        <v>2199.5</v>
      </c>
      <c r="F1297" s="3">
        <v>2257.5499999999997</v>
      </c>
    </row>
    <row r="1298" spans="2:6" x14ac:dyDescent="0.3">
      <c r="B1298" s="3">
        <v>1287</v>
      </c>
      <c r="C1298" s="3">
        <v>60.099999999999994</v>
      </c>
      <c r="D1298" s="3">
        <v>0</v>
      </c>
      <c r="E1298" s="3">
        <v>2199.5</v>
      </c>
      <c r="F1298" s="3">
        <v>2259.6000000000008</v>
      </c>
    </row>
    <row r="1299" spans="2:6" x14ac:dyDescent="0.3">
      <c r="B1299" s="3">
        <v>1288</v>
      </c>
      <c r="C1299" s="3">
        <v>62.350000000000023</v>
      </c>
      <c r="D1299" s="3">
        <v>0</v>
      </c>
      <c r="E1299" s="3">
        <v>2199.5</v>
      </c>
      <c r="F1299" s="3">
        <v>2261.849999999999</v>
      </c>
    </row>
    <row r="1300" spans="2:6" x14ac:dyDescent="0.3">
      <c r="B1300" s="3">
        <v>1289</v>
      </c>
      <c r="C1300" s="3">
        <v>63.399999999999991</v>
      </c>
      <c r="D1300" s="3">
        <v>0</v>
      </c>
      <c r="E1300" s="3">
        <v>2199.5</v>
      </c>
      <c r="F1300" s="3">
        <v>2262.9</v>
      </c>
    </row>
    <row r="1301" spans="2:6" x14ac:dyDescent="0.3">
      <c r="B1301" s="3">
        <v>1290</v>
      </c>
      <c r="C1301" s="3">
        <v>58.099999999999994</v>
      </c>
      <c r="D1301" s="3">
        <v>0</v>
      </c>
      <c r="E1301" s="3">
        <v>2199.5</v>
      </c>
      <c r="F1301" s="3">
        <v>2257.6000000000004</v>
      </c>
    </row>
    <row r="1302" spans="2:6" x14ac:dyDescent="0.3">
      <c r="B1302" s="3">
        <v>1291</v>
      </c>
      <c r="C1302" s="3">
        <v>61.800000000000004</v>
      </c>
      <c r="D1302" s="3">
        <v>0</v>
      </c>
      <c r="E1302" s="3">
        <v>2199.5</v>
      </c>
      <c r="F1302" s="3">
        <v>2261.2999999999993</v>
      </c>
    </row>
    <row r="1303" spans="2:6" x14ac:dyDescent="0.3">
      <c r="B1303" s="3">
        <v>1292</v>
      </c>
      <c r="C1303" s="3">
        <v>59.349999999999987</v>
      </c>
      <c r="D1303" s="3">
        <v>0</v>
      </c>
      <c r="E1303" s="3">
        <v>1099.75</v>
      </c>
      <c r="F1303" s="3">
        <v>1159.0999999999999</v>
      </c>
    </row>
    <row r="1304" spans="2:6" x14ac:dyDescent="0.3">
      <c r="B1304" s="3">
        <v>1293</v>
      </c>
      <c r="C1304" s="3">
        <v>59.250000000000007</v>
      </c>
      <c r="D1304" s="3">
        <v>0</v>
      </c>
      <c r="E1304" s="3">
        <v>2199.5</v>
      </c>
      <c r="F1304" s="3">
        <v>2258.7499999999991</v>
      </c>
    </row>
    <row r="1305" spans="2:6" x14ac:dyDescent="0.3">
      <c r="B1305" s="3">
        <v>1294</v>
      </c>
      <c r="C1305" s="3">
        <v>68.40000000000002</v>
      </c>
      <c r="D1305" s="3">
        <v>0</v>
      </c>
      <c r="E1305" s="3">
        <v>2199.5</v>
      </c>
      <c r="F1305" s="3">
        <v>2267.9</v>
      </c>
    </row>
    <row r="1306" spans="2:6" x14ac:dyDescent="0.3">
      <c r="B1306" s="3">
        <v>1295</v>
      </c>
      <c r="C1306" s="3">
        <v>63.300000000000004</v>
      </c>
      <c r="D1306" s="3">
        <v>0</v>
      </c>
      <c r="E1306" s="3">
        <v>2199.5</v>
      </c>
      <c r="F1306" s="3">
        <v>2262.7999999999997</v>
      </c>
    </row>
    <row r="1307" spans="2:6" x14ac:dyDescent="0.3">
      <c r="B1307" s="3">
        <v>1296</v>
      </c>
      <c r="C1307" s="3">
        <v>61.300000000000018</v>
      </c>
      <c r="D1307" s="3">
        <v>0</v>
      </c>
      <c r="E1307" s="3">
        <v>2199.5</v>
      </c>
      <c r="F1307" s="3">
        <v>2260.8000000000002</v>
      </c>
    </row>
    <row r="1308" spans="2:6" x14ac:dyDescent="0.3">
      <c r="B1308" s="3">
        <v>1297</v>
      </c>
      <c r="C1308" s="3">
        <v>59.05</v>
      </c>
      <c r="D1308" s="3">
        <v>0</v>
      </c>
      <c r="E1308" s="3">
        <v>2199.5</v>
      </c>
      <c r="F1308" s="3">
        <v>2258.5500000000002</v>
      </c>
    </row>
    <row r="1309" spans="2:6" x14ac:dyDescent="0.3">
      <c r="B1309" s="3">
        <v>1298</v>
      </c>
      <c r="C1309" s="3">
        <v>62.250000000000007</v>
      </c>
      <c r="D1309" s="3">
        <v>0</v>
      </c>
      <c r="E1309" s="3">
        <v>2199.5</v>
      </c>
      <c r="F1309" s="3">
        <v>2261.7499999999995</v>
      </c>
    </row>
    <row r="1310" spans="2:6" x14ac:dyDescent="0.3">
      <c r="B1310" s="3">
        <v>1299</v>
      </c>
      <c r="C1310" s="3">
        <v>64.649999999999991</v>
      </c>
      <c r="D1310" s="3">
        <v>0</v>
      </c>
      <c r="E1310" s="3">
        <v>2199.5</v>
      </c>
      <c r="F1310" s="3">
        <v>2264.15</v>
      </c>
    </row>
    <row r="1311" spans="2:6" x14ac:dyDescent="0.3">
      <c r="B1311" s="3">
        <v>1300</v>
      </c>
      <c r="C1311" s="3">
        <v>66.350000000000009</v>
      </c>
      <c r="D1311" s="3">
        <v>0</v>
      </c>
      <c r="E1311" s="3">
        <v>2199.5</v>
      </c>
      <c r="F1311" s="3">
        <v>2265.8499999999995</v>
      </c>
    </row>
    <row r="1312" spans="2:6" x14ac:dyDescent="0.3">
      <c r="B1312" s="3">
        <v>1301</v>
      </c>
      <c r="C1312" s="3">
        <v>60.949999999999996</v>
      </c>
      <c r="D1312" s="3">
        <v>0</v>
      </c>
      <c r="E1312" s="3">
        <v>2199.5</v>
      </c>
      <c r="F1312" s="3">
        <v>2260.4499999999998</v>
      </c>
    </row>
    <row r="1313" spans="2:6" x14ac:dyDescent="0.3">
      <c r="B1313" s="3">
        <v>1302</v>
      </c>
      <c r="C1313" s="3">
        <v>59.750000000000014</v>
      </c>
      <c r="D1313" s="3">
        <v>0</v>
      </c>
      <c r="E1313" s="3">
        <v>2199.5</v>
      </c>
      <c r="F1313" s="3">
        <v>2259.25</v>
      </c>
    </row>
    <row r="1314" spans="2:6" x14ac:dyDescent="0.3">
      <c r="B1314" s="3">
        <v>1303</v>
      </c>
      <c r="C1314" s="3">
        <v>59.800000000000004</v>
      </c>
      <c r="D1314" s="3">
        <v>0</v>
      </c>
      <c r="E1314" s="3">
        <v>2199.5</v>
      </c>
      <c r="F1314" s="3">
        <v>2259.3000000000002</v>
      </c>
    </row>
    <row r="1315" spans="2:6" x14ac:dyDescent="0.3">
      <c r="B1315" s="3">
        <v>1304</v>
      </c>
      <c r="C1315" s="3">
        <v>64.5</v>
      </c>
      <c r="D1315" s="3">
        <v>0</v>
      </c>
      <c r="E1315" s="3">
        <v>2199.5</v>
      </c>
      <c r="F1315" s="3">
        <v>2264</v>
      </c>
    </row>
    <row r="1316" spans="2:6" x14ac:dyDescent="0.3">
      <c r="B1316" s="3">
        <v>1305</v>
      </c>
      <c r="C1316" s="3">
        <v>60.949999999999996</v>
      </c>
      <c r="D1316" s="3">
        <v>0</v>
      </c>
      <c r="E1316" s="3">
        <v>2199.5</v>
      </c>
      <c r="F1316" s="3">
        <v>2260.4500000000003</v>
      </c>
    </row>
    <row r="1317" spans="2:6" x14ac:dyDescent="0.3">
      <c r="B1317" s="3">
        <v>1306</v>
      </c>
      <c r="C1317" s="3">
        <v>57.15</v>
      </c>
      <c r="D1317" s="3">
        <v>0</v>
      </c>
      <c r="E1317" s="3">
        <v>2199.5</v>
      </c>
      <c r="F1317" s="3">
        <v>2256.65</v>
      </c>
    </row>
    <row r="1318" spans="2:6" x14ac:dyDescent="0.3">
      <c r="B1318" s="3">
        <v>1307</v>
      </c>
      <c r="C1318" s="3">
        <v>66.550000000000011</v>
      </c>
      <c r="D1318" s="3">
        <v>0</v>
      </c>
      <c r="E1318" s="3">
        <v>2199.5</v>
      </c>
      <c r="F1318" s="3">
        <v>2266.0499999999993</v>
      </c>
    </row>
    <row r="1319" spans="2:6" x14ac:dyDescent="0.3">
      <c r="B1319" s="3">
        <v>1308</v>
      </c>
      <c r="C1319" s="3">
        <v>57.550000000000011</v>
      </c>
      <c r="D1319" s="3">
        <v>0</v>
      </c>
      <c r="E1319" s="3">
        <v>2199.5</v>
      </c>
      <c r="F1319" s="3">
        <v>2257.0499999999997</v>
      </c>
    </row>
    <row r="1320" spans="2:6" x14ac:dyDescent="0.3">
      <c r="B1320" s="3">
        <v>1309</v>
      </c>
      <c r="C1320" s="3">
        <v>60.45</v>
      </c>
      <c r="D1320" s="3">
        <v>0</v>
      </c>
      <c r="E1320" s="3">
        <v>1099.75</v>
      </c>
      <c r="F1320" s="3">
        <v>1160.1999999999991</v>
      </c>
    </row>
    <row r="1321" spans="2:6" x14ac:dyDescent="0.3">
      <c r="B1321" s="3">
        <v>1310</v>
      </c>
      <c r="C1321" s="3">
        <v>62.500000000000014</v>
      </c>
      <c r="D1321" s="3">
        <v>0</v>
      </c>
      <c r="E1321" s="3">
        <v>2199.5</v>
      </c>
      <c r="F1321" s="3">
        <v>2262.0000000000005</v>
      </c>
    </row>
    <row r="1322" spans="2:6" x14ac:dyDescent="0.3">
      <c r="B1322" s="3">
        <v>1311</v>
      </c>
      <c r="C1322" s="3">
        <v>62.800000000000018</v>
      </c>
      <c r="D1322" s="3">
        <v>0</v>
      </c>
      <c r="E1322" s="3">
        <v>2199.5</v>
      </c>
      <c r="F1322" s="3">
        <v>2262.2999999999997</v>
      </c>
    </row>
    <row r="1323" spans="2:6" x14ac:dyDescent="0.3">
      <c r="B1323" s="3">
        <v>1312</v>
      </c>
      <c r="C1323" s="3">
        <v>62.05</v>
      </c>
      <c r="D1323" s="3">
        <v>0</v>
      </c>
      <c r="E1323" s="3">
        <v>2199.5</v>
      </c>
      <c r="F1323" s="3">
        <v>2261.5500000000002</v>
      </c>
    </row>
    <row r="1324" spans="2:6" x14ac:dyDescent="0.3">
      <c r="B1324" s="3">
        <v>1313</v>
      </c>
      <c r="C1324" s="3">
        <v>61.550000000000011</v>
      </c>
      <c r="D1324" s="3">
        <v>0</v>
      </c>
      <c r="E1324" s="3">
        <v>2199.5</v>
      </c>
      <c r="F1324" s="3">
        <v>2261.0499999999993</v>
      </c>
    </row>
    <row r="1325" spans="2:6" x14ac:dyDescent="0.3">
      <c r="B1325" s="3">
        <v>1314</v>
      </c>
      <c r="C1325" s="3">
        <v>60.000000000000007</v>
      </c>
      <c r="D1325" s="3">
        <v>0</v>
      </c>
      <c r="E1325" s="3">
        <v>2199.5</v>
      </c>
      <c r="F1325" s="3">
        <v>2259.4999999999995</v>
      </c>
    </row>
    <row r="1326" spans="2:6" x14ac:dyDescent="0.3">
      <c r="B1326" s="3">
        <v>1315</v>
      </c>
      <c r="C1326" s="3">
        <v>61.099999999999987</v>
      </c>
      <c r="D1326" s="3">
        <v>0</v>
      </c>
      <c r="E1326" s="3">
        <v>2199.5</v>
      </c>
      <c r="F1326" s="3">
        <v>2260.6000000000004</v>
      </c>
    </row>
    <row r="1327" spans="2:6" x14ac:dyDescent="0.3">
      <c r="B1327" s="3">
        <v>1316</v>
      </c>
      <c r="C1327" s="3">
        <v>62.300000000000004</v>
      </c>
      <c r="D1327" s="3">
        <v>0</v>
      </c>
      <c r="E1327" s="3">
        <v>2199.5</v>
      </c>
      <c r="F1327" s="3">
        <v>2261.7999999999993</v>
      </c>
    </row>
    <row r="1328" spans="2:6" x14ac:dyDescent="0.3">
      <c r="B1328" s="3">
        <v>1317</v>
      </c>
      <c r="C1328" s="3">
        <v>57.95000000000001</v>
      </c>
      <c r="D1328" s="3">
        <v>0</v>
      </c>
      <c r="E1328" s="3">
        <v>2199.5</v>
      </c>
      <c r="F1328" s="3">
        <v>2257.4500000000003</v>
      </c>
    </row>
    <row r="1329" spans="2:6" x14ac:dyDescent="0.3">
      <c r="B1329" s="3">
        <v>1318</v>
      </c>
      <c r="C1329" s="3">
        <v>63.000000000000007</v>
      </c>
      <c r="D1329" s="3">
        <v>0</v>
      </c>
      <c r="E1329" s="3">
        <v>2199.5</v>
      </c>
      <c r="F1329" s="3">
        <v>2262.5</v>
      </c>
    </row>
    <row r="1330" spans="2:6" x14ac:dyDescent="0.3">
      <c r="B1330" s="3">
        <v>1319</v>
      </c>
      <c r="C1330" s="3">
        <v>64.750000000000028</v>
      </c>
      <c r="D1330" s="3">
        <v>0</v>
      </c>
      <c r="E1330" s="3">
        <v>2199.5</v>
      </c>
      <c r="F1330" s="3">
        <v>2264.2499999999991</v>
      </c>
    </row>
    <row r="1331" spans="2:6" x14ac:dyDescent="0.3">
      <c r="B1331" s="3">
        <v>1320</v>
      </c>
      <c r="C1331" s="3">
        <v>56.649999999999991</v>
      </c>
      <c r="D1331" s="3">
        <v>0</v>
      </c>
      <c r="E1331" s="3">
        <v>2199.5</v>
      </c>
      <c r="F1331" s="3">
        <v>2256.1499999999996</v>
      </c>
    </row>
    <row r="1332" spans="2:6" x14ac:dyDescent="0.3">
      <c r="B1332" s="3">
        <v>1321</v>
      </c>
      <c r="C1332" s="3">
        <v>67.749999999999986</v>
      </c>
      <c r="D1332" s="3">
        <v>0</v>
      </c>
      <c r="E1332" s="3">
        <v>2199.5</v>
      </c>
      <c r="F1332" s="3">
        <v>2267.2500000000005</v>
      </c>
    </row>
    <row r="1333" spans="2:6" x14ac:dyDescent="0.3">
      <c r="B1333" s="3">
        <v>1322</v>
      </c>
      <c r="C1333" s="3">
        <v>62.399999999999984</v>
      </c>
      <c r="D1333" s="3">
        <v>0</v>
      </c>
      <c r="E1333" s="3">
        <v>2199.5</v>
      </c>
      <c r="F1333" s="3">
        <v>2261.9</v>
      </c>
    </row>
    <row r="1334" spans="2:6" x14ac:dyDescent="0.3">
      <c r="B1334" s="3">
        <v>1323</v>
      </c>
      <c r="C1334" s="3">
        <v>64.150000000000006</v>
      </c>
      <c r="D1334" s="3">
        <v>0</v>
      </c>
      <c r="E1334" s="3">
        <v>2199.5</v>
      </c>
      <c r="F1334" s="3">
        <v>2263.6499999999996</v>
      </c>
    </row>
    <row r="1335" spans="2:6" x14ac:dyDescent="0.3">
      <c r="B1335" s="3">
        <v>1324</v>
      </c>
      <c r="C1335" s="3">
        <v>61.800000000000004</v>
      </c>
      <c r="D1335" s="3">
        <v>0</v>
      </c>
      <c r="E1335" s="3">
        <v>2199.5</v>
      </c>
      <c r="F1335" s="3">
        <v>2261.3000000000002</v>
      </c>
    </row>
    <row r="1336" spans="2:6" x14ac:dyDescent="0.3">
      <c r="B1336" s="3">
        <v>1325</v>
      </c>
      <c r="C1336" s="3">
        <v>56.15</v>
      </c>
      <c r="D1336" s="3">
        <v>0</v>
      </c>
      <c r="E1336" s="3">
        <v>1099.75</v>
      </c>
      <c r="F1336" s="3">
        <v>1155.8999999999996</v>
      </c>
    </row>
    <row r="1337" spans="2:6" x14ac:dyDescent="0.3">
      <c r="B1337" s="3">
        <v>1326</v>
      </c>
      <c r="C1337" s="3">
        <v>64.650000000000006</v>
      </c>
      <c r="D1337" s="3">
        <v>0</v>
      </c>
      <c r="E1337" s="3">
        <v>2199.5</v>
      </c>
      <c r="F1337" s="3">
        <v>2264.1499999999996</v>
      </c>
    </row>
    <row r="1338" spans="2:6" x14ac:dyDescent="0.3">
      <c r="B1338" s="3">
        <v>1327</v>
      </c>
      <c r="C1338" s="3">
        <v>61.949999999999989</v>
      </c>
      <c r="D1338" s="3">
        <v>0</v>
      </c>
      <c r="E1338" s="3">
        <v>2199.5</v>
      </c>
      <c r="F1338" s="3">
        <v>2261.4500000000007</v>
      </c>
    </row>
    <row r="1339" spans="2:6" x14ac:dyDescent="0.3">
      <c r="B1339" s="3">
        <v>1328</v>
      </c>
      <c r="C1339" s="3">
        <v>61.500000000000007</v>
      </c>
      <c r="D1339" s="3">
        <v>0</v>
      </c>
      <c r="E1339" s="3">
        <v>2199.5</v>
      </c>
      <c r="F1339" s="3">
        <v>2260.9999999999995</v>
      </c>
    </row>
    <row r="1340" spans="2:6" x14ac:dyDescent="0.3">
      <c r="B1340" s="3">
        <v>1329</v>
      </c>
      <c r="C1340" s="3">
        <v>62.250000000000007</v>
      </c>
      <c r="D1340" s="3">
        <v>0</v>
      </c>
      <c r="E1340" s="3">
        <v>1099.75</v>
      </c>
      <c r="F1340" s="3">
        <v>1161.9999999999998</v>
      </c>
    </row>
    <row r="1341" spans="2:6" x14ac:dyDescent="0.3">
      <c r="B1341" s="3">
        <v>1330</v>
      </c>
      <c r="C1341" s="3">
        <v>63.399999999999991</v>
      </c>
      <c r="D1341" s="3">
        <v>0</v>
      </c>
      <c r="E1341" s="3">
        <v>2199.5</v>
      </c>
      <c r="F1341" s="3">
        <v>2262.9000000000005</v>
      </c>
    </row>
    <row r="1342" spans="2:6" x14ac:dyDescent="0.3">
      <c r="B1342" s="3">
        <v>1331</v>
      </c>
      <c r="C1342" s="3">
        <v>59.750000000000014</v>
      </c>
      <c r="D1342" s="3">
        <v>0</v>
      </c>
      <c r="E1342" s="3">
        <v>2199.5</v>
      </c>
      <c r="F1342" s="3">
        <v>2259.25</v>
      </c>
    </row>
    <row r="1343" spans="2:6" x14ac:dyDescent="0.3">
      <c r="B1343" s="3">
        <v>1332</v>
      </c>
      <c r="C1343" s="3">
        <v>59.15</v>
      </c>
      <c r="D1343" s="3">
        <v>0</v>
      </c>
      <c r="E1343" s="3">
        <v>2199.5</v>
      </c>
      <c r="F1343" s="3">
        <v>2258.65</v>
      </c>
    </row>
    <row r="1344" spans="2:6" x14ac:dyDescent="0.3">
      <c r="B1344" s="3">
        <v>1333</v>
      </c>
      <c r="C1344" s="3">
        <v>60.05</v>
      </c>
      <c r="D1344" s="3">
        <v>0</v>
      </c>
      <c r="E1344" s="3">
        <v>2199.5</v>
      </c>
      <c r="F1344" s="3">
        <v>2259.5500000000006</v>
      </c>
    </row>
    <row r="1345" spans="2:6" x14ac:dyDescent="0.3">
      <c r="B1345" s="3">
        <v>1334</v>
      </c>
      <c r="C1345" s="3">
        <v>62.750000000000014</v>
      </c>
      <c r="D1345" s="3">
        <v>0</v>
      </c>
      <c r="E1345" s="3">
        <v>2199.5</v>
      </c>
      <c r="F1345" s="3">
        <v>2262.25</v>
      </c>
    </row>
    <row r="1346" spans="2:6" x14ac:dyDescent="0.3">
      <c r="B1346" s="3">
        <v>1335</v>
      </c>
      <c r="C1346" s="3">
        <v>60.149999999999991</v>
      </c>
      <c r="D1346" s="3">
        <v>0</v>
      </c>
      <c r="E1346" s="3">
        <v>2199.5</v>
      </c>
      <c r="F1346" s="3">
        <v>2259.650000000001</v>
      </c>
    </row>
    <row r="1347" spans="2:6" x14ac:dyDescent="0.3">
      <c r="B1347" s="3">
        <v>1336</v>
      </c>
      <c r="C1347" s="3">
        <v>60.300000000000011</v>
      </c>
      <c r="D1347" s="3">
        <v>0</v>
      </c>
      <c r="E1347" s="3">
        <v>2199.5</v>
      </c>
      <c r="F1347" s="3">
        <v>2259.8000000000002</v>
      </c>
    </row>
    <row r="1348" spans="2:6" x14ac:dyDescent="0.3">
      <c r="B1348" s="3">
        <v>1337</v>
      </c>
      <c r="C1348" s="3">
        <v>62.20000000000001</v>
      </c>
      <c r="D1348" s="3">
        <v>0</v>
      </c>
      <c r="E1348" s="3">
        <v>2199.5</v>
      </c>
      <c r="F1348" s="3">
        <v>2261.6999999999994</v>
      </c>
    </row>
    <row r="1349" spans="2:6" x14ac:dyDescent="0.3">
      <c r="B1349" s="3">
        <v>1338</v>
      </c>
      <c r="C1349" s="3">
        <v>62.099999999999987</v>
      </c>
      <c r="D1349" s="3">
        <v>0</v>
      </c>
      <c r="E1349" s="3">
        <v>2199.5</v>
      </c>
      <c r="F1349" s="3">
        <v>2261.6</v>
      </c>
    </row>
    <row r="1350" spans="2:6" x14ac:dyDescent="0.3">
      <c r="B1350" s="3">
        <v>1339</v>
      </c>
      <c r="C1350" s="3">
        <v>59.79999999999999</v>
      </c>
      <c r="D1350" s="3">
        <v>0</v>
      </c>
      <c r="E1350" s="3">
        <v>2199.5</v>
      </c>
      <c r="F1350" s="3">
        <v>2259.3000000000006</v>
      </c>
    </row>
    <row r="1351" spans="2:6" x14ac:dyDescent="0.3">
      <c r="B1351" s="3">
        <v>1340</v>
      </c>
      <c r="C1351" s="3">
        <v>62.2</v>
      </c>
      <c r="D1351" s="3">
        <v>0</v>
      </c>
      <c r="E1351" s="3">
        <v>2199.5</v>
      </c>
      <c r="F1351" s="3">
        <v>2261.6999999999994</v>
      </c>
    </row>
    <row r="1352" spans="2:6" x14ac:dyDescent="0.3">
      <c r="B1352" s="3">
        <v>1341</v>
      </c>
      <c r="C1352" s="3">
        <v>59.75</v>
      </c>
      <c r="D1352" s="3">
        <v>0</v>
      </c>
      <c r="E1352" s="3">
        <v>2199.5</v>
      </c>
      <c r="F1352" s="3">
        <v>2259.2500000000005</v>
      </c>
    </row>
    <row r="1353" spans="2:6" x14ac:dyDescent="0.3">
      <c r="B1353" s="3">
        <v>1342</v>
      </c>
      <c r="C1353" s="3">
        <v>61.5</v>
      </c>
      <c r="D1353" s="3">
        <v>0</v>
      </c>
      <c r="E1353" s="3">
        <v>1099.75</v>
      </c>
      <c r="F1353" s="3">
        <v>1161.25</v>
      </c>
    </row>
    <row r="1354" spans="2:6" x14ac:dyDescent="0.3">
      <c r="B1354" s="3">
        <v>1343</v>
      </c>
      <c r="C1354" s="3">
        <v>63.800000000000004</v>
      </c>
      <c r="D1354" s="3">
        <v>0</v>
      </c>
      <c r="E1354" s="3">
        <v>1099.75</v>
      </c>
      <c r="F1354" s="3">
        <v>1163.5499999999997</v>
      </c>
    </row>
    <row r="1355" spans="2:6" x14ac:dyDescent="0.3">
      <c r="B1355" s="3">
        <v>1344</v>
      </c>
      <c r="C1355" s="3">
        <v>62.500000000000007</v>
      </c>
      <c r="D1355" s="3">
        <v>0</v>
      </c>
      <c r="E1355" s="3">
        <v>2199.5</v>
      </c>
      <c r="F1355" s="3">
        <v>2262.0000000000005</v>
      </c>
    </row>
    <row r="1356" spans="2:6" x14ac:dyDescent="0.3">
      <c r="B1356" s="3">
        <v>1345</v>
      </c>
      <c r="C1356" s="3">
        <v>58.5</v>
      </c>
      <c r="D1356" s="3">
        <v>0</v>
      </c>
      <c r="E1356" s="3">
        <v>2199.5</v>
      </c>
      <c r="F1356" s="3">
        <v>2258</v>
      </c>
    </row>
    <row r="1357" spans="2:6" x14ac:dyDescent="0.3">
      <c r="B1357" s="3">
        <v>1346</v>
      </c>
      <c r="C1357" s="3">
        <v>62.45</v>
      </c>
      <c r="D1357" s="3">
        <v>0</v>
      </c>
      <c r="E1357" s="3">
        <v>2199.5</v>
      </c>
      <c r="F1357" s="3">
        <v>2261.9499999999998</v>
      </c>
    </row>
    <row r="1358" spans="2:6" x14ac:dyDescent="0.3">
      <c r="B1358" s="3">
        <v>1347</v>
      </c>
      <c r="C1358" s="3">
        <v>57.04999999999999</v>
      </c>
      <c r="D1358" s="3">
        <v>0</v>
      </c>
      <c r="E1358" s="3">
        <v>2199.5</v>
      </c>
      <c r="F1358" s="3">
        <v>2256.5500000000002</v>
      </c>
    </row>
    <row r="1359" spans="2:6" x14ac:dyDescent="0.3">
      <c r="B1359" s="3">
        <v>1348</v>
      </c>
      <c r="C1359" s="3">
        <v>63.550000000000011</v>
      </c>
      <c r="D1359" s="3">
        <v>0</v>
      </c>
      <c r="E1359" s="3">
        <v>2199.5</v>
      </c>
      <c r="F1359" s="3">
        <v>2263.0499999999993</v>
      </c>
    </row>
    <row r="1360" spans="2:6" x14ac:dyDescent="0.3">
      <c r="B1360" s="3">
        <v>1349</v>
      </c>
      <c r="C1360" s="3">
        <v>56.65</v>
      </c>
      <c r="D1360" s="3">
        <v>0</v>
      </c>
      <c r="E1360" s="3">
        <v>1099.75</v>
      </c>
      <c r="F1360" s="3">
        <v>1156.4000000000001</v>
      </c>
    </row>
    <row r="1361" spans="2:6" x14ac:dyDescent="0.3">
      <c r="B1361" s="3">
        <v>1350</v>
      </c>
      <c r="C1361" s="3">
        <v>62.050000000000004</v>
      </c>
      <c r="D1361" s="3">
        <v>0</v>
      </c>
      <c r="E1361" s="3">
        <v>2199.5</v>
      </c>
      <c r="F1361" s="3">
        <v>2261.5499999999997</v>
      </c>
    </row>
    <row r="1362" spans="2:6" x14ac:dyDescent="0.3">
      <c r="B1362" s="3">
        <v>1351</v>
      </c>
      <c r="C1362" s="3">
        <v>58.699999999999996</v>
      </c>
      <c r="D1362" s="3">
        <v>0</v>
      </c>
      <c r="E1362" s="3">
        <v>1099.75</v>
      </c>
      <c r="F1362" s="3">
        <v>1158.45</v>
      </c>
    </row>
    <row r="1363" spans="2:6" x14ac:dyDescent="0.3">
      <c r="B1363" s="3">
        <v>1352</v>
      </c>
      <c r="C1363" s="3">
        <v>61.699999999999996</v>
      </c>
      <c r="D1363" s="3">
        <v>0</v>
      </c>
      <c r="E1363" s="3">
        <v>2199.5</v>
      </c>
      <c r="F1363" s="3">
        <v>2261.1999999999998</v>
      </c>
    </row>
    <row r="1364" spans="2:6" x14ac:dyDescent="0.3">
      <c r="B1364" s="3">
        <v>1353</v>
      </c>
      <c r="C1364" s="3">
        <v>62.850000000000016</v>
      </c>
      <c r="D1364" s="3">
        <v>0</v>
      </c>
      <c r="E1364" s="3">
        <v>2199.5</v>
      </c>
      <c r="F1364" s="3">
        <v>2262.349999999999</v>
      </c>
    </row>
    <row r="1365" spans="2:6" x14ac:dyDescent="0.3">
      <c r="B1365" s="3">
        <v>1354</v>
      </c>
      <c r="C1365" s="3">
        <v>64.100000000000023</v>
      </c>
      <c r="D1365" s="3">
        <v>0</v>
      </c>
      <c r="E1365" s="3">
        <v>2199.5</v>
      </c>
      <c r="F1365" s="3">
        <v>2263.6</v>
      </c>
    </row>
    <row r="1366" spans="2:6" x14ac:dyDescent="0.3">
      <c r="B1366" s="3">
        <v>1355</v>
      </c>
      <c r="C1366" s="3">
        <v>61.749999999999993</v>
      </c>
      <c r="D1366" s="3">
        <v>0</v>
      </c>
      <c r="E1366" s="3">
        <v>2199.5</v>
      </c>
      <c r="F1366" s="3">
        <v>2261.25</v>
      </c>
    </row>
    <row r="1367" spans="2:6" x14ac:dyDescent="0.3">
      <c r="B1367" s="3">
        <v>1356</v>
      </c>
      <c r="C1367" s="3">
        <v>65.3</v>
      </c>
      <c r="D1367" s="3">
        <v>0</v>
      </c>
      <c r="E1367" s="3">
        <v>2199.5</v>
      </c>
      <c r="F1367" s="3">
        <v>2264.7999999999997</v>
      </c>
    </row>
    <row r="1368" spans="2:6" x14ac:dyDescent="0.3">
      <c r="B1368" s="3">
        <v>1357</v>
      </c>
      <c r="C1368" s="3">
        <v>61.649999999999984</v>
      </c>
      <c r="D1368" s="3">
        <v>0</v>
      </c>
      <c r="E1368" s="3">
        <v>2199.5</v>
      </c>
      <c r="F1368" s="3">
        <v>2261.1500000000005</v>
      </c>
    </row>
    <row r="1369" spans="2:6" x14ac:dyDescent="0.3">
      <c r="B1369" s="3">
        <v>1358</v>
      </c>
      <c r="C1369" s="3">
        <v>64.300000000000011</v>
      </c>
      <c r="D1369" s="3">
        <v>0</v>
      </c>
      <c r="E1369" s="3">
        <v>2199.5</v>
      </c>
      <c r="F1369" s="3">
        <v>2263.7999999999997</v>
      </c>
    </row>
    <row r="1370" spans="2:6" x14ac:dyDescent="0.3">
      <c r="B1370" s="3">
        <v>1359</v>
      </c>
      <c r="C1370" s="3">
        <v>63.050000000000011</v>
      </c>
      <c r="D1370" s="3">
        <v>0</v>
      </c>
      <c r="E1370" s="3">
        <v>2199.5</v>
      </c>
      <c r="F1370" s="3">
        <v>2262.5499999999988</v>
      </c>
    </row>
    <row r="1371" spans="2:6" x14ac:dyDescent="0.3">
      <c r="B1371" s="3">
        <v>1360</v>
      </c>
      <c r="C1371" s="3">
        <v>63.2</v>
      </c>
      <c r="D1371" s="3">
        <v>0</v>
      </c>
      <c r="E1371" s="3">
        <v>2199.5</v>
      </c>
      <c r="F1371" s="3">
        <v>2262.7000000000007</v>
      </c>
    </row>
    <row r="1372" spans="2:6" x14ac:dyDescent="0.3">
      <c r="B1372" s="3">
        <v>1361</v>
      </c>
      <c r="C1372" s="3">
        <v>60.05</v>
      </c>
      <c r="D1372" s="3">
        <v>0</v>
      </c>
      <c r="E1372" s="3">
        <v>2199.5</v>
      </c>
      <c r="F1372" s="3">
        <v>2259.5500000000006</v>
      </c>
    </row>
    <row r="1373" spans="2:6" x14ac:dyDescent="0.3">
      <c r="B1373" s="3">
        <v>1362</v>
      </c>
      <c r="C1373" s="3">
        <v>62.099999999999994</v>
      </c>
      <c r="D1373" s="3">
        <v>0</v>
      </c>
      <c r="E1373" s="3">
        <v>2199.5</v>
      </c>
      <c r="F1373" s="3">
        <v>2261.5999999999995</v>
      </c>
    </row>
    <row r="1374" spans="2:6" x14ac:dyDescent="0.3">
      <c r="B1374" s="3">
        <v>1363</v>
      </c>
      <c r="C1374" s="3">
        <v>59.150000000000006</v>
      </c>
      <c r="D1374" s="3">
        <v>0</v>
      </c>
      <c r="E1374" s="3">
        <v>2199.5</v>
      </c>
      <c r="F1374" s="3">
        <v>2258.6499999999996</v>
      </c>
    </row>
    <row r="1375" spans="2:6" x14ac:dyDescent="0.3">
      <c r="B1375" s="3">
        <v>1364</v>
      </c>
      <c r="C1375" s="3">
        <v>62.000000000000007</v>
      </c>
      <c r="D1375" s="3">
        <v>0</v>
      </c>
      <c r="E1375" s="3">
        <v>2199.5</v>
      </c>
      <c r="F1375" s="3">
        <v>2261.5</v>
      </c>
    </row>
    <row r="1376" spans="2:6" x14ac:dyDescent="0.3">
      <c r="B1376" s="3">
        <v>1365</v>
      </c>
      <c r="C1376" s="3">
        <v>55.649999999999991</v>
      </c>
      <c r="D1376" s="3">
        <v>0</v>
      </c>
      <c r="E1376" s="3">
        <v>2199.5</v>
      </c>
      <c r="F1376" s="3">
        <v>2255.15</v>
      </c>
    </row>
    <row r="1377" spans="2:6" x14ac:dyDescent="0.3">
      <c r="B1377" s="3">
        <v>1366</v>
      </c>
      <c r="C1377" s="3">
        <v>61.7</v>
      </c>
      <c r="D1377" s="3">
        <v>0</v>
      </c>
      <c r="E1377" s="3">
        <v>2199.5</v>
      </c>
      <c r="F1377" s="3">
        <v>2261.1999999999994</v>
      </c>
    </row>
    <row r="1378" spans="2:6" x14ac:dyDescent="0.3">
      <c r="B1378" s="3">
        <v>1367</v>
      </c>
      <c r="C1378" s="3">
        <v>63.250000000000007</v>
      </c>
      <c r="D1378" s="3">
        <v>0</v>
      </c>
      <c r="E1378" s="3">
        <v>2199.5</v>
      </c>
      <c r="F1378" s="3">
        <v>2262.75</v>
      </c>
    </row>
    <row r="1379" spans="2:6" x14ac:dyDescent="0.3">
      <c r="B1379" s="3">
        <v>1368</v>
      </c>
      <c r="C1379" s="3">
        <v>62.649999999999991</v>
      </c>
      <c r="D1379" s="3">
        <v>0</v>
      </c>
      <c r="E1379" s="3">
        <v>2199.5</v>
      </c>
      <c r="F1379" s="3">
        <v>2262.15</v>
      </c>
    </row>
    <row r="1380" spans="2:6" x14ac:dyDescent="0.3">
      <c r="B1380" s="3">
        <v>1369</v>
      </c>
      <c r="C1380" s="3">
        <v>63.5</v>
      </c>
      <c r="D1380" s="3">
        <v>0</v>
      </c>
      <c r="E1380" s="3">
        <v>2199.5</v>
      </c>
      <c r="F1380" s="3">
        <v>2263.0000000000005</v>
      </c>
    </row>
    <row r="1381" spans="2:6" x14ac:dyDescent="0.3">
      <c r="B1381" s="3">
        <v>1370</v>
      </c>
      <c r="C1381" s="3">
        <v>63.450000000000017</v>
      </c>
      <c r="D1381" s="3">
        <v>0</v>
      </c>
      <c r="E1381" s="3">
        <v>2199.5</v>
      </c>
      <c r="F1381" s="3">
        <v>2262.9500000000003</v>
      </c>
    </row>
    <row r="1382" spans="2:6" x14ac:dyDescent="0.3">
      <c r="B1382" s="3">
        <v>1371</v>
      </c>
      <c r="C1382" s="3">
        <v>61.35</v>
      </c>
      <c r="D1382" s="3">
        <v>0</v>
      </c>
      <c r="E1382" s="3">
        <v>2199.5</v>
      </c>
      <c r="F1382" s="3">
        <v>2260.8499999999995</v>
      </c>
    </row>
    <row r="1383" spans="2:6" x14ac:dyDescent="0.3">
      <c r="B1383" s="3">
        <v>1372</v>
      </c>
      <c r="C1383" s="3">
        <v>59.900000000000006</v>
      </c>
      <c r="D1383" s="3">
        <v>0</v>
      </c>
      <c r="E1383" s="3">
        <v>2199.5</v>
      </c>
      <c r="F1383" s="3">
        <v>2259.3999999999987</v>
      </c>
    </row>
    <row r="1384" spans="2:6" x14ac:dyDescent="0.3">
      <c r="B1384" s="3">
        <v>1373</v>
      </c>
      <c r="C1384" s="3">
        <v>60.150000000000006</v>
      </c>
      <c r="D1384" s="3">
        <v>0</v>
      </c>
      <c r="E1384" s="3">
        <v>2199.5</v>
      </c>
      <c r="F1384" s="3">
        <v>2259.6499999999992</v>
      </c>
    </row>
    <row r="1385" spans="2:6" x14ac:dyDescent="0.3">
      <c r="B1385" s="3">
        <v>1374</v>
      </c>
      <c r="C1385" s="3">
        <v>64.599999999999994</v>
      </c>
      <c r="D1385" s="3">
        <v>0</v>
      </c>
      <c r="E1385" s="3">
        <v>2199.5</v>
      </c>
      <c r="F1385" s="3">
        <v>2264.0999999999995</v>
      </c>
    </row>
    <row r="1386" spans="2:6" x14ac:dyDescent="0.3">
      <c r="B1386" s="3">
        <v>1375</v>
      </c>
      <c r="C1386" s="3">
        <v>56.000000000000007</v>
      </c>
      <c r="D1386" s="3">
        <v>0</v>
      </c>
      <c r="E1386" s="3">
        <v>2199.5</v>
      </c>
      <c r="F1386" s="3">
        <v>2255.4999999999995</v>
      </c>
    </row>
    <row r="1387" spans="2:6" x14ac:dyDescent="0.3">
      <c r="B1387" s="3">
        <v>1376</v>
      </c>
      <c r="C1387" s="3">
        <v>61.850000000000009</v>
      </c>
      <c r="D1387" s="3">
        <v>0</v>
      </c>
      <c r="E1387" s="3">
        <v>2199.5</v>
      </c>
      <c r="F1387" s="3">
        <v>2261.35</v>
      </c>
    </row>
    <row r="1388" spans="2:6" x14ac:dyDescent="0.3">
      <c r="B1388" s="3">
        <v>1377</v>
      </c>
      <c r="C1388" s="3">
        <v>60.75</v>
      </c>
      <c r="D1388" s="3">
        <v>0</v>
      </c>
      <c r="E1388" s="3">
        <v>2199.5</v>
      </c>
      <c r="F1388" s="3">
        <v>2260.2499999999995</v>
      </c>
    </row>
    <row r="1389" spans="2:6" x14ac:dyDescent="0.3">
      <c r="B1389" s="3">
        <v>1378</v>
      </c>
      <c r="C1389" s="3">
        <v>60.249999999999993</v>
      </c>
      <c r="D1389" s="3">
        <v>0</v>
      </c>
      <c r="E1389" s="3">
        <v>2199.5</v>
      </c>
      <c r="F1389" s="3">
        <v>2259.7500000000005</v>
      </c>
    </row>
    <row r="1390" spans="2:6" x14ac:dyDescent="0.3">
      <c r="B1390" s="3">
        <v>1379</v>
      </c>
      <c r="C1390" s="3">
        <v>58.15</v>
      </c>
      <c r="D1390" s="3">
        <v>0</v>
      </c>
      <c r="E1390" s="3">
        <v>2199.5</v>
      </c>
      <c r="F1390" s="3">
        <v>2257.6499999999992</v>
      </c>
    </row>
    <row r="1391" spans="2:6" x14ac:dyDescent="0.3">
      <c r="B1391" s="3">
        <v>1380</v>
      </c>
      <c r="C1391" s="3">
        <v>65.05</v>
      </c>
      <c r="D1391" s="3">
        <v>0</v>
      </c>
      <c r="E1391" s="3">
        <v>2199.5</v>
      </c>
      <c r="F1391" s="3">
        <v>2264.5499999999997</v>
      </c>
    </row>
    <row r="1392" spans="2:6" x14ac:dyDescent="0.3">
      <c r="B1392" s="3">
        <v>1381</v>
      </c>
      <c r="C1392" s="3">
        <v>61.2</v>
      </c>
      <c r="D1392" s="3">
        <v>0</v>
      </c>
      <c r="E1392" s="3">
        <v>2199.5</v>
      </c>
      <c r="F1392" s="3">
        <v>2260.6999999999998</v>
      </c>
    </row>
    <row r="1393" spans="2:6" x14ac:dyDescent="0.3">
      <c r="B1393" s="3">
        <v>1382</v>
      </c>
      <c r="C1393" s="3">
        <v>61.000000000000007</v>
      </c>
      <c r="D1393" s="3">
        <v>0</v>
      </c>
      <c r="E1393" s="3">
        <v>2199.5</v>
      </c>
      <c r="F1393" s="3">
        <v>2260.5000000000005</v>
      </c>
    </row>
    <row r="1394" spans="2:6" x14ac:dyDescent="0.3">
      <c r="B1394" s="3">
        <v>1383</v>
      </c>
      <c r="C1394" s="3">
        <v>63.400000000000013</v>
      </c>
      <c r="D1394" s="3">
        <v>0</v>
      </c>
      <c r="E1394" s="3">
        <v>2199.5</v>
      </c>
      <c r="F1394" s="3">
        <v>2262.8999999999996</v>
      </c>
    </row>
    <row r="1395" spans="2:6" x14ac:dyDescent="0.3">
      <c r="B1395" s="3">
        <v>1384</v>
      </c>
      <c r="C1395" s="3">
        <v>59.899999999999991</v>
      </c>
      <c r="D1395" s="3">
        <v>0</v>
      </c>
      <c r="E1395" s="3">
        <v>2199.5</v>
      </c>
      <c r="F1395" s="3">
        <v>2259.4000000000005</v>
      </c>
    </row>
    <row r="1396" spans="2:6" x14ac:dyDescent="0.3">
      <c r="B1396" s="3">
        <v>1385</v>
      </c>
      <c r="C1396" s="3">
        <v>60.1</v>
      </c>
      <c r="D1396" s="3">
        <v>0</v>
      </c>
      <c r="E1396" s="3">
        <v>2199.5</v>
      </c>
      <c r="F1396" s="3">
        <v>2259.6</v>
      </c>
    </row>
    <row r="1397" spans="2:6" x14ac:dyDescent="0.3">
      <c r="B1397" s="3">
        <v>1386</v>
      </c>
      <c r="C1397" s="3">
        <v>65.700000000000017</v>
      </c>
      <c r="D1397" s="3">
        <v>0</v>
      </c>
      <c r="E1397" s="3">
        <v>2199.5</v>
      </c>
      <c r="F1397" s="3">
        <v>2265.2000000000003</v>
      </c>
    </row>
    <row r="1398" spans="2:6" x14ac:dyDescent="0.3">
      <c r="B1398" s="3">
        <v>1387</v>
      </c>
      <c r="C1398" s="3">
        <v>62.000000000000007</v>
      </c>
      <c r="D1398" s="3">
        <v>0</v>
      </c>
      <c r="E1398" s="3">
        <v>2199.5</v>
      </c>
      <c r="F1398" s="3">
        <v>2261.5</v>
      </c>
    </row>
    <row r="1399" spans="2:6" x14ac:dyDescent="0.3">
      <c r="B1399" s="3">
        <v>1388</v>
      </c>
      <c r="C1399" s="3">
        <v>65.40000000000002</v>
      </c>
      <c r="D1399" s="3">
        <v>0</v>
      </c>
      <c r="E1399" s="3">
        <v>2199.5</v>
      </c>
      <c r="F1399" s="3">
        <v>2264.8999999999992</v>
      </c>
    </row>
    <row r="1400" spans="2:6" x14ac:dyDescent="0.3">
      <c r="B1400" s="3">
        <v>1389</v>
      </c>
      <c r="C1400" s="3">
        <v>63.750000000000007</v>
      </c>
      <c r="D1400" s="3">
        <v>0</v>
      </c>
      <c r="E1400" s="3">
        <v>2199.5</v>
      </c>
      <c r="F1400" s="3">
        <v>2263.25</v>
      </c>
    </row>
    <row r="1401" spans="2:6" x14ac:dyDescent="0.3">
      <c r="B1401" s="3">
        <v>1390</v>
      </c>
      <c r="C1401" s="3">
        <v>57.79999999999999</v>
      </c>
      <c r="D1401" s="3">
        <v>0</v>
      </c>
      <c r="E1401" s="3">
        <v>2199.5</v>
      </c>
      <c r="F1401" s="3">
        <v>2257.3000000000002</v>
      </c>
    </row>
    <row r="1402" spans="2:6" x14ac:dyDescent="0.3">
      <c r="B1402" s="3">
        <v>1391</v>
      </c>
      <c r="C1402" s="3">
        <v>61.95</v>
      </c>
      <c r="D1402" s="3">
        <v>0</v>
      </c>
      <c r="E1402" s="3">
        <v>2199.5</v>
      </c>
      <c r="F1402" s="3">
        <v>2261.4500000000007</v>
      </c>
    </row>
    <row r="1403" spans="2:6" x14ac:dyDescent="0.3">
      <c r="B1403" s="3">
        <v>1392</v>
      </c>
      <c r="C1403" s="3">
        <v>62.350000000000009</v>
      </c>
      <c r="D1403" s="3">
        <v>0</v>
      </c>
      <c r="E1403" s="3">
        <v>2199.5</v>
      </c>
      <c r="F1403" s="3">
        <v>2261.849999999999</v>
      </c>
    </row>
    <row r="1404" spans="2:6" x14ac:dyDescent="0.3">
      <c r="B1404" s="3">
        <v>1393</v>
      </c>
      <c r="C1404" s="3">
        <v>60.850000000000023</v>
      </c>
      <c r="D1404" s="3">
        <v>0</v>
      </c>
      <c r="E1404" s="3">
        <v>2199.5</v>
      </c>
      <c r="F1404" s="3">
        <v>2260.3499999999995</v>
      </c>
    </row>
    <row r="1405" spans="2:6" x14ac:dyDescent="0.3">
      <c r="B1405" s="3">
        <v>1394</v>
      </c>
      <c r="C1405" s="3">
        <v>58.600000000000009</v>
      </c>
      <c r="D1405" s="3">
        <v>0</v>
      </c>
      <c r="E1405" s="3">
        <v>1099.75</v>
      </c>
      <c r="F1405" s="3">
        <v>1158.3499999999995</v>
      </c>
    </row>
    <row r="1406" spans="2:6" x14ac:dyDescent="0.3">
      <c r="B1406" s="3">
        <v>1395</v>
      </c>
      <c r="C1406" s="3">
        <v>57.050000000000011</v>
      </c>
      <c r="D1406" s="3">
        <v>0</v>
      </c>
      <c r="E1406" s="3">
        <v>2199.5</v>
      </c>
      <c r="F1406" s="3">
        <v>2256.5499999999993</v>
      </c>
    </row>
    <row r="1407" spans="2:6" x14ac:dyDescent="0.3">
      <c r="B1407" s="3">
        <v>1396</v>
      </c>
      <c r="C1407" s="3">
        <v>56</v>
      </c>
      <c r="D1407" s="3">
        <v>0</v>
      </c>
      <c r="E1407" s="3">
        <v>2199.5</v>
      </c>
      <c r="F1407" s="3">
        <v>2255.5</v>
      </c>
    </row>
    <row r="1408" spans="2:6" x14ac:dyDescent="0.3">
      <c r="B1408" s="3">
        <v>1397</v>
      </c>
      <c r="C1408" s="3">
        <v>61.599999999999994</v>
      </c>
      <c r="D1408" s="3">
        <v>0</v>
      </c>
      <c r="E1408" s="3">
        <v>2199.5</v>
      </c>
      <c r="F1408" s="3">
        <v>2261.1000000000004</v>
      </c>
    </row>
    <row r="1409" spans="2:6" x14ac:dyDescent="0.3">
      <c r="B1409" s="3">
        <v>1398</v>
      </c>
      <c r="C1409" s="3">
        <v>63.300000000000004</v>
      </c>
      <c r="D1409" s="3">
        <v>0</v>
      </c>
      <c r="E1409" s="3">
        <v>2199.5</v>
      </c>
      <c r="F1409" s="3">
        <v>2262.8000000000006</v>
      </c>
    </row>
    <row r="1410" spans="2:6" x14ac:dyDescent="0.3">
      <c r="B1410" s="3">
        <v>1399</v>
      </c>
      <c r="C1410" s="3">
        <v>63.1</v>
      </c>
      <c r="D1410" s="3">
        <v>0</v>
      </c>
      <c r="E1410" s="3">
        <v>2199.5</v>
      </c>
      <c r="F1410" s="3">
        <v>2262.6000000000004</v>
      </c>
    </row>
    <row r="1411" spans="2:6" x14ac:dyDescent="0.3">
      <c r="B1411" s="3">
        <v>1400</v>
      </c>
      <c r="C1411" s="3">
        <v>66.600000000000009</v>
      </c>
      <c r="D1411" s="3">
        <v>0</v>
      </c>
      <c r="E1411" s="3">
        <v>2199.5</v>
      </c>
      <c r="F1411" s="3">
        <v>2266.1</v>
      </c>
    </row>
    <row r="1412" spans="2:6" x14ac:dyDescent="0.3">
      <c r="B1412" s="3">
        <v>1401</v>
      </c>
      <c r="C1412" s="3">
        <v>60.099999999999994</v>
      </c>
      <c r="D1412" s="3">
        <v>0</v>
      </c>
      <c r="E1412" s="3">
        <v>2199.5</v>
      </c>
      <c r="F1412" s="3">
        <v>2259.6</v>
      </c>
    </row>
    <row r="1413" spans="2:6" x14ac:dyDescent="0.3">
      <c r="B1413" s="3">
        <v>1402</v>
      </c>
      <c r="C1413" s="3">
        <v>63.8</v>
      </c>
      <c r="D1413" s="3">
        <v>0</v>
      </c>
      <c r="E1413" s="3">
        <v>2199.5</v>
      </c>
      <c r="F1413" s="3">
        <v>2263.3000000000006</v>
      </c>
    </row>
    <row r="1414" spans="2:6" x14ac:dyDescent="0.3">
      <c r="B1414" s="3">
        <v>1403</v>
      </c>
      <c r="C1414" s="3">
        <v>59.350000000000009</v>
      </c>
      <c r="D1414" s="3">
        <v>0</v>
      </c>
      <c r="E1414" s="3">
        <v>2199.5</v>
      </c>
      <c r="F1414" s="3">
        <v>2258.8499999999995</v>
      </c>
    </row>
    <row r="1415" spans="2:6" x14ac:dyDescent="0.3">
      <c r="B1415" s="3">
        <v>1404</v>
      </c>
      <c r="C1415" s="3">
        <v>60.55</v>
      </c>
      <c r="D1415" s="3">
        <v>0</v>
      </c>
      <c r="E1415" s="3">
        <v>2199.5</v>
      </c>
      <c r="F1415" s="3">
        <v>2260.0500000000002</v>
      </c>
    </row>
    <row r="1416" spans="2:6" x14ac:dyDescent="0.3">
      <c r="B1416" s="3">
        <v>1405</v>
      </c>
      <c r="C1416" s="3">
        <v>63.800000000000004</v>
      </c>
      <c r="D1416" s="3">
        <v>0</v>
      </c>
      <c r="E1416" s="3">
        <v>2199.5</v>
      </c>
      <c r="F1416" s="3">
        <v>2263.3000000000006</v>
      </c>
    </row>
    <row r="1417" spans="2:6" x14ac:dyDescent="0.3">
      <c r="B1417" s="3">
        <v>1406</v>
      </c>
      <c r="C1417" s="3">
        <v>62.500000000000028</v>
      </c>
      <c r="D1417" s="3">
        <v>0</v>
      </c>
      <c r="E1417" s="3">
        <v>2199.5</v>
      </c>
      <c r="F1417" s="3">
        <v>2262</v>
      </c>
    </row>
    <row r="1418" spans="2:6" x14ac:dyDescent="0.3">
      <c r="B1418" s="3">
        <v>1407</v>
      </c>
      <c r="C1418" s="3">
        <v>60.600000000000009</v>
      </c>
      <c r="D1418" s="3">
        <v>0</v>
      </c>
      <c r="E1418" s="3">
        <v>1099.75</v>
      </c>
      <c r="F1418" s="3">
        <v>1160.3499999999999</v>
      </c>
    </row>
    <row r="1419" spans="2:6" x14ac:dyDescent="0.3">
      <c r="B1419" s="3">
        <v>1408</v>
      </c>
      <c r="C1419" s="3">
        <v>63.399999999999984</v>
      </c>
      <c r="D1419" s="3">
        <v>0</v>
      </c>
      <c r="E1419" s="3">
        <v>2199.5</v>
      </c>
      <c r="F1419" s="3">
        <v>2262.9000000000015</v>
      </c>
    </row>
    <row r="1420" spans="2:6" x14ac:dyDescent="0.3">
      <c r="B1420" s="3">
        <v>1409</v>
      </c>
      <c r="C1420" s="3">
        <v>59.349999999999987</v>
      </c>
      <c r="D1420" s="3">
        <v>0</v>
      </c>
      <c r="E1420" s="3">
        <v>2199.5</v>
      </c>
      <c r="F1420" s="3">
        <v>2258.8500000000013</v>
      </c>
    </row>
    <row r="1421" spans="2:6" x14ac:dyDescent="0.3">
      <c r="B1421" s="3">
        <v>1410</v>
      </c>
      <c r="C1421" s="3">
        <v>60.55</v>
      </c>
      <c r="D1421" s="3">
        <v>0</v>
      </c>
      <c r="E1421" s="3">
        <v>1099.75</v>
      </c>
      <c r="F1421" s="3">
        <v>1160.3000000000004</v>
      </c>
    </row>
    <row r="1422" spans="2:6" x14ac:dyDescent="0.3">
      <c r="B1422" s="3">
        <v>1411</v>
      </c>
      <c r="C1422" s="3">
        <v>63.800000000000004</v>
      </c>
      <c r="D1422" s="3">
        <v>0</v>
      </c>
      <c r="E1422" s="3">
        <v>2199.5</v>
      </c>
      <c r="F1422" s="3">
        <v>2263.3000000000002</v>
      </c>
    </row>
    <row r="1423" spans="2:6" x14ac:dyDescent="0.3">
      <c r="B1423" s="3">
        <v>1412</v>
      </c>
      <c r="C1423" s="3">
        <v>64.75</v>
      </c>
      <c r="D1423" s="3">
        <v>0</v>
      </c>
      <c r="E1423" s="3">
        <v>2199.5</v>
      </c>
      <c r="F1423" s="3">
        <v>2264.2499999999995</v>
      </c>
    </row>
    <row r="1424" spans="2:6" x14ac:dyDescent="0.3">
      <c r="B1424" s="3">
        <v>1413</v>
      </c>
      <c r="C1424" s="3">
        <v>56.500000000000007</v>
      </c>
      <c r="D1424" s="3">
        <v>0</v>
      </c>
      <c r="E1424" s="3">
        <v>2199.5</v>
      </c>
      <c r="F1424" s="3">
        <v>2256</v>
      </c>
    </row>
    <row r="1425" spans="2:6" x14ac:dyDescent="0.3">
      <c r="B1425" s="3">
        <v>1414</v>
      </c>
      <c r="C1425" s="3">
        <v>64.25</v>
      </c>
      <c r="D1425" s="3">
        <v>0</v>
      </c>
      <c r="E1425" s="3">
        <v>2199.5</v>
      </c>
      <c r="F1425" s="3">
        <v>2263.75</v>
      </c>
    </row>
    <row r="1426" spans="2:6" x14ac:dyDescent="0.3">
      <c r="B1426" s="3">
        <v>1415</v>
      </c>
      <c r="C1426" s="3">
        <v>63.65</v>
      </c>
      <c r="D1426" s="3">
        <v>0</v>
      </c>
      <c r="E1426" s="3">
        <v>2199.5</v>
      </c>
      <c r="F1426" s="3">
        <v>2263.1499999999996</v>
      </c>
    </row>
    <row r="1427" spans="2:6" x14ac:dyDescent="0.3">
      <c r="B1427" s="3">
        <v>1416</v>
      </c>
      <c r="C1427" s="3">
        <v>61.5</v>
      </c>
      <c r="D1427" s="3">
        <v>0</v>
      </c>
      <c r="E1427" s="3">
        <v>2199.5</v>
      </c>
      <c r="F1427" s="3">
        <v>2261</v>
      </c>
    </row>
    <row r="1428" spans="2:6" x14ac:dyDescent="0.3">
      <c r="B1428" s="3">
        <v>1417</v>
      </c>
      <c r="C1428" s="3">
        <v>63.650000000000013</v>
      </c>
      <c r="D1428" s="3">
        <v>0</v>
      </c>
      <c r="E1428" s="3">
        <v>2199.5</v>
      </c>
      <c r="F1428" s="3">
        <v>2263.1500000000005</v>
      </c>
    </row>
    <row r="1429" spans="2:6" x14ac:dyDescent="0.3">
      <c r="B1429" s="3">
        <v>1418</v>
      </c>
      <c r="C1429" s="3">
        <v>63.5</v>
      </c>
      <c r="D1429" s="3">
        <v>0</v>
      </c>
      <c r="E1429" s="3">
        <v>2199.5</v>
      </c>
      <c r="F1429" s="3">
        <v>2263</v>
      </c>
    </row>
    <row r="1430" spans="2:6" x14ac:dyDescent="0.3">
      <c r="B1430" s="3">
        <v>1419</v>
      </c>
      <c r="C1430" s="3">
        <v>59.15000000000002</v>
      </c>
      <c r="D1430" s="3">
        <v>0</v>
      </c>
      <c r="E1430" s="3">
        <v>2199.5</v>
      </c>
      <c r="F1430" s="3">
        <v>2258.65</v>
      </c>
    </row>
    <row r="1431" spans="2:6" x14ac:dyDescent="0.3">
      <c r="B1431" s="3">
        <v>1420</v>
      </c>
      <c r="C1431" s="3">
        <v>66.399999999999991</v>
      </c>
      <c r="D1431" s="3">
        <v>0</v>
      </c>
      <c r="E1431" s="3">
        <v>2199.5</v>
      </c>
      <c r="F1431" s="3">
        <v>2265.9000000000005</v>
      </c>
    </row>
    <row r="1432" spans="2:6" x14ac:dyDescent="0.3">
      <c r="B1432" s="3">
        <v>1421</v>
      </c>
      <c r="C1432" s="3">
        <v>60.900000000000006</v>
      </c>
      <c r="D1432" s="3">
        <v>0</v>
      </c>
      <c r="E1432" s="3">
        <v>2199.5</v>
      </c>
      <c r="F1432" s="3">
        <v>2260.3999999999992</v>
      </c>
    </row>
    <row r="1433" spans="2:6" x14ac:dyDescent="0.3">
      <c r="B1433" s="3">
        <v>1422</v>
      </c>
      <c r="C1433" s="3">
        <v>62.65000000000002</v>
      </c>
      <c r="D1433" s="3">
        <v>0</v>
      </c>
      <c r="E1433" s="3">
        <v>2199.5</v>
      </c>
      <c r="F1433" s="3">
        <v>2262.1499999999992</v>
      </c>
    </row>
    <row r="1434" spans="2:6" x14ac:dyDescent="0.3">
      <c r="B1434" s="3">
        <v>1423</v>
      </c>
      <c r="C1434" s="3">
        <v>60.949999999999996</v>
      </c>
      <c r="D1434" s="3">
        <v>0</v>
      </c>
      <c r="E1434" s="3">
        <v>2199.5</v>
      </c>
      <c r="F1434" s="3">
        <v>2260.4499999999998</v>
      </c>
    </row>
    <row r="1435" spans="2:6" x14ac:dyDescent="0.3">
      <c r="B1435" s="3">
        <v>1424</v>
      </c>
      <c r="C1435" s="3">
        <v>67.900000000000006</v>
      </c>
      <c r="D1435" s="3">
        <v>0</v>
      </c>
      <c r="E1435" s="3">
        <v>2199.5</v>
      </c>
      <c r="F1435" s="3">
        <v>2267.3999999999996</v>
      </c>
    </row>
    <row r="1436" spans="2:6" x14ac:dyDescent="0.3">
      <c r="B1436" s="3">
        <v>1425</v>
      </c>
      <c r="C1436" s="3">
        <v>60.300000000000004</v>
      </c>
      <c r="D1436" s="3">
        <v>0</v>
      </c>
      <c r="E1436" s="3">
        <v>2199.5</v>
      </c>
      <c r="F1436" s="3">
        <v>2259.7999999999997</v>
      </c>
    </row>
    <row r="1437" spans="2:6" x14ac:dyDescent="0.3">
      <c r="B1437" s="3">
        <v>1426</v>
      </c>
      <c r="C1437" s="3">
        <v>63.850000000000009</v>
      </c>
      <c r="D1437" s="3">
        <v>0</v>
      </c>
      <c r="E1437" s="3">
        <v>2199.5</v>
      </c>
      <c r="F1437" s="3">
        <v>2263.35</v>
      </c>
    </row>
    <row r="1438" spans="2:6" x14ac:dyDescent="0.3">
      <c r="B1438" s="3">
        <v>1427</v>
      </c>
      <c r="C1438" s="3">
        <v>60</v>
      </c>
      <c r="D1438" s="3">
        <v>0</v>
      </c>
      <c r="E1438" s="3">
        <v>2199.5</v>
      </c>
      <c r="F1438" s="3">
        <v>2259.4999999999995</v>
      </c>
    </row>
    <row r="1439" spans="2:6" x14ac:dyDescent="0.3">
      <c r="B1439" s="3">
        <v>1428</v>
      </c>
      <c r="C1439" s="3">
        <v>63.04999999999999</v>
      </c>
      <c r="D1439" s="3">
        <v>0</v>
      </c>
      <c r="E1439" s="3">
        <v>2199.5</v>
      </c>
      <c r="F1439" s="3">
        <v>2262.5499999999997</v>
      </c>
    </row>
    <row r="1440" spans="2:6" x14ac:dyDescent="0.3">
      <c r="B1440" s="3">
        <v>1429</v>
      </c>
      <c r="C1440" s="3">
        <v>60.800000000000004</v>
      </c>
      <c r="D1440" s="3">
        <v>0</v>
      </c>
      <c r="E1440" s="3">
        <v>2199.5</v>
      </c>
      <c r="F1440" s="3">
        <v>2260.2999999999993</v>
      </c>
    </row>
    <row r="1441" spans="2:6" x14ac:dyDescent="0.3">
      <c r="B1441" s="3">
        <v>1430</v>
      </c>
      <c r="C1441" s="3">
        <v>62.79999999999999</v>
      </c>
      <c r="D1441" s="3">
        <v>0</v>
      </c>
      <c r="E1441" s="3">
        <v>2199.5</v>
      </c>
      <c r="F1441" s="3">
        <v>2262.3000000000011</v>
      </c>
    </row>
    <row r="1442" spans="2:6" x14ac:dyDescent="0.3">
      <c r="B1442" s="3">
        <v>1431</v>
      </c>
      <c r="C1442" s="3">
        <v>60.249999999999993</v>
      </c>
      <c r="D1442" s="3">
        <v>0</v>
      </c>
      <c r="E1442" s="3">
        <v>2199.5</v>
      </c>
      <c r="F1442" s="3">
        <v>2259.75</v>
      </c>
    </row>
    <row r="1443" spans="2:6" x14ac:dyDescent="0.3">
      <c r="B1443" s="3">
        <v>1432</v>
      </c>
      <c r="C1443" s="3">
        <v>62.900000000000027</v>
      </c>
      <c r="D1443" s="3">
        <v>0</v>
      </c>
      <c r="E1443" s="3">
        <v>2199.5</v>
      </c>
      <c r="F1443" s="3">
        <v>2262.3999999999996</v>
      </c>
    </row>
    <row r="1444" spans="2:6" x14ac:dyDescent="0.3">
      <c r="B1444" s="3">
        <v>1433</v>
      </c>
      <c r="C1444" s="3">
        <v>65.899999999999977</v>
      </c>
      <c r="D1444" s="3">
        <v>0</v>
      </c>
      <c r="E1444" s="3">
        <v>2199.5</v>
      </c>
      <c r="F1444" s="3">
        <v>2265.4</v>
      </c>
    </row>
    <row r="1445" spans="2:6" x14ac:dyDescent="0.3">
      <c r="B1445" s="3">
        <v>1434</v>
      </c>
      <c r="C1445" s="3">
        <v>61.349999999999987</v>
      </c>
      <c r="D1445" s="3">
        <v>0</v>
      </c>
      <c r="E1445" s="3">
        <v>2199.5</v>
      </c>
      <c r="F1445" s="3">
        <v>2260.85</v>
      </c>
    </row>
    <row r="1446" spans="2:6" x14ac:dyDescent="0.3">
      <c r="B1446" s="3">
        <v>1435</v>
      </c>
      <c r="C1446" s="3">
        <v>61.300000000000004</v>
      </c>
      <c r="D1446" s="3">
        <v>0</v>
      </c>
      <c r="E1446" s="3">
        <v>2199.5</v>
      </c>
      <c r="F1446" s="3">
        <v>2260.7999999999997</v>
      </c>
    </row>
    <row r="1447" spans="2:6" x14ac:dyDescent="0.3">
      <c r="B1447" s="3">
        <v>1436</v>
      </c>
      <c r="C1447" s="3">
        <v>63.700000000000017</v>
      </c>
      <c r="D1447" s="3">
        <v>0</v>
      </c>
      <c r="E1447" s="3">
        <v>2199.5</v>
      </c>
      <c r="F1447" s="3">
        <v>2263.1999999999998</v>
      </c>
    </row>
    <row r="1448" spans="2:6" x14ac:dyDescent="0.3">
      <c r="B1448" s="3">
        <v>1437</v>
      </c>
      <c r="C1448" s="3">
        <v>67.749999999999986</v>
      </c>
      <c r="D1448" s="3">
        <v>0</v>
      </c>
      <c r="E1448" s="3">
        <v>2199.5</v>
      </c>
      <c r="F1448" s="3">
        <v>2267.25</v>
      </c>
    </row>
    <row r="1449" spans="2:6" x14ac:dyDescent="0.3">
      <c r="B1449" s="3">
        <v>1438</v>
      </c>
      <c r="C1449" s="3">
        <v>61.550000000000026</v>
      </c>
      <c r="D1449" s="3">
        <v>0</v>
      </c>
      <c r="E1449" s="3">
        <v>2199.5</v>
      </c>
      <c r="F1449" s="3">
        <v>2261.0499999999997</v>
      </c>
    </row>
    <row r="1450" spans="2:6" x14ac:dyDescent="0.3">
      <c r="B1450" s="3">
        <v>1439</v>
      </c>
      <c r="C1450" s="3">
        <v>60.4</v>
      </c>
      <c r="D1450" s="3">
        <v>0</v>
      </c>
      <c r="E1450" s="3">
        <v>2199.5</v>
      </c>
      <c r="F1450" s="3">
        <v>2259.9</v>
      </c>
    </row>
    <row r="1451" spans="2:6" x14ac:dyDescent="0.3">
      <c r="B1451" s="3">
        <v>1440</v>
      </c>
      <c r="C1451" s="3">
        <v>64.149999999999991</v>
      </c>
      <c r="D1451" s="3">
        <v>0</v>
      </c>
      <c r="E1451" s="3">
        <v>2199.5</v>
      </c>
      <c r="F1451" s="3">
        <v>2263.6500000000005</v>
      </c>
    </row>
    <row r="1452" spans="2:6" x14ac:dyDescent="0.3">
      <c r="B1452" s="3">
        <v>1441</v>
      </c>
      <c r="C1452" s="3">
        <v>62.9</v>
      </c>
      <c r="D1452" s="3">
        <v>0</v>
      </c>
      <c r="E1452" s="3">
        <v>2199.5</v>
      </c>
      <c r="F1452" s="3">
        <v>2262.3999999999996</v>
      </c>
    </row>
    <row r="1453" spans="2:6" x14ac:dyDescent="0.3">
      <c r="B1453" s="3">
        <v>1442</v>
      </c>
      <c r="C1453" s="3">
        <v>61.050000000000011</v>
      </c>
      <c r="D1453" s="3">
        <v>0</v>
      </c>
      <c r="E1453" s="3">
        <v>2199.5</v>
      </c>
      <c r="F1453" s="3">
        <v>2260.5499999999997</v>
      </c>
    </row>
    <row r="1454" spans="2:6" x14ac:dyDescent="0.3">
      <c r="B1454" s="3">
        <v>1443</v>
      </c>
      <c r="C1454" s="3">
        <v>62.15000000000002</v>
      </c>
      <c r="D1454" s="3">
        <v>0</v>
      </c>
      <c r="E1454" s="3">
        <v>2199.5</v>
      </c>
      <c r="F1454" s="3">
        <v>2261.6499999999996</v>
      </c>
    </row>
    <row r="1455" spans="2:6" x14ac:dyDescent="0.3">
      <c r="B1455" s="3">
        <v>1444</v>
      </c>
      <c r="C1455" s="3">
        <v>61.8</v>
      </c>
      <c r="D1455" s="3">
        <v>0</v>
      </c>
      <c r="E1455" s="3">
        <v>2199.5</v>
      </c>
      <c r="F1455" s="3">
        <v>2261.3000000000002</v>
      </c>
    </row>
    <row r="1456" spans="2:6" x14ac:dyDescent="0.3">
      <c r="B1456" s="3">
        <v>1445</v>
      </c>
      <c r="C1456" s="3">
        <v>64.900000000000006</v>
      </c>
      <c r="D1456" s="3">
        <v>0</v>
      </c>
      <c r="E1456" s="3">
        <v>2199.5</v>
      </c>
      <c r="F1456" s="3">
        <v>2264.4</v>
      </c>
    </row>
    <row r="1457" spans="2:6" x14ac:dyDescent="0.3">
      <c r="B1457" s="3">
        <v>1446</v>
      </c>
      <c r="C1457" s="3">
        <v>57.9</v>
      </c>
      <c r="D1457" s="3">
        <v>0</v>
      </c>
      <c r="E1457" s="3">
        <v>2199.5</v>
      </c>
      <c r="F1457" s="3">
        <v>2257.4</v>
      </c>
    </row>
    <row r="1458" spans="2:6" x14ac:dyDescent="0.3">
      <c r="B1458" s="3">
        <v>1447</v>
      </c>
      <c r="C1458" s="3">
        <v>60.449999999999996</v>
      </c>
      <c r="D1458" s="3">
        <v>0</v>
      </c>
      <c r="E1458" s="3">
        <v>2199.5</v>
      </c>
      <c r="F1458" s="3">
        <v>2259.9499999999998</v>
      </c>
    </row>
    <row r="1459" spans="2:6" x14ac:dyDescent="0.3">
      <c r="B1459" s="3">
        <v>1448</v>
      </c>
      <c r="C1459" s="3">
        <v>60.899999999999991</v>
      </c>
      <c r="D1459" s="3">
        <v>0</v>
      </c>
      <c r="E1459" s="3">
        <v>2199.5</v>
      </c>
      <c r="F1459" s="3">
        <v>2260.4</v>
      </c>
    </row>
    <row r="1460" spans="2:6" x14ac:dyDescent="0.3">
      <c r="B1460" s="3">
        <v>1449</v>
      </c>
      <c r="C1460" s="3">
        <v>65.05</v>
      </c>
      <c r="D1460" s="3">
        <v>0</v>
      </c>
      <c r="E1460" s="3">
        <v>2199.5</v>
      </c>
      <c r="F1460" s="3">
        <v>2264.5499999999997</v>
      </c>
    </row>
    <row r="1461" spans="2:6" x14ac:dyDescent="0.3">
      <c r="B1461" s="3">
        <v>1450</v>
      </c>
      <c r="C1461" s="3">
        <v>59.95</v>
      </c>
      <c r="D1461" s="3">
        <v>0</v>
      </c>
      <c r="E1461" s="3">
        <v>1099.75</v>
      </c>
      <c r="F1461" s="3">
        <v>1159.7</v>
      </c>
    </row>
    <row r="1462" spans="2:6" x14ac:dyDescent="0.3">
      <c r="B1462" s="3">
        <v>1451</v>
      </c>
      <c r="C1462" s="3">
        <v>67.250000000000014</v>
      </c>
      <c r="D1462" s="3">
        <v>0</v>
      </c>
      <c r="E1462" s="3">
        <v>2199.5</v>
      </c>
      <c r="F1462" s="3">
        <v>2266.75</v>
      </c>
    </row>
    <row r="1463" spans="2:6" x14ac:dyDescent="0.3">
      <c r="B1463" s="3">
        <v>1452</v>
      </c>
      <c r="C1463" s="3">
        <v>59.250000000000014</v>
      </c>
      <c r="D1463" s="3">
        <v>0</v>
      </c>
      <c r="E1463" s="3">
        <v>2199.5</v>
      </c>
      <c r="F1463" s="3">
        <v>2258.7500000000005</v>
      </c>
    </row>
    <row r="1464" spans="2:6" x14ac:dyDescent="0.3">
      <c r="B1464" s="3">
        <v>1453</v>
      </c>
      <c r="C1464" s="3">
        <v>60.9</v>
      </c>
      <c r="D1464" s="3">
        <v>0</v>
      </c>
      <c r="E1464" s="3">
        <v>2199.5</v>
      </c>
      <c r="F1464" s="3">
        <v>2260.3999999999996</v>
      </c>
    </row>
    <row r="1465" spans="2:6" x14ac:dyDescent="0.3">
      <c r="B1465" s="3">
        <v>1454</v>
      </c>
      <c r="C1465" s="3">
        <v>62</v>
      </c>
      <c r="D1465" s="3">
        <v>0</v>
      </c>
      <c r="E1465" s="3">
        <v>2199.5</v>
      </c>
      <c r="F1465" s="3">
        <v>2261.5</v>
      </c>
    </row>
    <row r="1466" spans="2:6" x14ac:dyDescent="0.3">
      <c r="B1466" s="3">
        <v>1455</v>
      </c>
      <c r="C1466" s="3">
        <v>62.449999999999996</v>
      </c>
      <c r="D1466" s="3">
        <v>0</v>
      </c>
      <c r="E1466" s="3">
        <v>2199.5</v>
      </c>
      <c r="F1466" s="3">
        <v>2261.9500000000003</v>
      </c>
    </row>
    <row r="1467" spans="2:6" x14ac:dyDescent="0.3">
      <c r="B1467" s="3">
        <v>1456</v>
      </c>
      <c r="C1467" s="3">
        <v>61.95000000000001</v>
      </c>
      <c r="D1467" s="3">
        <v>0</v>
      </c>
      <c r="E1467" s="3">
        <v>2199.5</v>
      </c>
      <c r="F1467" s="3">
        <v>2261.4499999999998</v>
      </c>
    </row>
    <row r="1468" spans="2:6" x14ac:dyDescent="0.3">
      <c r="B1468" s="3">
        <v>1457</v>
      </c>
      <c r="C1468" s="3">
        <v>62.900000000000013</v>
      </c>
      <c r="D1468" s="3">
        <v>0</v>
      </c>
      <c r="E1468" s="3">
        <v>2199.5</v>
      </c>
      <c r="F1468" s="3">
        <v>2262.4</v>
      </c>
    </row>
    <row r="1469" spans="2:6" x14ac:dyDescent="0.3">
      <c r="B1469" s="3">
        <v>1458</v>
      </c>
      <c r="C1469" s="3">
        <v>63.250000000000007</v>
      </c>
      <c r="D1469" s="3">
        <v>0</v>
      </c>
      <c r="E1469" s="3">
        <v>2199.5</v>
      </c>
      <c r="F1469" s="3">
        <v>2262.7499999999995</v>
      </c>
    </row>
    <row r="1470" spans="2:6" x14ac:dyDescent="0.3">
      <c r="B1470" s="3">
        <v>1459</v>
      </c>
      <c r="C1470" s="3">
        <v>62.500000000000007</v>
      </c>
      <c r="D1470" s="3">
        <v>0</v>
      </c>
      <c r="E1470" s="3">
        <v>1099.75</v>
      </c>
      <c r="F1470" s="3">
        <v>1162.2499999999995</v>
      </c>
    </row>
    <row r="1471" spans="2:6" x14ac:dyDescent="0.3">
      <c r="B1471" s="3">
        <v>1460</v>
      </c>
      <c r="C1471" s="3">
        <v>60.15</v>
      </c>
      <c r="D1471" s="3">
        <v>0</v>
      </c>
      <c r="E1471" s="3">
        <v>2199.5</v>
      </c>
      <c r="F1471" s="3">
        <v>2259.6500000000005</v>
      </c>
    </row>
    <row r="1472" spans="2:6" x14ac:dyDescent="0.3">
      <c r="B1472" s="3">
        <v>1461</v>
      </c>
      <c r="C1472" s="3">
        <v>56.999999999999993</v>
      </c>
      <c r="D1472" s="3">
        <v>0</v>
      </c>
      <c r="E1472" s="3">
        <v>2199.5</v>
      </c>
      <c r="F1472" s="3">
        <v>2256.5</v>
      </c>
    </row>
    <row r="1473" spans="2:6" x14ac:dyDescent="0.3">
      <c r="B1473" s="3">
        <v>1462</v>
      </c>
      <c r="C1473" s="3">
        <v>61.95</v>
      </c>
      <c r="D1473" s="3">
        <v>0</v>
      </c>
      <c r="E1473" s="3">
        <v>2199.5</v>
      </c>
      <c r="F1473" s="3">
        <v>2261.4500000000007</v>
      </c>
    </row>
    <row r="1474" spans="2:6" x14ac:dyDescent="0.3">
      <c r="B1474" s="3">
        <v>1463</v>
      </c>
      <c r="C1474" s="3">
        <v>59.349999999999987</v>
      </c>
      <c r="D1474" s="3">
        <v>0</v>
      </c>
      <c r="E1474" s="3">
        <v>2199.5</v>
      </c>
      <c r="F1474" s="3">
        <v>2258.8500000000004</v>
      </c>
    </row>
    <row r="1475" spans="2:6" x14ac:dyDescent="0.3">
      <c r="B1475" s="3">
        <v>1464</v>
      </c>
      <c r="C1475" s="3">
        <v>61.500000000000014</v>
      </c>
      <c r="D1475" s="3">
        <v>0</v>
      </c>
      <c r="E1475" s="3">
        <v>2199.5</v>
      </c>
      <c r="F1475" s="3">
        <v>2260.9999999999995</v>
      </c>
    </row>
    <row r="1476" spans="2:6" x14ac:dyDescent="0.3">
      <c r="B1476" s="3">
        <v>1465</v>
      </c>
      <c r="C1476" s="3">
        <v>64.55</v>
      </c>
      <c r="D1476" s="3">
        <v>0</v>
      </c>
      <c r="E1476" s="3">
        <v>2199.5</v>
      </c>
      <c r="F1476" s="3">
        <v>2264.0500000000006</v>
      </c>
    </row>
    <row r="1477" spans="2:6" x14ac:dyDescent="0.3">
      <c r="B1477" s="3">
        <v>1466</v>
      </c>
      <c r="C1477" s="3">
        <v>60.900000000000006</v>
      </c>
      <c r="D1477" s="3">
        <v>0</v>
      </c>
      <c r="E1477" s="3">
        <v>1099.75</v>
      </c>
      <c r="F1477" s="3">
        <v>1160.6499999999999</v>
      </c>
    </row>
    <row r="1478" spans="2:6" x14ac:dyDescent="0.3">
      <c r="B1478" s="3">
        <v>1467</v>
      </c>
      <c r="C1478" s="3">
        <v>61</v>
      </c>
      <c r="D1478" s="3">
        <v>0</v>
      </c>
      <c r="E1478" s="3">
        <v>2199.5</v>
      </c>
      <c r="F1478" s="3">
        <v>2260.5000000000005</v>
      </c>
    </row>
    <row r="1479" spans="2:6" x14ac:dyDescent="0.3">
      <c r="B1479" s="3">
        <v>1468</v>
      </c>
      <c r="C1479" s="3">
        <v>63.45</v>
      </c>
      <c r="D1479" s="3">
        <v>0</v>
      </c>
      <c r="E1479" s="3">
        <v>2199.5</v>
      </c>
      <c r="F1479" s="3">
        <v>2262.9499999999998</v>
      </c>
    </row>
    <row r="1480" spans="2:6" x14ac:dyDescent="0.3">
      <c r="B1480" s="3">
        <v>1469</v>
      </c>
      <c r="C1480" s="3">
        <v>60.750000000000007</v>
      </c>
      <c r="D1480" s="3">
        <v>0</v>
      </c>
      <c r="E1480" s="3">
        <v>2199.5</v>
      </c>
      <c r="F1480" s="3">
        <v>2260.25</v>
      </c>
    </row>
    <row r="1481" spans="2:6" x14ac:dyDescent="0.3">
      <c r="B1481" s="3">
        <v>1470</v>
      </c>
      <c r="C1481" s="3">
        <v>57.199999999999996</v>
      </c>
      <c r="D1481" s="3">
        <v>0</v>
      </c>
      <c r="E1481" s="3">
        <v>2199.5</v>
      </c>
      <c r="F1481" s="3">
        <v>2256.7000000000003</v>
      </c>
    </row>
    <row r="1482" spans="2:6" x14ac:dyDescent="0.3">
      <c r="B1482" s="3">
        <v>1471</v>
      </c>
      <c r="C1482" s="3">
        <v>55.05</v>
      </c>
      <c r="D1482" s="3">
        <v>0</v>
      </c>
      <c r="E1482" s="3">
        <v>2199.5</v>
      </c>
      <c r="F1482" s="3">
        <v>2254.5500000000002</v>
      </c>
    </row>
    <row r="1483" spans="2:6" x14ac:dyDescent="0.3">
      <c r="B1483" s="3">
        <v>1472</v>
      </c>
      <c r="C1483" s="3">
        <v>63.84999999999998</v>
      </c>
      <c r="D1483" s="3">
        <v>0</v>
      </c>
      <c r="E1483" s="3">
        <v>2199.5</v>
      </c>
      <c r="F1483" s="3">
        <v>2263.3500000000004</v>
      </c>
    </row>
    <row r="1484" spans="2:6" x14ac:dyDescent="0.3">
      <c r="B1484" s="3">
        <v>1473</v>
      </c>
      <c r="C1484" s="3">
        <v>64.300000000000026</v>
      </c>
      <c r="D1484" s="3">
        <v>0</v>
      </c>
      <c r="E1484" s="3">
        <v>2199.5</v>
      </c>
      <c r="F1484" s="3">
        <v>2263.8000000000002</v>
      </c>
    </row>
    <row r="1485" spans="2:6" x14ac:dyDescent="0.3">
      <c r="B1485" s="3">
        <v>1474</v>
      </c>
      <c r="C1485" s="3">
        <v>60.25</v>
      </c>
      <c r="D1485" s="3">
        <v>0</v>
      </c>
      <c r="E1485" s="3">
        <v>1099.75</v>
      </c>
      <c r="F1485" s="3">
        <v>1160.0000000000002</v>
      </c>
    </row>
    <row r="1486" spans="2:6" x14ac:dyDescent="0.3">
      <c r="B1486" s="3">
        <v>1475</v>
      </c>
      <c r="C1486" s="3">
        <v>64.700000000000017</v>
      </c>
      <c r="D1486" s="3">
        <v>0</v>
      </c>
      <c r="E1486" s="3">
        <v>2199.5</v>
      </c>
      <c r="F1486" s="3">
        <v>2264.1999999999998</v>
      </c>
    </row>
    <row r="1487" spans="2:6" x14ac:dyDescent="0.3">
      <c r="B1487" s="3">
        <v>1476</v>
      </c>
      <c r="C1487" s="3">
        <v>64.099999999999994</v>
      </c>
      <c r="D1487" s="3">
        <v>0</v>
      </c>
      <c r="E1487" s="3">
        <v>2199.5</v>
      </c>
      <c r="F1487" s="3">
        <v>2263.6000000000004</v>
      </c>
    </row>
    <row r="1488" spans="2:6" x14ac:dyDescent="0.3">
      <c r="B1488" s="3">
        <v>1477</v>
      </c>
      <c r="C1488" s="3">
        <v>64.8</v>
      </c>
      <c r="D1488" s="3">
        <v>0</v>
      </c>
      <c r="E1488" s="3">
        <v>2199.5</v>
      </c>
      <c r="F1488" s="3">
        <v>2264.3000000000002</v>
      </c>
    </row>
    <row r="1489" spans="2:6" x14ac:dyDescent="0.3">
      <c r="B1489" s="3">
        <v>1478</v>
      </c>
      <c r="C1489" s="3">
        <v>61.650000000000006</v>
      </c>
      <c r="D1489" s="3">
        <v>0</v>
      </c>
      <c r="E1489" s="3">
        <v>2199.5</v>
      </c>
      <c r="F1489" s="3">
        <v>2261.1499999999996</v>
      </c>
    </row>
    <row r="1490" spans="2:6" x14ac:dyDescent="0.3">
      <c r="B1490" s="3">
        <v>1479</v>
      </c>
      <c r="C1490" s="3">
        <v>62.800000000000004</v>
      </c>
      <c r="D1490" s="3">
        <v>0</v>
      </c>
      <c r="E1490" s="3">
        <v>2199.5</v>
      </c>
      <c r="F1490" s="3">
        <v>2262.2999999999993</v>
      </c>
    </row>
    <row r="1491" spans="2:6" x14ac:dyDescent="0.3">
      <c r="B1491" s="3">
        <v>1480</v>
      </c>
      <c r="C1491" s="3">
        <v>65.149999999999991</v>
      </c>
      <c r="D1491" s="3">
        <v>0</v>
      </c>
      <c r="E1491" s="3">
        <v>2199.5</v>
      </c>
      <c r="F1491" s="3">
        <v>2264.65</v>
      </c>
    </row>
    <row r="1492" spans="2:6" x14ac:dyDescent="0.3">
      <c r="B1492" s="3">
        <v>1481</v>
      </c>
      <c r="C1492" s="3">
        <v>64.400000000000006</v>
      </c>
      <c r="D1492" s="3">
        <v>0</v>
      </c>
      <c r="E1492" s="3">
        <v>2199.5</v>
      </c>
      <c r="F1492" s="3">
        <v>2263.9</v>
      </c>
    </row>
    <row r="1493" spans="2:6" x14ac:dyDescent="0.3">
      <c r="B1493" s="3">
        <v>1482</v>
      </c>
      <c r="C1493" s="3">
        <v>58.800000000000011</v>
      </c>
      <c r="D1493" s="3">
        <v>0</v>
      </c>
      <c r="E1493" s="3">
        <v>2199.5</v>
      </c>
      <c r="F1493" s="3">
        <v>2258.2999999999993</v>
      </c>
    </row>
    <row r="1494" spans="2:6" x14ac:dyDescent="0.3">
      <c r="B1494" s="3">
        <v>1483</v>
      </c>
      <c r="C1494" s="3">
        <v>61.699999999999996</v>
      </c>
      <c r="D1494" s="3">
        <v>0</v>
      </c>
      <c r="E1494" s="3">
        <v>2199.5</v>
      </c>
      <c r="F1494" s="3">
        <v>2261.1999999999998</v>
      </c>
    </row>
    <row r="1495" spans="2:6" x14ac:dyDescent="0.3">
      <c r="B1495" s="3">
        <v>1484</v>
      </c>
      <c r="C1495" s="3">
        <v>67.8</v>
      </c>
      <c r="D1495" s="3">
        <v>0</v>
      </c>
      <c r="E1495" s="3">
        <v>2199.5</v>
      </c>
      <c r="F1495" s="3">
        <v>2267.3000000000002</v>
      </c>
    </row>
    <row r="1496" spans="2:6" x14ac:dyDescent="0.3">
      <c r="B1496" s="3">
        <v>1485</v>
      </c>
      <c r="C1496" s="3">
        <v>67.100000000000009</v>
      </c>
      <c r="D1496" s="3">
        <v>0</v>
      </c>
      <c r="E1496" s="3">
        <v>2199.5</v>
      </c>
      <c r="F1496" s="3">
        <v>2266.6</v>
      </c>
    </row>
    <row r="1497" spans="2:6" x14ac:dyDescent="0.3">
      <c r="B1497" s="3">
        <v>1486</v>
      </c>
      <c r="C1497" s="3">
        <v>64.050000000000011</v>
      </c>
      <c r="D1497" s="3">
        <v>0</v>
      </c>
      <c r="E1497" s="3">
        <v>2199.5</v>
      </c>
      <c r="F1497" s="3">
        <v>2263.5499999999997</v>
      </c>
    </row>
    <row r="1498" spans="2:6" x14ac:dyDescent="0.3">
      <c r="B1498" s="3">
        <v>1487</v>
      </c>
      <c r="C1498" s="3">
        <v>58.850000000000009</v>
      </c>
      <c r="D1498" s="3">
        <v>0</v>
      </c>
      <c r="E1498" s="3">
        <v>2199.5</v>
      </c>
      <c r="F1498" s="3">
        <v>2258.3499999999995</v>
      </c>
    </row>
    <row r="1499" spans="2:6" x14ac:dyDescent="0.3">
      <c r="B1499" s="3">
        <v>1488</v>
      </c>
      <c r="C1499" s="3">
        <v>57.500000000000007</v>
      </c>
      <c r="D1499" s="3">
        <v>0</v>
      </c>
      <c r="E1499" s="3">
        <v>2199.5</v>
      </c>
      <c r="F1499" s="3">
        <v>2257</v>
      </c>
    </row>
    <row r="1500" spans="2:6" x14ac:dyDescent="0.3">
      <c r="B1500" s="3">
        <v>1489</v>
      </c>
      <c r="C1500" s="3">
        <v>60.249999999999986</v>
      </c>
      <c r="D1500" s="3">
        <v>0</v>
      </c>
      <c r="E1500" s="3">
        <v>2199.5</v>
      </c>
      <c r="F1500" s="3">
        <v>2259.7500000000009</v>
      </c>
    </row>
    <row r="1501" spans="2:6" x14ac:dyDescent="0.3">
      <c r="B1501" s="3">
        <v>1490</v>
      </c>
      <c r="C1501" s="3">
        <v>64.699999999999989</v>
      </c>
      <c r="D1501" s="3">
        <v>0</v>
      </c>
      <c r="E1501" s="3">
        <v>2199.5</v>
      </c>
      <c r="F1501" s="3">
        <v>2264.2000000000007</v>
      </c>
    </row>
    <row r="1502" spans="2:6" x14ac:dyDescent="0.3">
      <c r="B1502" s="3">
        <v>1491</v>
      </c>
      <c r="C1502" s="3">
        <v>64.150000000000006</v>
      </c>
      <c r="D1502" s="3">
        <v>0</v>
      </c>
      <c r="E1502" s="3">
        <v>2199.5</v>
      </c>
      <c r="F1502" s="3">
        <v>2263.65</v>
      </c>
    </row>
    <row r="1503" spans="2:6" x14ac:dyDescent="0.3">
      <c r="B1503" s="3">
        <v>1492</v>
      </c>
      <c r="C1503" s="3">
        <v>59.399999999999984</v>
      </c>
      <c r="D1503" s="3">
        <v>0</v>
      </c>
      <c r="E1503" s="3">
        <v>2199.5</v>
      </c>
      <c r="F1503" s="3">
        <v>2258.9000000000005</v>
      </c>
    </row>
    <row r="1504" spans="2:6" x14ac:dyDescent="0.3">
      <c r="B1504" s="3">
        <v>1493</v>
      </c>
      <c r="C1504" s="3">
        <v>62.949999999999996</v>
      </c>
      <c r="D1504" s="3">
        <v>0</v>
      </c>
      <c r="E1504" s="3">
        <v>2199.5</v>
      </c>
      <c r="F1504" s="3">
        <v>2262.4500000000007</v>
      </c>
    </row>
    <row r="1505" spans="2:6" x14ac:dyDescent="0.3">
      <c r="B1505" s="3">
        <v>1494</v>
      </c>
      <c r="C1505" s="3">
        <v>64.2</v>
      </c>
      <c r="D1505" s="3">
        <v>0</v>
      </c>
      <c r="E1505" s="3">
        <v>2199.5</v>
      </c>
      <c r="F1505" s="3">
        <v>2263.7000000000007</v>
      </c>
    </row>
    <row r="1506" spans="2:6" x14ac:dyDescent="0.3">
      <c r="B1506" s="3">
        <v>1495</v>
      </c>
      <c r="C1506" s="3">
        <v>63.600000000000009</v>
      </c>
      <c r="D1506" s="3">
        <v>0</v>
      </c>
      <c r="E1506" s="3">
        <v>2199.5</v>
      </c>
      <c r="F1506" s="3">
        <v>2263.1000000000004</v>
      </c>
    </row>
    <row r="1507" spans="2:6" x14ac:dyDescent="0.3">
      <c r="B1507" s="3">
        <v>1496</v>
      </c>
      <c r="C1507" s="3">
        <v>61.899999999999991</v>
      </c>
      <c r="D1507" s="3">
        <v>0</v>
      </c>
      <c r="E1507" s="3">
        <v>2199.5</v>
      </c>
      <c r="F1507" s="3">
        <v>2261.400000000001</v>
      </c>
    </row>
    <row r="1508" spans="2:6" x14ac:dyDescent="0.3">
      <c r="B1508" s="3">
        <v>1497</v>
      </c>
      <c r="C1508" s="3">
        <v>70.599999999999994</v>
      </c>
      <c r="D1508" s="3">
        <v>0</v>
      </c>
      <c r="E1508" s="3">
        <v>2199.5</v>
      </c>
      <c r="F1508" s="3">
        <v>2270.1000000000004</v>
      </c>
    </row>
    <row r="1509" spans="2:6" x14ac:dyDescent="0.3">
      <c r="B1509" s="3">
        <v>1498</v>
      </c>
      <c r="C1509" s="3">
        <v>61.450000000000017</v>
      </c>
      <c r="D1509" s="3">
        <v>0</v>
      </c>
      <c r="E1509" s="3">
        <v>2199.5</v>
      </c>
      <c r="F1509" s="3">
        <v>2260.9499999999994</v>
      </c>
    </row>
    <row r="1510" spans="2:6" x14ac:dyDescent="0.3">
      <c r="B1510" s="3">
        <v>1499</v>
      </c>
      <c r="C1510" s="3">
        <v>62.20000000000001</v>
      </c>
      <c r="D1510" s="3">
        <v>0</v>
      </c>
      <c r="E1510" s="3">
        <v>2199.5</v>
      </c>
      <c r="F1510" s="3">
        <v>2261.7000000000003</v>
      </c>
    </row>
    <row r="1511" spans="2:6" x14ac:dyDescent="0.3">
      <c r="B1511" s="3">
        <v>1500</v>
      </c>
      <c r="C1511" s="3">
        <v>68.899999999999991</v>
      </c>
      <c r="D1511" s="3">
        <v>0</v>
      </c>
      <c r="E1511" s="3">
        <v>2199.5</v>
      </c>
      <c r="F1511" s="3">
        <v>2268.4</v>
      </c>
    </row>
    <row r="1512" spans="2:6" x14ac:dyDescent="0.3">
      <c r="B1512" s="3">
        <v>1501</v>
      </c>
      <c r="C1512" s="3">
        <v>65.55</v>
      </c>
      <c r="D1512" s="3">
        <v>0</v>
      </c>
      <c r="E1512" s="3">
        <v>2199.5</v>
      </c>
      <c r="F1512" s="3">
        <v>2265.0500000000006</v>
      </c>
    </row>
    <row r="1513" spans="2:6" x14ac:dyDescent="0.3">
      <c r="B1513" s="3">
        <v>1502</v>
      </c>
      <c r="C1513" s="3">
        <v>64.650000000000006</v>
      </c>
      <c r="D1513" s="3">
        <v>0</v>
      </c>
      <c r="E1513" s="3">
        <v>2199.5</v>
      </c>
      <c r="F1513" s="3">
        <v>2264.1499999999996</v>
      </c>
    </row>
    <row r="1514" spans="2:6" x14ac:dyDescent="0.3">
      <c r="B1514" s="3">
        <v>1503</v>
      </c>
      <c r="C1514" s="3">
        <v>62.849999999999987</v>
      </c>
      <c r="D1514" s="3">
        <v>0</v>
      </c>
      <c r="E1514" s="3">
        <v>2199.5</v>
      </c>
      <c r="F1514" s="3">
        <v>2262.3500000000004</v>
      </c>
    </row>
    <row r="1515" spans="2:6" x14ac:dyDescent="0.3">
      <c r="B1515" s="3">
        <v>1504</v>
      </c>
      <c r="C1515" s="3">
        <v>58.8</v>
      </c>
      <c r="D1515" s="3">
        <v>0</v>
      </c>
      <c r="E1515" s="3">
        <v>2199.5</v>
      </c>
      <c r="F1515" s="3">
        <v>2258.3000000000002</v>
      </c>
    </row>
    <row r="1516" spans="2:6" x14ac:dyDescent="0.3">
      <c r="B1516" s="3">
        <v>1505</v>
      </c>
      <c r="C1516" s="3">
        <v>59.85</v>
      </c>
      <c r="D1516" s="3">
        <v>0</v>
      </c>
      <c r="E1516" s="3">
        <v>2199.5</v>
      </c>
      <c r="F1516" s="3">
        <v>2259.35</v>
      </c>
    </row>
    <row r="1517" spans="2:6" x14ac:dyDescent="0.3">
      <c r="B1517" s="3">
        <v>1506</v>
      </c>
      <c r="C1517" s="3">
        <v>65.800000000000011</v>
      </c>
      <c r="D1517" s="3">
        <v>0</v>
      </c>
      <c r="E1517" s="3">
        <v>2199.5</v>
      </c>
      <c r="F1517" s="3">
        <v>2265.2999999999993</v>
      </c>
    </row>
    <row r="1518" spans="2:6" x14ac:dyDescent="0.3">
      <c r="B1518" s="3">
        <v>1507</v>
      </c>
      <c r="C1518" s="3">
        <v>63.900000000000013</v>
      </c>
      <c r="D1518" s="3">
        <v>0</v>
      </c>
      <c r="E1518" s="3">
        <v>2199.5</v>
      </c>
      <c r="F1518" s="3">
        <v>2263.3999999999992</v>
      </c>
    </row>
    <row r="1519" spans="2:6" x14ac:dyDescent="0.3">
      <c r="B1519" s="3">
        <v>1508</v>
      </c>
      <c r="C1519" s="3">
        <v>59.000000000000007</v>
      </c>
      <c r="D1519" s="3">
        <v>0</v>
      </c>
      <c r="E1519" s="3">
        <v>2199.5</v>
      </c>
      <c r="F1519" s="3">
        <v>2258.4999999999995</v>
      </c>
    </row>
    <row r="1520" spans="2:6" x14ac:dyDescent="0.3">
      <c r="B1520" s="3">
        <v>1509</v>
      </c>
      <c r="C1520" s="3">
        <v>57.85</v>
      </c>
      <c r="D1520" s="3">
        <v>0</v>
      </c>
      <c r="E1520" s="3">
        <v>1099.75</v>
      </c>
      <c r="F1520" s="3">
        <v>1157.5999999999999</v>
      </c>
    </row>
    <row r="1521" spans="2:6" x14ac:dyDescent="0.3">
      <c r="B1521" s="3">
        <v>1510</v>
      </c>
      <c r="C1521" s="3">
        <v>59.4</v>
      </c>
      <c r="D1521" s="3">
        <v>0</v>
      </c>
      <c r="E1521" s="3">
        <v>1099.75</v>
      </c>
      <c r="F1521" s="3">
        <v>1159.1500000000001</v>
      </c>
    </row>
  </sheetData>
  <mergeCells count="2">
    <mergeCell ref="C5:F5"/>
    <mergeCell ref="H5:K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efresh">
                <anchor moveWithCells="1" sizeWithCells="1">
                  <from>
                    <xdr:col>1</xdr:col>
                    <xdr:colOff>446227</xdr:colOff>
                    <xdr:row>1</xdr:row>
                    <xdr:rowOff>73152</xdr:rowOff>
                  </from>
                  <to>
                    <xdr:col>5</xdr:col>
                    <xdr:colOff>731520</xdr:colOff>
                    <xdr:row>2</xdr:row>
                    <xdr:rowOff>168250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E2262B-FA8C-4868-BF5D-46DA1F2DAE10}">
          <x14:formula1>
            <xm:f>Data!$A$3:$A$100</xm:f>
          </x14:formula1>
          <xm:sqref>A3:A4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2AA6E-2807-4ABC-B000-7EE7991B0363}">
  <sheetPr codeName="Sheet6"/>
  <dimension ref="A1:BD1634"/>
  <sheetViews>
    <sheetView topLeftCell="B1" zoomScale="106" zoomScaleNormal="106" workbookViewId="0">
      <selection activeCell="AN16" sqref="AN16"/>
    </sheetView>
  </sheetViews>
  <sheetFormatPr defaultRowHeight="14.4" x14ac:dyDescent="0.3"/>
  <cols>
    <col min="1" max="1" width="60.69921875" bestFit="1" customWidth="1"/>
    <col min="2" max="2" width="15" bestFit="1" customWidth="1"/>
    <col min="3" max="3" width="28.3984375" bestFit="1" customWidth="1"/>
    <col min="4" max="4" width="10.296875" bestFit="1" customWidth="1"/>
    <col min="5" max="5" width="16.59765625" customWidth="1"/>
    <col min="6" max="7" width="9.09765625" style="5"/>
    <col min="8" max="8" width="11.8984375" bestFit="1" customWidth="1"/>
    <col min="9" max="10" width="15.09765625" customWidth="1"/>
    <col min="11" max="11" width="22.3984375" customWidth="1"/>
    <col min="12" max="12" width="10.09765625" customWidth="1"/>
    <col min="13" max="14" width="8.8984375" customWidth="1"/>
    <col min="15" max="15" width="10.296875" bestFit="1" customWidth="1"/>
    <col min="16" max="16" width="9.296875" bestFit="1" customWidth="1"/>
    <col min="17" max="17" width="6.59765625" bestFit="1" customWidth="1"/>
    <col min="18" max="18" width="15.296875" bestFit="1" customWidth="1"/>
    <col min="19" max="19" width="8.296875" bestFit="1" customWidth="1"/>
    <col min="20" max="20" width="7.09765625" bestFit="1" customWidth="1"/>
    <col min="21" max="21" width="9.59765625" bestFit="1" customWidth="1"/>
    <col min="22" max="22" width="14.3984375" bestFit="1" customWidth="1"/>
    <col min="23" max="23" width="12.69921875" bestFit="1" customWidth="1"/>
    <col min="24" max="24" width="12.09765625" bestFit="1" customWidth="1"/>
    <col min="25" max="26" width="8.8984375" customWidth="1"/>
    <col min="27" max="27" width="9.09765625" bestFit="1" customWidth="1"/>
    <col min="28" max="29" width="8.8984375" customWidth="1"/>
    <col min="30" max="30" width="28.296875" customWidth="1"/>
    <col min="31" max="31" width="8.8984375" customWidth="1"/>
    <col min="33" max="33" width="9.296875" bestFit="1" customWidth="1"/>
    <col min="36" max="36" width="11.8984375" customWidth="1"/>
    <col min="37" max="37" width="11.09765625" bestFit="1" customWidth="1"/>
    <col min="38" max="38" width="8.3984375" bestFit="1" customWidth="1"/>
    <col min="39" max="39" width="12.69921875" customWidth="1"/>
    <col min="40" max="40" width="60.69921875" bestFit="1" customWidth="1"/>
    <col min="41" max="41" width="9.09765625" style="5"/>
    <col min="42" max="42" width="6.296875" customWidth="1"/>
    <col min="43" max="43" width="10.8984375" style="5" bestFit="1" customWidth="1"/>
    <col min="44" max="44" width="10.8984375" style="5" customWidth="1"/>
    <col min="45" max="46" width="10.69921875" customWidth="1"/>
    <col min="47" max="56" width="8.8984375" customWidth="1"/>
  </cols>
  <sheetData>
    <row r="1" spans="1:56" x14ac:dyDescent="0.3">
      <c r="A1" t="s">
        <v>31</v>
      </c>
      <c r="K1" t="s">
        <v>236</v>
      </c>
      <c r="O1" t="s">
        <v>13</v>
      </c>
      <c r="AA1" t="s">
        <v>14</v>
      </c>
      <c r="AJ1" s="39" t="s">
        <v>15</v>
      </c>
      <c r="AK1" s="39"/>
    </row>
    <row r="2" spans="1:56" x14ac:dyDescent="0.3">
      <c r="A2" s="11" t="s">
        <v>7</v>
      </c>
      <c r="B2" t="s">
        <v>4</v>
      </c>
      <c r="C2" t="s">
        <v>64</v>
      </c>
      <c r="D2" t="s">
        <v>10</v>
      </c>
      <c r="E2" t="s">
        <v>65</v>
      </c>
      <c r="F2" s="5" t="s">
        <v>8</v>
      </c>
      <c r="G2" s="5" t="s">
        <v>9</v>
      </c>
      <c r="H2" t="s">
        <v>66</v>
      </c>
      <c r="I2" t="s">
        <v>67</v>
      </c>
      <c r="K2" t="s">
        <v>6</v>
      </c>
      <c r="L2" t="s">
        <v>235</v>
      </c>
      <c r="O2" t="s">
        <v>12</v>
      </c>
      <c r="P2" t="s">
        <v>33</v>
      </c>
      <c r="Q2" t="s">
        <v>32</v>
      </c>
      <c r="R2" t="s">
        <v>21</v>
      </c>
      <c r="S2" t="s">
        <v>22</v>
      </c>
      <c r="T2" t="s">
        <v>23</v>
      </c>
      <c r="U2" t="s">
        <v>198</v>
      </c>
      <c r="V2" t="s">
        <v>199</v>
      </c>
      <c r="W2" t="s">
        <v>20</v>
      </c>
      <c r="AA2" t="s">
        <v>1948</v>
      </c>
      <c r="AB2" t="s">
        <v>33</v>
      </c>
      <c r="AC2" t="s">
        <v>32</v>
      </c>
      <c r="AD2" t="s">
        <v>24</v>
      </c>
      <c r="AJ2" t="s">
        <v>314</v>
      </c>
      <c r="AK2" t="s">
        <v>29</v>
      </c>
      <c r="AL2" t="s">
        <v>316</v>
      </c>
      <c r="AM2" t="s">
        <v>4</v>
      </c>
      <c r="AN2" t="s">
        <v>7</v>
      </c>
      <c r="AO2" s="5" t="s">
        <v>8</v>
      </c>
      <c r="AP2" t="s">
        <v>11</v>
      </c>
      <c r="AQ2" s="5" t="s">
        <v>1919</v>
      </c>
      <c r="AR2" s="5" t="s">
        <v>1928</v>
      </c>
      <c r="AS2" t="s">
        <v>30</v>
      </c>
      <c r="AT2" t="s">
        <v>315</v>
      </c>
      <c r="AV2" t="s">
        <v>4</v>
      </c>
      <c r="AW2" s="11" t="s">
        <v>7</v>
      </c>
      <c r="AX2" t="s">
        <v>64</v>
      </c>
      <c r="AY2" t="s">
        <v>10</v>
      </c>
      <c r="AZ2" t="s">
        <v>65</v>
      </c>
      <c r="BA2" s="5" t="s">
        <v>8</v>
      </c>
      <c r="BB2" s="5" t="s">
        <v>9</v>
      </c>
      <c r="BC2" t="s">
        <v>66</v>
      </c>
      <c r="BD2" t="s">
        <v>67</v>
      </c>
    </row>
    <row r="3" spans="1:56" x14ac:dyDescent="0.3">
      <c r="A3" s="11" t="s">
        <v>69</v>
      </c>
      <c r="B3">
        <v>1</v>
      </c>
      <c r="C3" t="s">
        <v>68</v>
      </c>
      <c r="D3" t="s">
        <v>70</v>
      </c>
      <c r="E3">
        <v>1</v>
      </c>
      <c r="F3" s="5">
        <v>325.99</v>
      </c>
      <c r="G3" s="5">
        <f>VLOOKUP(Inventory[[#This Row],[Category]],$K$2:$L$23,2,TRUE)*Inventory[[#This Row],[Price]]</f>
        <v>97.796999999999997</v>
      </c>
      <c r="H3" t="s">
        <v>1982</v>
      </c>
      <c r="I3" t="str">
        <f ca="1">IF(AND(Inventory[Category]= "BEER", Inventory[[#This Row],[Price]]&lt;20),TODAY()+30, "")</f>
        <v/>
      </c>
      <c r="K3" t="s">
        <v>80</v>
      </c>
      <c r="L3" s="4">
        <v>0.4</v>
      </c>
      <c r="O3">
        <v>1098</v>
      </c>
      <c r="P3" t="s">
        <v>200</v>
      </c>
      <c r="Q3" t="s">
        <v>201</v>
      </c>
      <c r="R3" t="s">
        <v>1937</v>
      </c>
      <c r="S3" t="s">
        <v>233</v>
      </c>
      <c r="T3" s="7" t="s">
        <v>234</v>
      </c>
      <c r="U3" s="7">
        <v>10057</v>
      </c>
      <c r="V3" s="7" t="s">
        <v>222</v>
      </c>
      <c r="W3" t="s">
        <v>237</v>
      </c>
      <c r="AA3" t="s">
        <v>292</v>
      </c>
      <c r="AB3" t="s">
        <v>252</v>
      </c>
      <c r="AC3" t="s">
        <v>253</v>
      </c>
      <c r="AD3" t="s">
        <v>1949</v>
      </c>
      <c r="AJ3">
        <v>54027</v>
      </c>
      <c r="AK3" s="30">
        <v>41730</v>
      </c>
      <c r="AL3" t="s">
        <v>1802</v>
      </c>
      <c r="AM3">
        <v>4</v>
      </c>
      <c r="AN3" t="str">
        <f>VLOOKUP(Transaction[[#This Row],[Model No.]],$AV$2:$BD$100,2,TRUE)</f>
        <v>Stags' Leap Winery Cabernet Sauvignon</v>
      </c>
      <c r="AO3" s="21">
        <f>VLOOKUP(Transaction[[#This Row],[Model No.]],$AV$2:$BD$100,6,TRUE)</f>
        <v>54.99</v>
      </c>
      <c r="AP3" s="9">
        <v>1</v>
      </c>
      <c r="AQ3" s="5">
        <f>Transaction[[#This Row],[Price]]*Transaction[[#This Row],[Qty]]</f>
        <v>54.99</v>
      </c>
      <c r="AR3" s="5">
        <f>VLOOKUP(Transaction[[#This Row],[Model No.]],$AV$2:$BD$100,7,TRUE)*Transaction[[#This Row],[Qty]]</f>
        <v>5.4990000000000006</v>
      </c>
      <c r="AS3">
        <v>1098</v>
      </c>
      <c r="AT3">
        <v>1003</v>
      </c>
      <c r="AV3">
        <v>1</v>
      </c>
      <c r="AW3" s="11" t="s">
        <v>69</v>
      </c>
      <c r="AX3" t="s">
        <v>68</v>
      </c>
      <c r="AY3" t="s">
        <v>70</v>
      </c>
      <c r="AZ3">
        <v>1</v>
      </c>
      <c r="BA3" s="5">
        <v>325.99</v>
      </c>
      <c r="BB3" s="5">
        <f>VLOOKUP(Inventory11[[#This Row],[Category]],$K$2:$L$23,2,TRUE)*Inventory11[[#This Row],[Price]]</f>
        <v>97.796999999999997</v>
      </c>
      <c r="BC3" t="s">
        <v>1982</v>
      </c>
      <c r="BD3" t="str">
        <f ca="1">IF(AND(Inventory11[Category]= "BEER", Inventory11[[#This Row],[Price]]&lt;20),TODAY()+30, "")</f>
        <v/>
      </c>
    </row>
    <row r="4" spans="1:56" x14ac:dyDescent="0.3">
      <c r="A4" s="11" t="s">
        <v>124</v>
      </c>
      <c r="B4">
        <v>2</v>
      </c>
      <c r="C4" t="s">
        <v>71</v>
      </c>
      <c r="D4" t="s">
        <v>70</v>
      </c>
      <c r="E4">
        <v>2</v>
      </c>
      <c r="F4" s="5">
        <v>286.99</v>
      </c>
      <c r="G4" s="5">
        <f>VLOOKUP(Inventory[[#This Row],[Category]],$K$2:$L$23,2,TRUE)*Inventory[[#This Row],[Price]]</f>
        <v>86.096999999999994</v>
      </c>
      <c r="H4" t="s">
        <v>1982</v>
      </c>
      <c r="I4" t="str">
        <f ca="1">IF(AND(Inventory[Category]= "BEER", Inventory[[#This Row],[Price]]&lt;20),TODAY()+30, "")</f>
        <v/>
      </c>
      <c r="K4" t="s">
        <v>87</v>
      </c>
      <c r="L4" s="4">
        <v>0.1</v>
      </c>
      <c r="O4">
        <v>1099</v>
      </c>
      <c r="P4" t="s">
        <v>202</v>
      </c>
      <c r="Q4" t="s">
        <v>203</v>
      </c>
      <c r="R4" t="s">
        <v>1938</v>
      </c>
      <c r="S4" t="s">
        <v>233</v>
      </c>
      <c r="T4" s="7" t="s">
        <v>234</v>
      </c>
      <c r="U4" s="7">
        <v>10056</v>
      </c>
      <c r="V4" s="7" t="s">
        <v>223</v>
      </c>
      <c r="W4" t="s">
        <v>238</v>
      </c>
      <c r="AA4" t="s">
        <v>293</v>
      </c>
      <c r="AB4" t="s">
        <v>254</v>
      </c>
      <c r="AC4" t="s">
        <v>3</v>
      </c>
      <c r="AD4" t="s">
        <v>1950</v>
      </c>
      <c r="AJ4">
        <v>21768</v>
      </c>
      <c r="AK4" s="30">
        <v>41730</v>
      </c>
      <c r="AL4" t="s">
        <v>1521</v>
      </c>
      <c r="AM4">
        <v>11</v>
      </c>
      <c r="AN4" t="str">
        <f>VLOOKUP(Transaction[[#This Row],[Model No.]],$AV$2:$BD$100,2,TRUE)</f>
        <v>Kurant 1852 Crystal Limited Edition Vodka</v>
      </c>
      <c r="AO4" s="21">
        <f>VLOOKUP(Transaction[[#This Row],[Model No.]],$AV$2:$BD$100,6,TRUE)</f>
        <v>40.99</v>
      </c>
      <c r="AP4" s="9">
        <v>3</v>
      </c>
      <c r="AQ4" s="5">
        <f>Transaction[[#This Row],[Price]]*Transaction[[#This Row],[Qty]]</f>
        <v>122.97</v>
      </c>
      <c r="AR4" s="5">
        <f>VLOOKUP(Transaction[[#This Row],[Model No.]],$AV$2:$BD$100,7,TRUE)*Transaction[[#This Row],[Qty]]</f>
        <v>36.891000000000005</v>
      </c>
      <c r="AS4">
        <v>1099</v>
      </c>
      <c r="AT4">
        <v>1003</v>
      </c>
      <c r="AV4">
        <v>2</v>
      </c>
      <c r="AW4" s="11" t="s">
        <v>124</v>
      </c>
      <c r="AX4" t="s">
        <v>71</v>
      </c>
      <c r="AY4" t="s">
        <v>70</v>
      </c>
      <c r="AZ4">
        <v>2</v>
      </c>
      <c r="BA4" s="5">
        <v>286.99</v>
      </c>
      <c r="BB4" s="5">
        <f>VLOOKUP(Inventory11[[#This Row],[Category]],$K$2:$L$23,2,TRUE)*Inventory11[[#This Row],[Price]]</f>
        <v>86.096999999999994</v>
      </c>
      <c r="BC4" t="s">
        <v>1982</v>
      </c>
      <c r="BD4" t="str">
        <f ca="1">IF(AND(Inventory11[Category]= "BEER", Inventory11[[#This Row],[Price]]&lt;20),TODAY()+30, "")</f>
        <v/>
      </c>
    </row>
    <row r="5" spans="1:56" x14ac:dyDescent="0.3">
      <c r="A5" s="11" t="s">
        <v>137</v>
      </c>
      <c r="B5">
        <v>3</v>
      </c>
      <c r="C5" t="s">
        <v>68</v>
      </c>
      <c r="D5" t="s">
        <v>70</v>
      </c>
      <c r="E5">
        <v>85</v>
      </c>
      <c r="F5" s="5">
        <v>56.99</v>
      </c>
      <c r="G5" s="5">
        <f>VLOOKUP(Inventory[[#This Row],[Category]],$K$2:$L$23,2,TRUE)*Inventory[[#This Row],[Price]]</f>
        <v>17.097000000000001</v>
      </c>
      <c r="H5" t="s">
        <v>1982</v>
      </c>
      <c r="I5" t="str">
        <f ca="1">IF(AND(Inventory[Category]= "BEER", Inventory[[#This Row],[Price]]&lt;20),TODAY()+30, "")</f>
        <v/>
      </c>
      <c r="K5" t="s">
        <v>140</v>
      </c>
      <c r="L5" s="4">
        <v>0.1</v>
      </c>
      <c r="O5">
        <v>1100</v>
      </c>
      <c r="P5" t="s">
        <v>204</v>
      </c>
      <c r="Q5" t="s">
        <v>205</v>
      </c>
      <c r="R5" t="s">
        <v>1939</v>
      </c>
      <c r="S5" t="s">
        <v>233</v>
      </c>
      <c r="T5" s="7" t="s">
        <v>234</v>
      </c>
      <c r="U5" s="7">
        <v>10058</v>
      </c>
      <c r="V5" s="7" t="s">
        <v>224</v>
      </c>
      <c r="W5" t="s">
        <v>239</v>
      </c>
      <c r="AA5" t="s">
        <v>294</v>
      </c>
      <c r="AB5" t="s">
        <v>255</v>
      </c>
      <c r="AC5" t="s">
        <v>256</v>
      </c>
      <c r="AD5" t="s">
        <v>1951</v>
      </c>
      <c r="AG5" t="b">
        <f>AK3&lt;DATE(2019,5,2)</f>
        <v>1</v>
      </c>
      <c r="AJ5">
        <v>24340</v>
      </c>
      <c r="AK5" s="30">
        <v>41730</v>
      </c>
      <c r="AL5" t="s">
        <v>866</v>
      </c>
      <c r="AM5">
        <v>53</v>
      </c>
      <c r="AN5" t="str">
        <f>VLOOKUP(Transaction[[#This Row],[Model No.]],$AV$2:$BD$100,2,TRUE)</f>
        <v>Ommegang Hennepin - 4 Pack</v>
      </c>
      <c r="AO5" s="25">
        <f>VLOOKUP(Transaction[[#This Row],[Model No.]],$AV$2:$BD$100,6,TRUE)</f>
        <v>14.99</v>
      </c>
      <c r="AP5" s="9">
        <v>1</v>
      </c>
      <c r="AQ5" s="5">
        <f>Transaction[[#This Row],[Price]]*Transaction[[#This Row],[Qty]]</f>
        <v>14.99</v>
      </c>
      <c r="AR5" s="5">
        <f>VLOOKUP(Transaction[[#This Row],[Model No.]],$AV$2:$BD$100,7,TRUE)*Transaction[[#This Row],[Qty]]</f>
        <v>4.4969999999999999</v>
      </c>
      <c r="AS5">
        <v>1100</v>
      </c>
      <c r="AT5">
        <v>1002</v>
      </c>
      <c r="AV5">
        <v>3</v>
      </c>
      <c r="AW5" s="11" t="s">
        <v>137</v>
      </c>
      <c r="AX5" t="s">
        <v>68</v>
      </c>
      <c r="AY5" t="s">
        <v>70</v>
      </c>
      <c r="AZ5">
        <v>85</v>
      </c>
      <c r="BA5" s="5">
        <v>56.99</v>
      </c>
      <c r="BB5" s="5">
        <f>VLOOKUP(Inventory11[[#This Row],[Category]],$K$2:$L$23,2,TRUE)*Inventory11[[#This Row],[Price]]</f>
        <v>17.097000000000001</v>
      </c>
      <c r="BC5" t="s">
        <v>1982</v>
      </c>
      <c r="BD5" t="str">
        <f ca="1">IF(AND(Inventory11[Category]= "BEER", Inventory11[[#This Row],[Price]]&lt;20),TODAY()+30, "")</f>
        <v/>
      </c>
    </row>
    <row r="6" spans="1:56" x14ac:dyDescent="0.3">
      <c r="A6" s="11" t="s">
        <v>196</v>
      </c>
      <c r="B6">
        <v>4</v>
      </c>
      <c r="C6" t="s">
        <v>87</v>
      </c>
      <c r="D6" t="s">
        <v>70</v>
      </c>
      <c r="E6">
        <v>25</v>
      </c>
      <c r="F6" s="5">
        <v>54.99</v>
      </c>
      <c r="G6" s="5">
        <f>VLOOKUP(Inventory[[#This Row],[Category]],$K$2:$L$23,2,TRUE)*Inventory[[#This Row],[Price]]</f>
        <v>5.4990000000000006</v>
      </c>
      <c r="H6" t="s">
        <v>1982</v>
      </c>
      <c r="I6" t="str">
        <f ca="1">IF(AND(Inventory[Category]= "BEER", Inventory[[#This Row],[Price]]&lt;20),TODAY()+30, "")</f>
        <v/>
      </c>
      <c r="K6" t="s">
        <v>114</v>
      </c>
      <c r="L6" s="4">
        <v>0.2</v>
      </c>
      <c r="O6">
        <v>1101</v>
      </c>
      <c r="P6" t="s">
        <v>206</v>
      </c>
      <c r="Q6" t="s">
        <v>207</v>
      </c>
      <c r="R6" t="s">
        <v>1940</v>
      </c>
      <c r="S6" t="s">
        <v>233</v>
      </c>
      <c r="T6" s="7" t="s">
        <v>234</v>
      </c>
      <c r="U6" s="7">
        <v>10057</v>
      </c>
      <c r="V6" s="7" t="s">
        <v>225</v>
      </c>
      <c r="W6" t="s">
        <v>240</v>
      </c>
      <c r="AA6" t="s">
        <v>295</v>
      </c>
      <c r="AB6" t="s">
        <v>257</v>
      </c>
      <c r="AC6" t="s">
        <v>258</v>
      </c>
      <c r="AD6" t="s">
        <v>1952</v>
      </c>
      <c r="AG6" s="29" t="e">
        <f ca="1">DATEVALUE(DATE(YEAR(TODAY()),MONTH(TODAY()),DAY(TODAY())))</f>
        <v>#VALUE!</v>
      </c>
      <c r="AJ6">
        <v>70948</v>
      </c>
      <c r="AK6" s="30">
        <v>41731</v>
      </c>
      <c r="AL6" t="s">
        <v>1502</v>
      </c>
      <c r="AM6">
        <v>24</v>
      </c>
      <c r="AN6" t="str">
        <f>VLOOKUP(Transaction[[#This Row],[Model No.]],$AV$2:$BD$100,2,TRUE)</f>
        <v>Matchbook The Arsonist Bordeaux Blend</v>
      </c>
      <c r="AO6" s="21">
        <f>VLOOKUP(Transaction[[#This Row],[Model No.]],$AV$2:$BD$100,6,TRUE)</f>
        <v>24.99</v>
      </c>
      <c r="AP6" s="9">
        <v>3</v>
      </c>
      <c r="AQ6" s="5">
        <f>Transaction[[#This Row],[Price]]*Transaction[[#This Row],[Qty]]</f>
        <v>74.97</v>
      </c>
      <c r="AR6" s="5">
        <f>VLOOKUP(Transaction[[#This Row],[Model No.]],$AV$2:$BD$100,7,TRUE)*Transaction[[#This Row],[Qty]]</f>
        <v>7.4969999999999999</v>
      </c>
      <c r="AS6">
        <v>1100</v>
      </c>
      <c r="AT6">
        <v>1016</v>
      </c>
      <c r="AV6">
        <v>4</v>
      </c>
      <c r="AW6" s="11" t="s">
        <v>196</v>
      </c>
      <c r="AX6" t="s">
        <v>87</v>
      </c>
      <c r="AY6" t="s">
        <v>70</v>
      </c>
      <c r="AZ6">
        <v>25</v>
      </c>
      <c r="BA6" s="5">
        <v>54.99</v>
      </c>
      <c r="BB6" s="5">
        <f>VLOOKUP(Inventory11[[#This Row],[Category]],$K$2:$L$23,2,TRUE)*Inventory11[[#This Row],[Price]]</f>
        <v>5.4990000000000006</v>
      </c>
      <c r="BC6" t="s">
        <v>1982</v>
      </c>
      <c r="BD6" t="str">
        <f ca="1">IF(AND(Inventory11[Category]= "BEER", Inventory11[[#This Row],[Price]]&lt;20),TODAY()+30, "")</f>
        <v/>
      </c>
    </row>
    <row r="7" spans="1:56" x14ac:dyDescent="0.3">
      <c r="A7" s="11" t="s">
        <v>149</v>
      </c>
      <c r="B7">
        <v>5</v>
      </c>
      <c r="C7" t="s">
        <v>148</v>
      </c>
      <c r="D7" t="s">
        <v>70</v>
      </c>
      <c r="E7">
        <v>41</v>
      </c>
      <c r="F7" s="5">
        <v>46.99</v>
      </c>
      <c r="G7" s="5">
        <f>VLOOKUP(Inventory[[#This Row],[Category]],$K$2:$L$23,2,TRUE)*Inventory[[#This Row],[Price]]</f>
        <v>9.3980000000000015</v>
      </c>
      <c r="H7" t="s">
        <v>1982</v>
      </c>
      <c r="I7" t="str">
        <f ca="1">IF(AND(Inventory[Category]= "BEER", Inventory[[#This Row],[Price]]&lt;20),TODAY()+30, "")</f>
        <v/>
      </c>
      <c r="K7" t="s">
        <v>129</v>
      </c>
      <c r="L7" s="4">
        <v>0.1</v>
      </c>
      <c r="O7">
        <v>1102</v>
      </c>
      <c r="P7" t="s">
        <v>208</v>
      </c>
      <c r="Q7" t="s">
        <v>209</v>
      </c>
      <c r="R7" t="s">
        <v>1941</v>
      </c>
      <c r="S7" t="s">
        <v>233</v>
      </c>
      <c r="T7" s="7" t="s">
        <v>234</v>
      </c>
      <c r="U7" s="7">
        <v>10058</v>
      </c>
      <c r="V7" s="7" t="s">
        <v>226</v>
      </c>
      <c r="W7" t="s">
        <v>241</v>
      </c>
      <c r="AA7" t="s">
        <v>296</v>
      </c>
      <c r="AB7" t="s">
        <v>259</v>
      </c>
      <c r="AC7" t="s">
        <v>260</v>
      </c>
      <c r="AD7" t="s">
        <v>1953</v>
      </c>
      <c r="AJ7">
        <v>50840</v>
      </c>
      <c r="AK7" s="30">
        <v>41731</v>
      </c>
      <c r="AL7" t="s">
        <v>1087</v>
      </c>
      <c r="AM7">
        <v>77</v>
      </c>
      <c r="AN7" t="str">
        <f>VLOOKUP(Transaction[[#This Row],[Model No.]],$AV$2:$BD$100,2,TRUE)</f>
        <v>LA CHASSE PRETIGE CDR</v>
      </c>
      <c r="AO7" s="21">
        <f>VLOOKUP(Transaction[[#This Row],[Model No.]],$AV$2:$BD$100,6,TRUE)</f>
        <v>11.99</v>
      </c>
      <c r="AP7" s="9">
        <v>5</v>
      </c>
      <c r="AQ7" s="5">
        <f>Transaction[[#This Row],[Price]]*Transaction[[#This Row],[Qty]]</f>
        <v>59.95</v>
      </c>
      <c r="AR7" s="5">
        <f>VLOOKUP(Transaction[[#This Row],[Model No.]],$AV$2:$BD$100,7,TRUE)*Transaction[[#This Row],[Qty]]</f>
        <v>23.98</v>
      </c>
      <c r="AS7">
        <v>1100</v>
      </c>
      <c r="AT7">
        <v>1020</v>
      </c>
      <c r="AV7">
        <v>5</v>
      </c>
      <c r="AW7" s="11" t="s">
        <v>149</v>
      </c>
      <c r="AX7" t="s">
        <v>148</v>
      </c>
      <c r="AY7" t="s">
        <v>70</v>
      </c>
      <c r="AZ7">
        <v>41</v>
      </c>
      <c r="BA7" s="5">
        <v>46.99</v>
      </c>
      <c r="BB7" s="5">
        <f>VLOOKUP(Inventory11[[#This Row],[Category]],$K$2:$L$23,2,TRUE)*Inventory11[[#This Row],[Price]]</f>
        <v>9.3980000000000015</v>
      </c>
      <c r="BC7" t="s">
        <v>1982</v>
      </c>
      <c r="BD7" t="str">
        <f ca="1">IF(AND(Inventory11[Category]= "BEER", Inventory11[[#This Row],[Price]]&lt;20),TODAY()+30, "")</f>
        <v/>
      </c>
    </row>
    <row r="8" spans="1:56" x14ac:dyDescent="0.3">
      <c r="A8" s="11" t="s">
        <v>111</v>
      </c>
      <c r="B8">
        <v>6</v>
      </c>
      <c r="C8" t="s">
        <v>82</v>
      </c>
      <c r="D8" t="s">
        <v>70</v>
      </c>
      <c r="E8">
        <v>15</v>
      </c>
      <c r="F8" s="5">
        <v>46.99</v>
      </c>
      <c r="G8" s="5">
        <f>VLOOKUP(Inventory[[#This Row],[Category]],$K$2:$L$23,2,TRUE)*Inventory[[#This Row],[Price]]</f>
        <v>4.6990000000000007</v>
      </c>
      <c r="H8" t="s">
        <v>1982</v>
      </c>
      <c r="I8" t="str">
        <f ca="1">IF(AND(Inventory[Category]= "BEER", Inventory[[#This Row],[Price]]&lt;20),TODAY()+30, "")</f>
        <v/>
      </c>
      <c r="K8" t="s">
        <v>74</v>
      </c>
      <c r="L8" s="4">
        <v>0.3</v>
      </c>
      <c r="O8">
        <v>1103</v>
      </c>
      <c r="P8" t="s">
        <v>210</v>
      </c>
      <c r="Q8" t="s">
        <v>211</v>
      </c>
      <c r="R8" t="s">
        <v>1942</v>
      </c>
      <c r="S8" t="s">
        <v>233</v>
      </c>
      <c r="T8" s="7" t="s">
        <v>234</v>
      </c>
      <c r="U8" s="7">
        <v>10060</v>
      </c>
      <c r="V8" s="7" t="s">
        <v>227</v>
      </c>
      <c r="W8" t="s">
        <v>242</v>
      </c>
      <c r="AA8" t="s">
        <v>297</v>
      </c>
      <c r="AB8" t="s">
        <v>261</v>
      </c>
      <c r="AC8" t="s">
        <v>262</v>
      </c>
      <c r="AD8" t="s">
        <v>1954</v>
      </c>
      <c r="AG8">
        <f t="array" aca="1" ref="AG8" ca="1" xml:space="preserve"> SUM(IF(Transaction[Date Time]&gt;DATE(YEAR(TODAY()),MONTH(TODAY()),1),Transaction[Total],0))</f>
        <v>2098.4000000000005</v>
      </c>
      <c r="AJ8">
        <v>30665</v>
      </c>
      <c r="AK8" s="30">
        <v>41733</v>
      </c>
      <c r="AL8" t="s">
        <v>629</v>
      </c>
      <c r="AM8">
        <v>36</v>
      </c>
      <c r="AN8" t="str">
        <f>VLOOKUP(Transaction[[#This Row],[Model No.]],$AV$2:$BD$100,2,TRUE)</f>
        <v>Patricius Reserve Dry Furmint</v>
      </c>
      <c r="AO8" s="21">
        <f>VLOOKUP(Transaction[[#This Row],[Model No.]],$AV$2:$BD$100,6,TRUE)</f>
        <v>20.99</v>
      </c>
      <c r="AP8" s="9">
        <v>2</v>
      </c>
      <c r="AQ8" s="5">
        <f>Transaction[[#This Row],[Price]]*Transaction[[#This Row],[Qty]]</f>
        <v>41.98</v>
      </c>
      <c r="AR8" s="5">
        <f>VLOOKUP(Transaction[[#This Row],[Model No.]],$AV$2:$BD$100,7,TRUE)*Transaction[[#This Row],[Qty]]</f>
        <v>4.1979999999999995</v>
      </c>
      <c r="AS8">
        <v>1104</v>
      </c>
      <c r="AT8">
        <v>1006</v>
      </c>
      <c r="AV8">
        <v>6</v>
      </c>
      <c r="AW8" s="11" t="s">
        <v>111</v>
      </c>
      <c r="AX8" t="s">
        <v>82</v>
      </c>
      <c r="AY8" t="s">
        <v>70</v>
      </c>
      <c r="AZ8">
        <v>15</v>
      </c>
      <c r="BA8" s="5">
        <v>46.99</v>
      </c>
      <c r="BB8" s="5">
        <f>VLOOKUP(Inventory11[[#This Row],[Category]],$K$2:$L$23,2,TRUE)*Inventory11[[#This Row],[Price]]</f>
        <v>4.6990000000000007</v>
      </c>
      <c r="BC8" t="s">
        <v>1982</v>
      </c>
      <c r="BD8" t="str">
        <f ca="1">IF(AND(Inventory11[Category]= "BEER", Inventory11[[#This Row],[Price]]&lt;20),TODAY()+30, "")</f>
        <v/>
      </c>
    </row>
    <row r="9" spans="1:56" x14ac:dyDescent="0.3">
      <c r="A9" s="11" t="s">
        <v>177</v>
      </c>
      <c r="B9">
        <v>7</v>
      </c>
      <c r="C9" t="s">
        <v>68</v>
      </c>
      <c r="D9" t="s">
        <v>70</v>
      </c>
      <c r="E9">
        <v>63</v>
      </c>
      <c r="F9" s="5">
        <v>45.99</v>
      </c>
      <c r="G9" s="5">
        <f>VLOOKUP(Inventory[[#This Row],[Category]],$K$2:$L$23,2,TRUE)*Inventory[[#This Row],[Price]]</f>
        <v>13.797000000000001</v>
      </c>
      <c r="H9" t="s">
        <v>1982</v>
      </c>
      <c r="I9" t="str">
        <f ca="1">IF(AND(Inventory[Category]= "BEER", Inventory[[#This Row],[Price]]&lt;20),TODAY()+30, "")</f>
        <v/>
      </c>
      <c r="K9" t="s">
        <v>148</v>
      </c>
      <c r="L9" s="4">
        <v>0.2</v>
      </c>
      <c r="O9">
        <v>1104</v>
      </c>
      <c r="P9" t="s">
        <v>212</v>
      </c>
      <c r="Q9" t="s">
        <v>213</v>
      </c>
      <c r="R9" t="s">
        <v>1943</v>
      </c>
      <c r="S9" t="s">
        <v>233</v>
      </c>
      <c r="T9" s="7" t="s">
        <v>234</v>
      </c>
      <c r="U9" s="7">
        <v>10060</v>
      </c>
      <c r="V9" s="7" t="s">
        <v>228</v>
      </c>
      <c r="W9" t="s">
        <v>243</v>
      </c>
      <c r="AA9" t="s">
        <v>298</v>
      </c>
      <c r="AB9" t="s">
        <v>263</v>
      </c>
      <c r="AC9" t="s">
        <v>219</v>
      </c>
      <c r="AD9" t="s">
        <v>1955</v>
      </c>
      <c r="AJ9">
        <v>17088</v>
      </c>
      <c r="AK9" s="30">
        <v>41733</v>
      </c>
      <c r="AL9" t="s">
        <v>604</v>
      </c>
      <c r="AM9">
        <v>41</v>
      </c>
      <c r="AN9" t="str">
        <f>VLOOKUP(Transaction[[#This Row],[Model No.]],$AV$2:$BD$100,2,TRUE)</f>
        <v>Brunellesco Delle Venezie IGT Pinot Grigio</v>
      </c>
      <c r="AO9" s="21">
        <f>VLOOKUP(Transaction[[#This Row],[Model No.]],$AV$2:$BD$100,6,TRUE)</f>
        <v>17.39</v>
      </c>
      <c r="AP9" s="9">
        <v>2</v>
      </c>
      <c r="AQ9" s="5">
        <f>Transaction[[#This Row],[Price]]*Transaction[[#This Row],[Qty]]</f>
        <v>34.78</v>
      </c>
      <c r="AR9" s="5">
        <f>VLOOKUP(Transaction[[#This Row],[Model No.]],$AV$2:$BD$100,7,TRUE)*Transaction[[#This Row],[Qty]]</f>
        <v>3.4780000000000002</v>
      </c>
      <c r="AS9">
        <v>1101</v>
      </c>
      <c r="AT9">
        <v>1001</v>
      </c>
      <c r="AV9">
        <v>7</v>
      </c>
      <c r="AW9" s="11" t="s">
        <v>177</v>
      </c>
      <c r="AX9" t="s">
        <v>68</v>
      </c>
      <c r="AY9" t="s">
        <v>70</v>
      </c>
      <c r="AZ9">
        <v>63</v>
      </c>
      <c r="BA9" s="5">
        <v>45.99</v>
      </c>
      <c r="BB9" s="5">
        <f>VLOOKUP(Inventory11[[#This Row],[Category]],$K$2:$L$23,2,TRUE)*Inventory11[[#This Row],[Price]]</f>
        <v>13.797000000000001</v>
      </c>
      <c r="BC9" t="s">
        <v>1982</v>
      </c>
      <c r="BD9" t="str">
        <f ca="1">IF(AND(Inventory11[Category]= "BEER", Inventory11[[#This Row],[Price]]&lt;20),TODAY()+30, "")</f>
        <v/>
      </c>
    </row>
    <row r="10" spans="1:56" x14ac:dyDescent="0.3">
      <c r="A10" s="11" t="s">
        <v>89</v>
      </c>
      <c r="B10">
        <v>8</v>
      </c>
      <c r="C10" t="s">
        <v>87</v>
      </c>
      <c r="D10" t="s">
        <v>70</v>
      </c>
      <c r="E10">
        <v>74</v>
      </c>
      <c r="F10" s="5">
        <v>44.99</v>
      </c>
      <c r="G10" s="5">
        <f>VLOOKUP(Inventory[[#This Row],[Category]],$K$2:$L$23,2,TRUE)*Inventory[[#This Row],[Price]]</f>
        <v>4.4990000000000006</v>
      </c>
      <c r="H10" t="s">
        <v>1982</v>
      </c>
      <c r="I10" t="str">
        <f ca="1">IF(AND(Inventory[Category]= "BEER", Inventory[[#This Row],[Price]]&lt;20),TODAY()+30, "")</f>
        <v/>
      </c>
      <c r="K10" t="s">
        <v>174</v>
      </c>
      <c r="L10" s="4">
        <v>0.2</v>
      </c>
      <c r="O10">
        <v>1105</v>
      </c>
      <c r="P10" t="s">
        <v>214</v>
      </c>
      <c r="Q10" t="s">
        <v>215</v>
      </c>
      <c r="R10" t="s">
        <v>1944</v>
      </c>
      <c r="S10" t="s">
        <v>233</v>
      </c>
      <c r="T10" s="7" t="s">
        <v>234</v>
      </c>
      <c r="U10" s="7">
        <v>10056</v>
      </c>
      <c r="V10" s="7" t="s">
        <v>229</v>
      </c>
      <c r="W10" t="s">
        <v>244</v>
      </c>
      <c r="AA10" t="s">
        <v>299</v>
      </c>
      <c r="AB10" t="s">
        <v>264</v>
      </c>
      <c r="AC10" t="s">
        <v>265</v>
      </c>
      <c r="AD10" t="s">
        <v>1956</v>
      </c>
      <c r="AJ10">
        <v>55231</v>
      </c>
      <c r="AK10" s="30">
        <v>41734</v>
      </c>
      <c r="AL10" t="s">
        <v>422</v>
      </c>
      <c r="AM10">
        <v>17</v>
      </c>
      <c r="AN10" t="str">
        <f>VLOOKUP(Transaction[[#This Row],[Model No.]],$AV$2:$BD$100,2,TRUE)</f>
        <v>Miller Lite Can - 24 Pack</v>
      </c>
      <c r="AO10" s="21">
        <f>VLOOKUP(Transaction[[#This Row],[Model No.]],$AV$2:$BD$100,6,TRUE)</f>
        <v>30.99</v>
      </c>
      <c r="AP10" s="9">
        <v>1</v>
      </c>
      <c r="AQ10" s="5">
        <f>Transaction[[#This Row],[Price]]*Transaction[[#This Row],[Qty]]</f>
        <v>30.99</v>
      </c>
      <c r="AR10" s="5">
        <f>VLOOKUP(Transaction[[#This Row],[Model No.]],$AV$2:$BD$100,7,TRUE)*Transaction[[#This Row],[Qty]]</f>
        <v>9.2969999999999988</v>
      </c>
      <c r="AS10">
        <v>1105</v>
      </c>
      <c r="AT10">
        <v>1018</v>
      </c>
      <c r="AV10">
        <v>8</v>
      </c>
      <c r="AW10" s="11" t="s">
        <v>89</v>
      </c>
      <c r="AX10" t="s">
        <v>87</v>
      </c>
      <c r="AY10" t="s">
        <v>70</v>
      </c>
      <c r="AZ10">
        <v>74</v>
      </c>
      <c r="BA10" s="5">
        <v>44.99</v>
      </c>
      <c r="BB10" s="5">
        <f>VLOOKUP(Inventory11[[#This Row],[Category]],$K$2:$L$23,2,TRUE)*Inventory11[[#This Row],[Price]]</f>
        <v>4.4990000000000006</v>
      </c>
      <c r="BC10" t="s">
        <v>1982</v>
      </c>
      <c r="BD10" t="str">
        <f ca="1">IF(AND(Inventory11[Category]= "BEER", Inventory11[[#This Row],[Price]]&lt;20),TODAY()+30, "")</f>
        <v/>
      </c>
    </row>
    <row r="11" spans="1:56" x14ac:dyDescent="0.3">
      <c r="A11" s="11" t="s">
        <v>77</v>
      </c>
      <c r="B11">
        <v>9</v>
      </c>
      <c r="C11" t="s">
        <v>74</v>
      </c>
      <c r="D11" t="s">
        <v>76</v>
      </c>
      <c r="E11">
        <v>50</v>
      </c>
      <c r="F11" s="5">
        <v>43.99</v>
      </c>
      <c r="G11" s="5">
        <f>VLOOKUP(Inventory[[#This Row],[Category]],$K$2:$L$23,2,TRUE)*Inventory[[#This Row],[Price]]</f>
        <v>13.197000000000001</v>
      </c>
      <c r="H11" t="s">
        <v>1982</v>
      </c>
      <c r="I11" t="str">
        <f ca="1">IF(AND(Inventory[Category]= "BEER", Inventory[[#This Row],[Price]]&lt;20),TODAY()+30, "")</f>
        <v/>
      </c>
      <c r="K11" t="s">
        <v>92</v>
      </c>
      <c r="L11" s="4">
        <v>0.1</v>
      </c>
      <c r="O11">
        <v>1106</v>
      </c>
      <c r="P11" t="s">
        <v>216</v>
      </c>
      <c r="Q11" t="s">
        <v>217</v>
      </c>
      <c r="R11" t="s">
        <v>1945</v>
      </c>
      <c r="S11" t="s">
        <v>233</v>
      </c>
      <c r="T11" s="7" t="s">
        <v>234</v>
      </c>
      <c r="U11" s="7">
        <v>10060</v>
      </c>
      <c r="V11" s="7" t="s">
        <v>230</v>
      </c>
      <c r="W11" t="s">
        <v>245</v>
      </c>
      <c r="AA11" t="s">
        <v>300</v>
      </c>
      <c r="AB11" t="s">
        <v>266</v>
      </c>
      <c r="AC11" t="s">
        <v>267</v>
      </c>
      <c r="AD11" t="s">
        <v>1957</v>
      </c>
      <c r="AJ11">
        <v>43093</v>
      </c>
      <c r="AK11" s="30">
        <v>41735</v>
      </c>
      <c r="AL11" t="s">
        <v>1284</v>
      </c>
      <c r="AM11">
        <v>74</v>
      </c>
      <c r="AN11" t="str">
        <f>VLOOKUP(Transaction[[#This Row],[Model No.]],$AV$2:$BD$100,2,TRUE)</f>
        <v>UINTA PALE ALE NR - 6 Pack</v>
      </c>
      <c r="AO11" s="21">
        <f>VLOOKUP(Transaction[[#This Row],[Model No.]],$AV$2:$BD$100,6,TRUE)</f>
        <v>11.99</v>
      </c>
      <c r="AP11" s="9">
        <v>3</v>
      </c>
      <c r="AQ11" s="5">
        <f>Transaction[[#This Row],[Price]]*Transaction[[#This Row],[Qty]]</f>
        <v>35.97</v>
      </c>
      <c r="AR11" s="5">
        <f>VLOOKUP(Transaction[[#This Row],[Model No.]],$AV$2:$BD$100,7,TRUE)*Transaction[[#This Row],[Qty]]</f>
        <v>10.791</v>
      </c>
      <c r="AS11">
        <v>1098</v>
      </c>
      <c r="AT11">
        <v>1006</v>
      </c>
      <c r="AV11">
        <v>9</v>
      </c>
      <c r="AW11" s="11" t="s">
        <v>77</v>
      </c>
      <c r="AX11" t="s">
        <v>74</v>
      </c>
      <c r="AY11" t="s">
        <v>76</v>
      </c>
      <c r="AZ11">
        <v>50</v>
      </c>
      <c r="BA11" s="5">
        <v>43.99</v>
      </c>
      <c r="BB11" s="5">
        <f>VLOOKUP(Inventory11[[#This Row],[Category]],$K$2:$L$23,2,TRUE)*Inventory11[[#This Row],[Price]]</f>
        <v>13.197000000000001</v>
      </c>
      <c r="BC11" t="s">
        <v>1982</v>
      </c>
      <c r="BD11" t="str">
        <f ca="1">IF(AND(Inventory11[Category]= "BEER", Inventory11[[#This Row],[Price]]&lt;20),TODAY()+30, "")</f>
        <v/>
      </c>
    </row>
    <row r="12" spans="1:56" x14ac:dyDescent="0.3">
      <c r="A12" s="11" t="s">
        <v>116</v>
      </c>
      <c r="B12">
        <v>10</v>
      </c>
      <c r="C12" t="s">
        <v>71</v>
      </c>
      <c r="D12" t="s">
        <v>70</v>
      </c>
      <c r="E12">
        <v>97</v>
      </c>
      <c r="F12" s="5">
        <v>41.99</v>
      </c>
      <c r="G12" s="5">
        <f>VLOOKUP(Inventory[[#This Row],[Category]],$K$2:$L$23,2,TRUE)*Inventory[[#This Row],[Price]]</f>
        <v>12.597</v>
      </c>
      <c r="H12" t="s">
        <v>1982</v>
      </c>
      <c r="I12" t="str">
        <f ca="1">IF(AND(Inventory[Category]= "BEER", Inventory[[#This Row],[Price]]&lt;20),TODAY()+30, "")</f>
        <v/>
      </c>
      <c r="K12" t="s">
        <v>170</v>
      </c>
      <c r="L12" s="4">
        <v>0.3</v>
      </c>
      <c r="O12">
        <v>1107</v>
      </c>
      <c r="P12" t="s">
        <v>218</v>
      </c>
      <c r="Q12" t="s">
        <v>219</v>
      </c>
      <c r="R12" t="s">
        <v>1946</v>
      </c>
      <c r="S12" t="s">
        <v>233</v>
      </c>
      <c r="T12" s="7" t="s">
        <v>234</v>
      </c>
      <c r="U12" s="7">
        <v>10056</v>
      </c>
      <c r="V12" s="7" t="s">
        <v>231</v>
      </c>
      <c r="W12" t="s">
        <v>246</v>
      </c>
      <c r="AA12" t="s">
        <v>301</v>
      </c>
      <c r="AB12" t="s">
        <v>268</v>
      </c>
      <c r="AC12" t="s">
        <v>269</v>
      </c>
      <c r="AD12" t="s">
        <v>1958</v>
      </c>
      <c r="AJ12">
        <v>90345</v>
      </c>
      <c r="AK12" s="30">
        <v>41735</v>
      </c>
      <c r="AL12" t="s">
        <v>606</v>
      </c>
      <c r="AM12">
        <v>91</v>
      </c>
      <c r="AN12" t="str">
        <f>VLOOKUP(Transaction[[#This Row],[Model No.]],$AV$2:$BD$100,2,TRUE)</f>
        <v>Rex Goliath Free Range Giant 47 Pound Rooster Merlot</v>
      </c>
      <c r="AO12" s="21">
        <f>VLOOKUP(Transaction[[#This Row],[Model No.]],$AV$2:$BD$100,6,TRUE)</f>
        <v>7.79</v>
      </c>
      <c r="AP12" s="9">
        <v>2</v>
      </c>
      <c r="AQ12" s="5">
        <f>Transaction[[#This Row],[Price]]*Transaction[[#This Row],[Qty]]</f>
        <v>15.58</v>
      </c>
      <c r="AR12" s="5">
        <f>VLOOKUP(Transaction[[#This Row],[Model No.]],$AV$2:$BD$100,7,TRUE)*Transaction[[#This Row],[Qty]]</f>
        <v>1.5580000000000001</v>
      </c>
      <c r="AS12">
        <v>1108</v>
      </c>
      <c r="AT12">
        <v>1013</v>
      </c>
      <c r="AV12">
        <v>10</v>
      </c>
      <c r="AW12" s="11" t="s">
        <v>116</v>
      </c>
      <c r="AX12" t="s">
        <v>71</v>
      </c>
      <c r="AY12" t="s">
        <v>70</v>
      </c>
      <c r="AZ12">
        <v>97</v>
      </c>
      <c r="BA12" s="5">
        <v>41.99</v>
      </c>
      <c r="BB12" s="5">
        <f>VLOOKUP(Inventory11[[#This Row],[Category]],$K$2:$L$23,2,TRUE)*Inventory11[[#This Row],[Price]]</f>
        <v>12.597</v>
      </c>
      <c r="BC12" t="s">
        <v>1982</v>
      </c>
      <c r="BD12" t="str">
        <f ca="1">IF(AND(Inventory11[Category]= "BEER", Inventory11[[#This Row],[Price]]&lt;20),TODAY()+30, "")</f>
        <v/>
      </c>
    </row>
    <row r="13" spans="1:56" x14ac:dyDescent="0.3">
      <c r="A13" s="11" t="s">
        <v>187</v>
      </c>
      <c r="B13">
        <v>11</v>
      </c>
      <c r="C13" t="s">
        <v>90</v>
      </c>
      <c r="D13" t="s">
        <v>70</v>
      </c>
      <c r="E13">
        <v>37</v>
      </c>
      <c r="F13" s="5">
        <v>40.99</v>
      </c>
      <c r="G13" s="5">
        <f>VLOOKUP(Inventory[[#This Row],[Category]],$K$2:$L$23,2,TRUE)*Inventory[[#This Row],[Price]]</f>
        <v>12.297000000000001</v>
      </c>
      <c r="H13" t="s">
        <v>1982</v>
      </c>
      <c r="I13" t="str">
        <f ca="1">IF(AND(Inventory[Category]= "BEER", Inventory[[#This Row],[Price]]&lt;20),TODAY()+30, "")</f>
        <v/>
      </c>
      <c r="K13" t="s">
        <v>71</v>
      </c>
      <c r="L13" s="4">
        <v>0.3</v>
      </c>
      <c r="O13">
        <v>1108</v>
      </c>
      <c r="P13" t="s">
        <v>220</v>
      </c>
      <c r="Q13" t="s">
        <v>221</v>
      </c>
      <c r="R13" t="s">
        <v>1947</v>
      </c>
      <c r="S13" t="s">
        <v>233</v>
      </c>
      <c r="T13" s="7" t="s">
        <v>234</v>
      </c>
      <c r="U13" s="7">
        <v>10059</v>
      </c>
      <c r="V13" s="7" t="s">
        <v>232</v>
      </c>
      <c r="W13" t="s">
        <v>247</v>
      </c>
      <c r="AA13" t="s">
        <v>302</v>
      </c>
      <c r="AB13" t="s">
        <v>270</v>
      </c>
      <c r="AC13" t="s">
        <v>271</v>
      </c>
      <c r="AD13" t="s">
        <v>1959</v>
      </c>
      <c r="AJ13">
        <v>54656</v>
      </c>
      <c r="AK13" s="30">
        <v>41737</v>
      </c>
      <c r="AL13" t="s">
        <v>1518</v>
      </c>
      <c r="AM13">
        <v>5</v>
      </c>
      <c r="AN13" t="str">
        <f>VLOOKUP(Transaction[[#This Row],[Model No.]],$AV$2:$BD$100,2,TRUE)</f>
        <v>Old Forester 1897 Bottled in Bond Kentucky Straight Bourbon Whisky</v>
      </c>
      <c r="AO13" s="21">
        <f>VLOOKUP(Transaction[[#This Row],[Model No.]],$AV$2:$BD$100,6,TRUE)</f>
        <v>46.99</v>
      </c>
      <c r="AP13" s="9">
        <v>4</v>
      </c>
      <c r="AQ13" s="5">
        <f>Transaction[[#This Row],[Price]]*Transaction[[#This Row],[Qty]]</f>
        <v>187.96</v>
      </c>
      <c r="AR13" s="5">
        <f>VLOOKUP(Transaction[[#This Row],[Model No.]],$AV$2:$BD$100,7,TRUE)*Transaction[[#This Row],[Qty]]</f>
        <v>37.592000000000006</v>
      </c>
      <c r="AS13">
        <v>1098</v>
      </c>
      <c r="AT13">
        <v>1006</v>
      </c>
      <c r="AV13">
        <v>11</v>
      </c>
      <c r="AW13" s="11" t="s">
        <v>187</v>
      </c>
      <c r="AX13" t="s">
        <v>90</v>
      </c>
      <c r="AY13" t="s">
        <v>70</v>
      </c>
      <c r="AZ13">
        <v>37</v>
      </c>
      <c r="BA13" s="5">
        <v>40.99</v>
      </c>
      <c r="BB13" s="5">
        <f>VLOOKUP(Inventory11[[#This Row],[Category]],$K$2:$L$23,2,TRUE)*Inventory11[[#This Row],[Price]]</f>
        <v>12.297000000000001</v>
      </c>
      <c r="BC13" t="s">
        <v>1982</v>
      </c>
      <c r="BD13" t="str">
        <f ca="1">IF(AND(Inventory11[Category]= "BEER", Inventory11[[#This Row],[Price]]&lt;20),TODAY()+30, "")</f>
        <v/>
      </c>
    </row>
    <row r="14" spans="1:56" x14ac:dyDescent="0.3">
      <c r="A14" s="11" t="s">
        <v>121</v>
      </c>
      <c r="B14">
        <v>12</v>
      </c>
      <c r="C14" t="s">
        <v>87</v>
      </c>
      <c r="D14" t="s">
        <v>70</v>
      </c>
      <c r="E14">
        <v>60</v>
      </c>
      <c r="F14" s="5">
        <v>36.99</v>
      </c>
      <c r="G14" s="5">
        <f>VLOOKUP(Inventory[[#This Row],[Category]],$K$2:$L$23,2,TRUE)*Inventory[[#This Row],[Price]]</f>
        <v>3.6990000000000003</v>
      </c>
      <c r="H14" t="s">
        <v>1982</v>
      </c>
      <c r="I14" t="str">
        <f ca="1">IF(AND(Inventory[Category]= "BEER", Inventory[[#This Row],[Price]]&lt;20),TODAY()+30, "")</f>
        <v/>
      </c>
      <c r="K14" t="s">
        <v>134</v>
      </c>
      <c r="L14" s="4">
        <v>0.4</v>
      </c>
      <c r="AA14" t="s">
        <v>303</v>
      </c>
      <c r="AB14" t="s">
        <v>272</v>
      </c>
      <c r="AC14" t="s">
        <v>273</v>
      </c>
      <c r="AD14" t="s">
        <v>1960</v>
      </c>
      <c r="AJ14">
        <v>87828</v>
      </c>
      <c r="AK14" s="30">
        <v>41737</v>
      </c>
      <c r="AL14" t="s">
        <v>1393</v>
      </c>
      <c r="AM14">
        <v>10</v>
      </c>
      <c r="AN14" t="str">
        <f>VLOOKUP(Transaction[[#This Row],[Model No.]],$AV$2:$BD$100,2,TRUE)</f>
        <v>Hum Botanical Spirit Liqueur</v>
      </c>
      <c r="AO14" s="21">
        <f>VLOOKUP(Transaction[[#This Row],[Model No.]],$AV$2:$BD$100,6,TRUE)</f>
        <v>41.99</v>
      </c>
      <c r="AP14" s="9">
        <v>5</v>
      </c>
      <c r="AQ14" s="5">
        <f>Transaction[[#This Row],[Price]]*Transaction[[#This Row],[Qty]]</f>
        <v>209.95000000000002</v>
      </c>
      <c r="AR14" s="5">
        <f>VLOOKUP(Transaction[[#This Row],[Model No.]],$AV$2:$BD$100,7,TRUE)*Transaction[[#This Row],[Qty]]</f>
        <v>62.984999999999999</v>
      </c>
      <c r="AS14">
        <v>1105</v>
      </c>
      <c r="AT14">
        <v>1008</v>
      </c>
      <c r="AV14">
        <v>12</v>
      </c>
      <c r="AW14" s="11" t="s">
        <v>121</v>
      </c>
      <c r="AX14" t="s">
        <v>87</v>
      </c>
      <c r="AY14" t="s">
        <v>70</v>
      </c>
      <c r="AZ14">
        <v>60</v>
      </c>
      <c r="BA14" s="5">
        <v>36.99</v>
      </c>
      <c r="BB14" s="5">
        <f>VLOOKUP(Inventory11[[#This Row],[Category]],$K$2:$L$23,2,TRUE)*Inventory11[[#This Row],[Price]]</f>
        <v>3.6990000000000003</v>
      </c>
      <c r="BC14" t="s">
        <v>1982</v>
      </c>
      <c r="BD14" t="str">
        <f ca="1">IF(AND(Inventory11[Category]= "BEER", Inventory11[[#This Row],[Price]]&lt;20),TODAY()+30, "")</f>
        <v/>
      </c>
    </row>
    <row r="15" spans="1:56" x14ac:dyDescent="0.3">
      <c r="A15" s="11" t="s">
        <v>72</v>
      </c>
      <c r="B15">
        <v>13</v>
      </c>
      <c r="C15" t="s">
        <v>71</v>
      </c>
      <c r="D15" t="s">
        <v>70</v>
      </c>
      <c r="E15">
        <v>53</v>
      </c>
      <c r="F15" s="5">
        <v>36.99</v>
      </c>
      <c r="G15" s="5">
        <f>VLOOKUP(Inventory[[#This Row],[Category]],$K$2:$L$23,2,TRUE)*Inventory[[#This Row],[Price]]</f>
        <v>11.097</v>
      </c>
      <c r="H15" t="s">
        <v>1982</v>
      </c>
      <c r="I15" t="str">
        <f ca="1">IF(AND(Inventory[Category]= "BEER", Inventory[[#This Row],[Price]]&lt;20),TODAY()+30, "")</f>
        <v/>
      </c>
      <c r="K15" t="s">
        <v>158</v>
      </c>
      <c r="L15" s="4">
        <v>0.4</v>
      </c>
      <c r="AA15" t="s">
        <v>304</v>
      </c>
      <c r="AB15" t="s">
        <v>274</v>
      </c>
      <c r="AC15" t="s">
        <v>275</v>
      </c>
      <c r="AD15" t="s">
        <v>1961</v>
      </c>
      <c r="AJ15">
        <v>58757</v>
      </c>
      <c r="AK15" s="30">
        <v>41737</v>
      </c>
      <c r="AL15" t="s">
        <v>1636</v>
      </c>
      <c r="AM15">
        <v>60</v>
      </c>
      <c r="AN15" t="str">
        <f>VLOOKUP(Transaction[[#This Row],[Model No.]],$AV$2:$BD$100,2,TRUE)</f>
        <v>La Catrina Cabernet Sauvignon</v>
      </c>
      <c r="AO15" s="21">
        <f>VLOOKUP(Transaction[[#This Row],[Model No.]],$AV$2:$BD$100,6,TRUE)</f>
        <v>12.99</v>
      </c>
      <c r="AP15" s="9">
        <v>2</v>
      </c>
      <c r="AQ15" s="5">
        <f>Transaction[[#This Row],[Price]]*Transaction[[#This Row],[Qty]]</f>
        <v>25.98</v>
      </c>
      <c r="AR15" s="5">
        <f>VLOOKUP(Transaction[[#This Row],[Model No.]],$AV$2:$BD$100,7,TRUE)*Transaction[[#This Row],[Qty]]</f>
        <v>2.5980000000000003</v>
      </c>
      <c r="AS15">
        <v>1099</v>
      </c>
      <c r="AT15">
        <v>1019</v>
      </c>
      <c r="AV15">
        <v>13</v>
      </c>
      <c r="AW15" s="11" t="s">
        <v>72</v>
      </c>
      <c r="AX15" t="s">
        <v>71</v>
      </c>
      <c r="AY15" t="s">
        <v>70</v>
      </c>
      <c r="AZ15">
        <v>53</v>
      </c>
      <c r="BA15" s="5">
        <v>36.99</v>
      </c>
      <c r="BB15" s="5">
        <f>VLOOKUP(Inventory11[[#This Row],[Category]],$K$2:$L$23,2,TRUE)*Inventory11[[#This Row],[Price]]</f>
        <v>11.097</v>
      </c>
      <c r="BC15" t="s">
        <v>1982</v>
      </c>
      <c r="BD15" t="str">
        <f ca="1">IF(AND(Inventory11[Category]= "BEER", Inventory11[[#This Row],[Price]]&lt;20),TODAY()+30, "")</f>
        <v/>
      </c>
    </row>
    <row r="16" spans="1:56" x14ac:dyDescent="0.3">
      <c r="A16" s="11" t="s">
        <v>115</v>
      </c>
      <c r="B16">
        <v>14</v>
      </c>
      <c r="C16" t="s">
        <v>114</v>
      </c>
      <c r="D16" t="s">
        <v>70</v>
      </c>
      <c r="E16">
        <v>77</v>
      </c>
      <c r="F16" s="5">
        <v>34.99</v>
      </c>
      <c r="G16" s="5">
        <f>VLOOKUP(Inventory[[#This Row],[Category]],$K$2:$L$23,2,TRUE)*Inventory[[#This Row],[Price]]</f>
        <v>6.9980000000000011</v>
      </c>
      <c r="H16" t="s">
        <v>1982</v>
      </c>
      <c r="I16" t="str">
        <f ca="1">IF(AND(Inventory[Category]= "BEER", Inventory[[#This Row],[Price]]&lt;20),TODAY()+30, "")</f>
        <v/>
      </c>
      <c r="K16" t="s">
        <v>145</v>
      </c>
      <c r="L16" s="4">
        <v>0.4</v>
      </c>
      <c r="AA16" t="s">
        <v>305</v>
      </c>
      <c r="AB16" t="s">
        <v>276</v>
      </c>
      <c r="AC16" t="s">
        <v>277</v>
      </c>
      <c r="AD16" t="s">
        <v>1962</v>
      </c>
      <c r="AJ16">
        <v>77511</v>
      </c>
      <c r="AK16" s="30">
        <v>41737</v>
      </c>
      <c r="AL16" t="s">
        <v>1721</v>
      </c>
      <c r="AM16">
        <v>87</v>
      </c>
      <c r="AN16" t="str">
        <f>VLOOKUP(Transaction[[#This Row],[Model No.]],$AV$2:$BD$100,2,TRUE)</f>
        <v>Cruzan 9 Spiced Rum</v>
      </c>
      <c r="AO16" s="21">
        <f>VLOOKUP(Transaction[[#This Row],[Model No.]],$AV$2:$BD$100,6,TRUE)</f>
        <v>9.49</v>
      </c>
      <c r="AP16" s="9">
        <v>4</v>
      </c>
      <c r="AQ16" s="5">
        <f>Transaction[[#This Row],[Price]]*Transaction[[#This Row],[Qty]]</f>
        <v>37.96</v>
      </c>
      <c r="AR16" s="5">
        <f>VLOOKUP(Transaction[[#This Row],[Model No.]],$AV$2:$BD$100,7,TRUE)*Transaction[[#This Row],[Qty]]</f>
        <v>7.5920000000000005</v>
      </c>
      <c r="AS16">
        <v>1098</v>
      </c>
      <c r="AT16">
        <v>1005</v>
      </c>
      <c r="AV16">
        <v>14</v>
      </c>
      <c r="AW16" s="11" t="s">
        <v>115</v>
      </c>
      <c r="AX16" t="s">
        <v>114</v>
      </c>
      <c r="AY16" t="s">
        <v>70</v>
      </c>
      <c r="AZ16">
        <v>77</v>
      </c>
      <c r="BA16" s="5">
        <v>34.99</v>
      </c>
      <c r="BB16" s="5">
        <f>VLOOKUP(Inventory11[[#This Row],[Category]],$K$2:$L$23,2,TRUE)*Inventory11[[#This Row],[Price]]</f>
        <v>6.9980000000000011</v>
      </c>
      <c r="BC16" t="s">
        <v>1982</v>
      </c>
      <c r="BD16" t="str">
        <f ca="1">IF(AND(Inventory11[Category]= "BEER", Inventory11[[#This Row],[Price]]&lt;20),TODAY()+30, "")</f>
        <v/>
      </c>
    </row>
    <row r="17" spans="1:56" x14ac:dyDescent="0.3">
      <c r="A17" s="11" t="s">
        <v>152</v>
      </c>
      <c r="B17">
        <v>15</v>
      </c>
      <c r="C17" t="s">
        <v>148</v>
      </c>
      <c r="D17" t="s">
        <v>153</v>
      </c>
      <c r="E17">
        <v>38</v>
      </c>
      <c r="F17" s="5">
        <v>32.99</v>
      </c>
      <c r="G17" s="5">
        <f>VLOOKUP(Inventory[[#This Row],[Category]],$K$2:$L$23,2,TRUE)*Inventory[[#This Row],[Price]]</f>
        <v>6.5980000000000008</v>
      </c>
      <c r="H17" t="s">
        <v>1982</v>
      </c>
      <c r="I17" t="str">
        <f ca="1">IF(AND(Inventory[Category]= "BEER", Inventory[[#This Row],[Price]]&lt;20),TODAY()+30, "")</f>
        <v/>
      </c>
      <c r="K17" t="s">
        <v>82</v>
      </c>
      <c r="L17" s="4">
        <v>0.1</v>
      </c>
      <c r="AA17" t="s">
        <v>306</v>
      </c>
      <c r="AB17" t="s">
        <v>278</v>
      </c>
      <c r="AC17" t="s">
        <v>279</v>
      </c>
      <c r="AD17" t="s">
        <v>1963</v>
      </c>
      <c r="AJ17">
        <v>78811</v>
      </c>
      <c r="AK17" s="30">
        <v>41737</v>
      </c>
      <c r="AL17" t="s">
        <v>663</v>
      </c>
      <c r="AM17">
        <v>94</v>
      </c>
      <c r="AN17" t="str">
        <f>VLOOKUP(Transaction[[#This Row],[Model No.]],$AV$2:$BD$100,2,TRUE)</f>
        <v>Freixenet Blanc de Blancs Brut Cava Blend</v>
      </c>
      <c r="AO17" s="21">
        <f>VLOOKUP(Transaction[[#This Row],[Model No.]],$AV$2:$BD$100,6,TRUE)</f>
        <v>7.49</v>
      </c>
      <c r="AP17" s="9">
        <v>4</v>
      </c>
      <c r="AQ17" s="5">
        <f>Transaction[[#This Row],[Price]]*Transaction[[#This Row],[Qty]]</f>
        <v>29.96</v>
      </c>
      <c r="AR17" s="5">
        <f>VLOOKUP(Transaction[[#This Row],[Model No.]],$AV$2:$BD$100,7,TRUE)*Transaction[[#This Row],[Qty]]</f>
        <v>2.9960000000000004</v>
      </c>
      <c r="AS17">
        <v>1103</v>
      </c>
      <c r="AT17">
        <v>1014</v>
      </c>
      <c r="AV17">
        <v>15</v>
      </c>
      <c r="AW17" s="11" t="s">
        <v>152</v>
      </c>
      <c r="AX17" t="s">
        <v>148</v>
      </c>
      <c r="AY17" t="s">
        <v>153</v>
      </c>
      <c r="AZ17">
        <v>38</v>
      </c>
      <c r="BA17" s="5">
        <v>32.99</v>
      </c>
      <c r="BB17" s="5">
        <f>VLOOKUP(Inventory11[[#This Row],[Category]],$K$2:$L$23,2,TRUE)*Inventory11[[#This Row],[Price]]</f>
        <v>6.5980000000000008</v>
      </c>
      <c r="BC17" t="s">
        <v>1982</v>
      </c>
      <c r="BD17" t="str">
        <f ca="1">IF(AND(Inventory11[Category]= "BEER", Inventory11[[#This Row],[Price]]&lt;20),TODAY()+30, "")</f>
        <v/>
      </c>
    </row>
    <row r="18" spans="1:56" x14ac:dyDescent="0.3">
      <c r="A18" s="11" t="s">
        <v>101</v>
      </c>
      <c r="B18">
        <v>16</v>
      </c>
      <c r="C18" t="s">
        <v>74</v>
      </c>
      <c r="D18" t="s">
        <v>102</v>
      </c>
      <c r="E18">
        <v>5</v>
      </c>
      <c r="F18" s="5">
        <v>31.99</v>
      </c>
      <c r="G18" s="5">
        <f>VLOOKUP(Inventory[[#This Row],[Category]],$K$2:$L$23,2,TRUE)*Inventory[[#This Row],[Price]]</f>
        <v>9.5969999999999995</v>
      </c>
      <c r="H18" t="s">
        <v>1982</v>
      </c>
      <c r="I18" t="str">
        <f ca="1">IF(AND(Inventory[Category]= "BEER", Inventory[[#This Row],[Price]]&lt;20),TODAY()+30, "")</f>
        <v/>
      </c>
      <c r="K18" t="s">
        <v>154</v>
      </c>
      <c r="L18" s="4">
        <v>0.2</v>
      </c>
      <c r="AA18" t="s">
        <v>307</v>
      </c>
      <c r="AB18" t="s">
        <v>280</v>
      </c>
      <c r="AC18" t="s">
        <v>281</v>
      </c>
      <c r="AD18" t="s">
        <v>1964</v>
      </c>
      <c r="AJ18">
        <v>62291</v>
      </c>
      <c r="AK18" s="30">
        <v>41740</v>
      </c>
      <c r="AL18" t="s">
        <v>1624</v>
      </c>
      <c r="AM18">
        <v>92</v>
      </c>
      <c r="AN18" t="str">
        <f>VLOOKUP(Transaction[[#This Row],[Model No.]],$AV$2:$BD$100,2,TRUE)</f>
        <v>Four Seasons Collection Late Harvest White Moscato Dessert Muscat</v>
      </c>
      <c r="AO18" s="21">
        <f>VLOOKUP(Transaction[[#This Row],[Model No.]],$AV$2:$BD$100,6,TRUE)</f>
        <v>7.69</v>
      </c>
      <c r="AP18" s="9">
        <v>2</v>
      </c>
      <c r="AQ18" s="5">
        <f>Transaction[[#This Row],[Price]]*Transaction[[#This Row],[Qty]]</f>
        <v>15.38</v>
      </c>
      <c r="AR18" s="5">
        <f>VLOOKUP(Transaction[[#This Row],[Model No.]],$AV$2:$BD$100,7,TRUE)*Transaction[[#This Row],[Qty]]</f>
        <v>1.5380000000000003</v>
      </c>
      <c r="AS18">
        <v>1107</v>
      </c>
      <c r="AT18">
        <v>1019</v>
      </c>
      <c r="AV18">
        <v>16</v>
      </c>
      <c r="AW18" s="11" t="s">
        <v>101</v>
      </c>
      <c r="AX18" t="s">
        <v>74</v>
      </c>
      <c r="AY18" t="s">
        <v>102</v>
      </c>
      <c r="AZ18">
        <v>5</v>
      </c>
      <c r="BA18" s="5">
        <v>31.99</v>
      </c>
      <c r="BB18" s="5">
        <f>VLOOKUP(Inventory11[[#This Row],[Category]],$K$2:$L$23,2,TRUE)*Inventory11[[#This Row],[Price]]</f>
        <v>9.5969999999999995</v>
      </c>
      <c r="BC18" t="s">
        <v>1982</v>
      </c>
      <c r="BD18" t="str">
        <f ca="1">IF(AND(Inventory11[Category]= "BEER", Inventory11[[#This Row],[Price]]&lt;20),TODAY()+30, "")</f>
        <v/>
      </c>
    </row>
    <row r="19" spans="1:56" x14ac:dyDescent="0.3">
      <c r="A19" s="11" t="s">
        <v>126</v>
      </c>
      <c r="B19">
        <v>17</v>
      </c>
      <c r="C19" t="s">
        <v>74</v>
      </c>
      <c r="D19" t="s">
        <v>127</v>
      </c>
      <c r="E19">
        <v>75</v>
      </c>
      <c r="F19" s="5">
        <v>30.99</v>
      </c>
      <c r="G19" s="5">
        <f>VLOOKUP(Inventory[[#This Row],[Category]],$K$2:$L$23,2,TRUE)*Inventory[[#This Row],[Price]]</f>
        <v>9.2969999999999988</v>
      </c>
      <c r="H19" t="s">
        <v>1982</v>
      </c>
      <c r="I19" t="str">
        <f ca="1">IF(AND(Inventory[Category]= "BEER", Inventory[[#This Row],[Price]]&lt;20),TODAY()+30, "")</f>
        <v/>
      </c>
      <c r="K19" t="s">
        <v>78</v>
      </c>
      <c r="L19" s="4">
        <v>0.1</v>
      </c>
      <c r="AA19" t="s">
        <v>308</v>
      </c>
      <c r="AB19" t="s">
        <v>282</v>
      </c>
      <c r="AC19" t="s">
        <v>283</v>
      </c>
      <c r="AD19" t="s">
        <v>1965</v>
      </c>
      <c r="AJ19">
        <v>89832</v>
      </c>
      <c r="AK19" s="30">
        <v>41743</v>
      </c>
      <c r="AL19" t="s">
        <v>890</v>
      </c>
      <c r="AM19">
        <v>70</v>
      </c>
      <c r="AN19" t="str">
        <f>VLOOKUP(Transaction[[#This Row],[Model No.]],$AV$2:$BD$100,2,TRUE)</f>
        <v>Matchbook Rose Estate Bottled Tempranillo</v>
      </c>
      <c r="AO19" s="21">
        <f>VLOOKUP(Transaction[[#This Row],[Model No.]],$AV$2:$BD$100,6,TRUE)</f>
        <v>12.69</v>
      </c>
      <c r="AP19" s="9">
        <v>5</v>
      </c>
      <c r="AQ19" s="5">
        <f>Transaction[[#This Row],[Price]]*Transaction[[#This Row],[Qty]]</f>
        <v>63.449999999999996</v>
      </c>
      <c r="AR19" s="5">
        <f>VLOOKUP(Transaction[[#This Row],[Model No.]],$AV$2:$BD$100,7,TRUE)*Transaction[[#This Row],[Qty]]</f>
        <v>6.3450000000000006</v>
      </c>
      <c r="AS19">
        <v>1100</v>
      </c>
      <c r="AT19">
        <v>1002</v>
      </c>
      <c r="AV19">
        <v>17</v>
      </c>
      <c r="AW19" s="11" t="s">
        <v>126</v>
      </c>
      <c r="AX19" t="s">
        <v>74</v>
      </c>
      <c r="AY19" t="s">
        <v>127</v>
      </c>
      <c r="AZ19">
        <v>75</v>
      </c>
      <c r="BA19" s="5">
        <v>30.99</v>
      </c>
      <c r="BB19" s="5">
        <f>VLOOKUP(Inventory11[[#This Row],[Category]],$K$2:$L$23,2,TRUE)*Inventory11[[#This Row],[Price]]</f>
        <v>9.2969999999999988</v>
      </c>
      <c r="BC19" t="s">
        <v>1982</v>
      </c>
      <c r="BD19" t="str">
        <f ca="1">IF(AND(Inventory11[Category]= "BEER", Inventory11[[#This Row],[Price]]&lt;20),TODAY()+30, "")</f>
        <v/>
      </c>
    </row>
    <row r="20" spans="1:56" x14ac:dyDescent="0.3">
      <c r="A20" s="11" t="s">
        <v>166</v>
      </c>
      <c r="B20">
        <v>18</v>
      </c>
      <c r="C20" t="s">
        <v>90</v>
      </c>
      <c r="D20" t="s">
        <v>70</v>
      </c>
      <c r="E20">
        <v>18</v>
      </c>
      <c r="F20" s="5">
        <v>30.99</v>
      </c>
      <c r="G20" s="5">
        <f>VLOOKUP(Inventory[[#This Row],[Category]],$K$2:$L$23,2,TRUE)*Inventory[[#This Row],[Price]]</f>
        <v>9.2969999999999988</v>
      </c>
      <c r="H20" t="s">
        <v>1982</v>
      </c>
      <c r="I20" t="str">
        <f ca="1">IF(AND(Inventory[Category]= "BEER", Inventory[[#This Row],[Price]]&lt;20),TODAY()+30, "")</f>
        <v/>
      </c>
      <c r="K20" t="s">
        <v>85</v>
      </c>
      <c r="L20" s="4">
        <v>0.2</v>
      </c>
      <c r="AA20" t="s">
        <v>309</v>
      </c>
      <c r="AB20" t="s">
        <v>284</v>
      </c>
      <c r="AC20" t="s">
        <v>285</v>
      </c>
      <c r="AD20" t="s">
        <v>1966</v>
      </c>
      <c r="AJ20">
        <v>85743</v>
      </c>
      <c r="AK20" s="30">
        <v>41744</v>
      </c>
      <c r="AL20" t="s">
        <v>1730</v>
      </c>
      <c r="AM20">
        <v>42</v>
      </c>
      <c r="AN20" t="str">
        <f>VLOOKUP(Transaction[[#This Row],[Model No.]],$AV$2:$BD$100,2,TRUE)</f>
        <v>Francis Ford Coppola Sofia Brut Rose Pinot Noir</v>
      </c>
      <c r="AO20" s="21">
        <f>VLOOKUP(Transaction[[#This Row],[Model No.]],$AV$2:$BD$100,6,TRUE)</f>
        <v>16.989999999999998</v>
      </c>
      <c r="AP20" s="9">
        <v>5</v>
      </c>
      <c r="AQ20" s="5">
        <f>Transaction[[#This Row],[Price]]*Transaction[[#This Row],[Qty]]</f>
        <v>84.949999999999989</v>
      </c>
      <c r="AR20" s="5">
        <f>VLOOKUP(Transaction[[#This Row],[Model No.]],$AV$2:$BD$100,7,TRUE)*Transaction[[#This Row],[Qty]]</f>
        <v>33.979999999999997</v>
      </c>
      <c r="AS20">
        <v>1099</v>
      </c>
      <c r="AT20">
        <v>1016</v>
      </c>
      <c r="AV20">
        <v>18</v>
      </c>
      <c r="AW20" s="11" t="s">
        <v>166</v>
      </c>
      <c r="AX20" t="s">
        <v>90</v>
      </c>
      <c r="AY20" t="s">
        <v>70</v>
      </c>
      <c r="AZ20">
        <v>18</v>
      </c>
      <c r="BA20" s="5">
        <v>30.99</v>
      </c>
      <c r="BB20" s="5">
        <f>VLOOKUP(Inventory11[[#This Row],[Category]],$K$2:$L$23,2,TRUE)*Inventory11[[#This Row],[Price]]</f>
        <v>9.2969999999999988</v>
      </c>
      <c r="BC20" t="s">
        <v>1982</v>
      </c>
      <c r="BD20" t="str">
        <f ca="1">IF(AND(Inventory11[Category]= "BEER", Inventory11[[#This Row],[Price]]&lt;20),TODAY()+30, "")</f>
        <v/>
      </c>
    </row>
    <row r="21" spans="1:56" x14ac:dyDescent="0.3">
      <c r="A21" s="11" t="s">
        <v>147</v>
      </c>
      <c r="B21">
        <v>19</v>
      </c>
      <c r="C21" t="s">
        <v>90</v>
      </c>
      <c r="D21" t="s">
        <v>70</v>
      </c>
      <c r="E21">
        <v>8</v>
      </c>
      <c r="F21" s="5">
        <v>29.99</v>
      </c>
      <c r="G21" s="5">
        <f>VLOOKUP(Inventory[[#This Row],[Category]],$K$2:$L$23,2,TRUE)*Inventory[[#This Row],[Price]]</f>
        <v>8.9969999999999999</v>
      </c>
      <c r="H21" t="s">
        <v>1982</v>
      </c>
      <c r="I21" t="str">
        <f ca="1">IF(AND(Inventory[Category]= "BEER", Inventory[[#This Row],[Price]]&lt;20),TODAY()+30, "")</f>
        <v/>
      </c>
      <c r="K21" t="s">
        <v>68</v>
      </c>
      <c r="L21" s="4">
        <v>0.3</v>
      </c>
      <c r="AA21" t="s">
        <v>310</v>
      </c>
      <c r="AB21" t="s">
        <v>1993</v>
      </c>
      <c r="AC21" t="s">
        <v>3</v>
      </c>
      <c r="AD21" s="17" t="s">
        <v>1994</v>
      </c>
      <c r="AJ21">
        <v>39869</v>
      </c>
      <c r="AK21" s="30">
        <v>41744</v>
      </c>
      <c r="AL21" t="s">
        <v>1378</v>
      </c>
      <c r="AM21">
        <v>52</v>
      </c>
      <c r="AN21" t="str">
        <f>VLOOKUP(Transaction[[#This Row],[Model No.]],$AV$2:$BD$100,2,TRUE)</f>
        <v>Finca Las Moras Barrel Select Cabernet Sauvignon</v>
      </c>
      <c r="AO21" s="21">
        <f>VLOOKUP(Transaction[[#This Row],[Model No.]],$AV$2:$BD$100,6,TRUE)</f>
        <v>14.99</v>
      </c>
      <c r="AP21" s="9">
        <v>2</v>
      </c>
      <c r="AQ21" s="5">
        <f>Transaction[[#This Row],[Price]]*Transaction[[#This Row],[Qty]]</f>
        <v>29.98</v>
      </c>
      <c r="AR21" s="5">
        <f>VLOOKUP(Transaction[[#This Row],[Model No.]],$AV$2:$BD$100,7,TRUE)*Transaction[[#This Row],[Qty]]</f>
        <v>2.9980000000000002</v>
      </c>
      <c r="AS21">
        <v>1108</v>
      </c>
      <c r="AT21">
        <v>1012</v>
      </c>
      <c r="AV21">
        <v>19</v>
      </c>
      <c r="AW21" s="11" t="s">
        <v>147</v>
      </c>
      <c r="AX21" t="s">
        <v>90</v>
      </c>
      <c r="AY21" t="s">
        <v>70</v>
      </c>
      <c r="AZ21">
        <v>8</v>
      </c>
      <c r="BA21" s="5">
        <v>29.99</v>
      </c>
      <c r="BB21" s="5">
        <f>VLOOKUP(Inventory11[[#This Row],[Category]],$K$2:$L$23,2,TRUE)*Inventory11[[#This Row],[Price]]</f>
        <v>8.9969999999999999</v>
      </c>
      <c r="BC21" t="s">
        <v>1982</v>
      </c>
      <c r="BD21" t="str">
        <f ca="1">IF(AND(Inventory11[Category]= "BEER", Inventory11[[#This Row],[Price]]&lt;20),TODAY()+30, "")</f>
        <v/>
      </c>
    </row>
    <row r="22" spans="1:56" x14ac:dyDescent="0.3">
      <c r="A22" s="11" t="s">
        <v>186</v>
      </c>
      <c r="B22">
        <v>20</v>
      </c>
      <c r="C22" t="s">
        <v>85</v>
      </c>
      <c r="D22" t="s">
        <v>70</v>
      </c>
      <c r="E22">
        <v>55</v>
      </c>
      <c r="F22" s="5">
        <v>27.99</v>
      </c>
      <c r="G22" s="5">
        <f>VLOOKUP(Inventory[[#This Row],[Category]],$K$2:$L$23,2,TRUE)*Inventory[[#This Row],[Price]]</f>
        <v>5.5979999999999999</v>
      </c>
      <c r="H22" t="s">
        <v>1982</v>
      </c>
      <c r="I22" t="str">
        <f ca="1">IF(AND(Inventory[Category]= "BEER", Inventory[[#This Row],[Price]]&lt;20),TODAY()+30, "")</f>
        <v/>
      </c>
      <c r="K22" t="s">
        <v>108</v>
      </c>
      <c r="L22" s="4">
        <v>0.4</v>
      </c>
      <c r="AA22" t="s">
        <v>311</v>
      </c>
      <c r="AB22" t="s">
        <v>286</v>
      </c>
      <c r="AC22" t="s">
        <v>287</v>
      </c>
      <c r="AD22" t="s">
        <v>1967</v>
      </c>
      <c r="AJ22">
        <v>39429</v>
      </c>
      <c r="AK22" s="30">
        <v>41745</v>
      </c>
      <c r="AL22" t="s">
        <v>361</v>
      </c>
      <c r="AM22">
        <v>45</v>
      </c>
      <c r="AN22" t="str">
        <f>VLOOKUP(Transaction[[#This Row],[Model No.]],$AV$2:$BD$100,2,TRUE)</f>
        <v>Sixpoint Resin - 6 Pack</v>
      </c>
      <c r="AO22" s="21">
        <f>VLOOKUP(Transaction[[#This Row],[Model No.]],$AV$2:$BD$100,6,TRUE)</f>
        <v>15.99</v>
      </c>
      <c r="AP22" s="9">
        <v>1</v>
      </c>
      <c r="AQ22" s="5">
        <f>Transaction[[#This Row],[Price]]*Transaction[[#This Row],[Qty]]</f>
        <v>15.99</v>
      </c>
      <c r="AR22" s="5">
        <f>VLOOKUP(Transaction[[#This Row],[Model No.]],$AV$2:$BD$100,7,TRUE)*Transaction[[#This Row],[Qty]]</f>
        <v>4.7969999999999997</v>
      </c>
      <c r="AS22">
        <v>1108</v>
      </c>
      <c r="AT22">
        <v>1000</v>
      </c>
      <c r="AV22">
        <v>20</v>
      </c>
      <c r="AW22" s="11" t="s">
        <v>186</v>
      </c>
      <c r="AX22" t="s">
        <v>85</v>
      </c>
      <c r="AY22" t="s">
        <v>70</v>
      </c>
      <c r="AZ22">
        <v>55</v>
      </c>
      <c r="BA22" s="5">
        <v>27.99</v>
      </c>
      <c r="BB22" s="5">
        <f>VLOOKUP(Inventory11[[#This Row],[Category]],$K$2:$L$23,2,TRUE)*Inventory11[[#This Row],[Price]]</f>
        <v>5.5979999999999999</v>
      </c>
      <c r="BC22" t="s">
        <v>1982</v>
      </c>
      <c r="BD22" t="str">
        <f ca="1">IF(AND(Inventory11[Category]= "BEER", Inventory11[[#This Row],[Price]]&lt;20),TODAY()+30, "")</f>
        <v/>
      </c>
    </row>
    <row r="23" spans="1:56" x14ac:dyDescent="0.3">
      <c r="A23" s="11" t="s">
        <v>139</v>
      </c>
      <c r="B23">
        <v>21</v>
      </c>
      <c r="C23" t="s">
        <v>87</v>
      </c>
      <c r="D23" t="s">
        <v>70</v>
      </c>
      <c r="E23">
        <v>99</v>
      </c>
      <c r="F23" s="5">
        <v>25.99</v>
      </c>
      <c r="G23" s="5">
        <f>VLOOKUP(Inventory[[#This Row],[Category]],$K$2:$L$23,2,TRUE)*Inventory[[#This Row],[Price]]</f>
        <v>2.5990000000000002</v>
      </c>
      <c r="H23" t="s">
        <v>1982</v>
      </c>
      <c r="I23" t="str">
        <f ca="1">IF(AND(Inventory[Category]= "BEER", Inventory[[#This Row],[Price]]&lt;20),TODAY()+30, "")</f>
        <v/>
      </c>
      <c r="K23" t="s">
        <v>90</v>
      </c>
      <c r="L23" s="4">
        <v>0.3</v>
      </c>
      <c r="AA23" t="s">
        <v>312</v>
      </c>
      <c r="AB23" t="s">
        <v>288</v>
      </c>
      <c r="AC23" t="s">
        <v>289</v>
      </c>
      <c r="AD23" t="s">
        <v>1968</v>
      </c>
      <c r="AJ23">
        <v>66966</v>
      </c>
      <c r="AK23" s="30">
        <v>41745</v>
      </c>
      <c r="AL23" t="s">
        <v>337</v>
      </c>
      <c r="AM23">
        <v>86</v>
      </c>
      <c r="AN23" t="str">
        <f>VLOOKUP(Transaction[[#This Row],[Model No.]],$AV$2:$BD$100,2,TRUE)</f>
        <v>Bully Hill Vineyards Love My Goat Baco Noir</v>
      </c>
      <c r="AO23" s="21">
        <f>VLOOKUP(Transaction[[#This Row],[Model No.]],$AV$2:$BD$100,6,TRUE)</f>
        <v>9.49</v>
      </c>
      <c r="AP23" s="9">
        <v>5</v>
      </c>
      <c r="AQ23" s="5">
        <f>Transaction[[#This Row],[Price]]*Transaction[[#This Row],[Qty]]</f>
        <v>47.45</v>
      </c>
      <c r="AR23" s="5">
        <f>VLOOKUP(Transaction[[#This Row],[Model No.]],$AV$2:$BD$100,7,TRUE)*Transaction[[#This Row],[Qty]]</f>
        <v>4.7450000000000001</v>
      </c>
      <c r="AS23">
        <v>1104</v>
      </c>
      <c r="AT23">
        <v>1001</v>
      </c>
      <c r="AV23">
        <v>21</v>
      </c>
      <c r="AW23" s="11" t="s">
        <v>139</v>
      </c>
      <c r="AX23" t="s">
        <v>87</v>
      </c>
      <c r="AY23" t="s">
        <v>70</v>
      </c>
      <c r="AZ23">
        <v>99</v>
      </c>
      <c r="BA23" s="5">
        <v>25.99</v>
      </c>
      <c r="BB23" s="5">
        <f>VLOOKUP(Inventory11[[#This Row],[Category]],$K$2:$L$23,2,TRUE)*Inventory11[[#This Row],[Price]]</f>
        <v>2.5990000000000002</v>
      </c>
      <c r="BC23" t="s">
        <v>1982</v>
      </c>
      <c r="BD23" t="str">
        <f ca="1">IF(AND(Inventory11[Category]= "BEER", Inventory11[[#This Row],[Price]]&lt;20),TODAY()+30, "")</f>
        <v/>
      </c>
    </row>
    <row r="24" spans="1:56" x14ac:dyDescent="0.3">
      <c r="A24" s="11" t="s">
        <v>125</v>
      </c>
      <c r="B24">
        <v>22</v>
      </c>
      <c r="C24" t="s">
        <v>71</v>
      </c>
      <c r="D24" t="s">
        <v>70</v>
      </c>
      <c r="E24">
        <v>0</v>
      </c>
      <c r="F24" s="5">
        <v>25.99</v>
      </c>
      <c r="G24" s="5">
        <f>VLOOKUP(Inventory[[#This Row],[Category]],$K$2:$L$23,2,TRUE)*Inventory[[#This Row],[Price]]</f>
        <v>7.7969999999999988</v>
      </c>
      <c r="H24" t="s">
        <v>1982</v>
      </c>
      <c r="I24" t="str">
        <f ca="1">IF(AND(Inventory[Category]= "BEER", Inventory[[#This Row],[Price]]&lt;20),TODAY()+30, "")</f>
        <v/>
      </c>
      <c r="AA24" t="s">
        <v>313</v>
      </c>
      <c r="AB24" t="s">
        <v>290</v>
      </c>
      <c r="AC24" t="s">
        <v>291</v>
      </c>
      <c r="AD24" t="s">
        <v>1969</v>
      </c>
      <c r="AJ24">
        <v>60608</v>
      </c>
      <c r="AK24" s="30">
        <v>41746</v>
      </c>
      <c r="AL24" t="s">
        <v>1800</v>
      </c>
      <c r="AM24">
        <v>26</v>
      </c>
      <c r="AN24" t="str">
        <f>VLOOKUP(Transaction[[#This Row],[Model No.]],$AV$2:$BD$100,2,TRUE)</f>
        <v>Belhaven Scottish Stout - 4 Pack</v>
      </c>
      <c r="AO24" s="21">
        <f>VLOOKUP(Transaction[[#This Row],[Model No.]],$AV$2:$BD$100,6,TRUE)</f>
        <v>23.99</v>
      </c>
      <c r="AP24" s="9">
        <v>2</v>
      </c>
      <c r="AQ24" s="5">
        <f>Transaction[[#This Row],[Price]]*Transaction[[#This Row],[Qty]]</f>
        <v>47.98</v>
      </c>
      <c r="AR24" s="5">
        <f>VLOOKUP(Transaction[[#This Row],[Model No.]],$AV$2:$BD$100,7,TRUE)*Transaction[[#This Row],[Qty]]</f>
        <v>14.393999999999998</v>
      </c>
      <c r="AS24">
        <v>1107</v>
      </c>
      <c r="AT24">
        <v>1021</v>
      </c>
      <c r="AV24">
        <v>22</v>
      </c>
      <c r="AW24" s="11" t="s">
        <v>125</v>
      </c>
      <c r="AX24" t="s">
        <v>71</v>
      </c>
      <c r="AY24" t="s">
        <v>70</v>
      </c>
      <c r="AZ24">
        <v>0</v>
      </c>
      <c r="BA24" s="5">
        <v>25.99</v>
      </c>
      <c r="BB24" s="5">
        <f>VLOOKUP(Inventory11[[#This Row],[Category]],$K$2:$L$23,2,TRUE)*Inventory11[[#This Row],[Price]]</f>
        <v>7.7969999999999988</v>
      </c>
      <c r="BC24" t="s">
        <v>1982</v>
      </c>
      <c r="BD24" t="str">
        <f ca="1">IF(AND(Inventory11[Category]= "BEER", Inventory11[[#This Row],[Price]]&lt;20),TODAY()+30, "")</f>
        <v/>
      </c>
    </row>
    <row r="25" spans="1:56" x14ac:dyDescent="0.3">
      <c r="A25" s="11" t="s">
        <v>128</v>
      </c>
      <c r="B25">
        <v>23</v>
      </c>
      <c r="C25" t="s">
        <v>85</v>
      </c>
      <c r="D25" t="s">
        <v>70</v>
      </c>
      <c r="E25">
        <v>15</v>
      </c>
      <c r="F25" s="5">
        <v>25.99</v>
      </c>
      <c r="G25" s="5">
        <f>VLOOKUP(Inventory[[#This Row],[Category]],$K$2:$L$23,2,TRUE)*Inventory[[#This Row],[Price]]</f>
        <v>5.1980000000000004</v>
      </c>
      <c r="H25" t="s">
        <v>1982</v>
      </c>
      <c r="I25" t="str">
        <f ca="1">IF(AND(Inventory[Category]= "BEER", Inventory[[#This Row],[Price]]&lt;20),TODAY()+30, "")</f>
        <v/>
      </c>
      <c r="AA25" t="s">
        <v>1931</v>
      </c>
      <c r="AB25" t="s">
        <v>1929</v>
      </c>
      <c r="AC25" t="s">
        <v>1930</v>
      </c>
      <c r="AD25" t="s">
        <v>1932</v>
      </c>
      <c r="AJ25">
        <v>90134</v>
      </c>
      <c r="AK25" s="30">
        <v>41746</v>
      </c>
      <c r="AL25" t="s">
        <v>673</v>
      </c>
      <c r="AM25">
        <v>41</v>
      </c>
      <c r="AN25" t="str">
        <f>VLOOKUP(Transaction[[#This Row],[Model No.]],$AV$2:$BD$100,2,TRUE)</f>
        <v>Brunellesco Delle Venezie IGT Pinot Grigio</v>
      </c>
      <c r="AO25" s="21">
        <f>VLOOKUP(Transaction[[#This Row],[Model No.]],$AV$2:$BD$100,6,TRUE)</f>
        <v>17.39</v>
      </c>
      <c r="AP25" s="9">
        <v>4</v>
      </c>
      <c r="AQ25" s="5">
        <f>Transaction[[#This Row],[Price]]*Transaction[[#This Row],[Qty]]</f>
        <v>69.56</v>
      </c>
      <c r="AR25" s="5">
        <f>VLOOKUP(Transaction[[#This Row],[Model No.]],$AV$2:$BD$100,7,TRUE)*Transaction[[#This Row],[Qty]]</f>
        <v>6.9560000000000004</v>
      </c>
      <c r="AS25">
        <v>1104</v>
      </c>
      <c r="AT25">
        <v>1013</v>
      </c>
      <c r="AV25">
        <v>23</v>
      </c>
      <c r="AW25" s="11" t="s">
        <v>128</v>
      </c>
      <c r="AX25" t="s">
        <v>85</v>
      </c>
      <c r="AY25" t="s">
        <v>70</v>
      </c>
      <c r="AZ25">
        <v>15</v>
      </c>
      <c r="BA25" s="5">
        <v>25.99</v>
      </c>
      <c r="BB25" s="5">
        <f>VLOOKUP(Inventory11[[#This Row],[Category]],$K$2:$L$23,2,TRUE)*Inventory11[[#This Row],[Price]]</f>
        <v>5.1980000000000004</v>
      </c>
      <c r="BC25" t="s">
        <v>1982</v>
      </c>
      <c r="BD25" t="str">
        <f ca="1">IF(AND(Inventory11[Category]= "BEER", Inventory11[[#This Row],[Price]]&lt;20),TODAY()+30, "")</f>
        <v/>
      </c>
    </row>
    <row r="26" spans="1:56" x14ac:dyDescent="0.3">
      <c r="A26" s="11" t="s">
        <v>132</v>
      </c>
      <c r="B26">
        <v>24</v>
      </c>
      <c r="C26" t="s">
        <v>87</v>
      </c>
      <c r="D26" t="s">
        <v>70</v>
      </c>
      <c r="E26">
        <v>73</v>
      </c>
      <c r="F26" s="5">
        <v>24.99</v>
      </c>
      <c r="G26" s="5">
        <f>VLOOKUP(Inventory[[#This Row],[Category]],$K$2:$L$23,2,TRUE)*Inventory[[#This Row],[Price]]</f>
        <v>2.4990000000000001</v>
      </c>
      <c r="H26" t="s">
        <v>1982</v>
      </c>
      <c r="I26" t="str">
        <f ca="1">IF(AND(Inventory[Category]= "BEER", Inventory[[#This Row],[Price]]&lt;20),TODAY()+30, "")</f>
        <v/>
      </c>
      <c r="AA26" t="s">
        <v>1935</v>
      </c>
      <c r="AB26" s="16" t="s">
        <v>1934</v>
      </c>
      <c r="AC26" t="s">
        <v>1933</v>
      </c>
      <c r="AD26" t="s">
        <v>1936</v>
      </c>
      <c r="AJ26">
        <v>33161</v>
      </c>
      <c r="AK26" s="30">
        <v>41747</v>
      </c>
      <c r="AL26" t="s">
        <v>1032</v>
      </c>
      <c r="AM26">
        <v>15</v>
      </c>
      <c r="AN26" t="str">
        <f>VLOOKUP(Transaction[[#This Row],[Model No.]],$AV$2:$BD$100,2,TRUE)</f>
        <v>Wild Turkey 101 Kentucky Straight Bourbon Whiskey</v>
      </c>
      <c r="AO26" s="21">
        <f>VLOOKUP(Transaction[[#This Row],[Model No.]],$AV$2:$BD$100,6,TRUE)</f>
        <v>32.99</v>
      </c>
      <c r="AP26" s="9">
        <v>1</v>
      </c>
      <c r="AQ26" s="5">
        <f>Transaction[[#This Row],[Price]]*Transaction[[#This Row],[Qty]]</f>
        <v>32.99</v>
      </c>
      <c r="AR26" s="5">
        <f>VLOOKUP(Transaction[[#This Row],[Model No.]],$AV$2:$BD$100,7,TRUE)*Transaction[[#This Row],[Qty]]</f>
        <v>6.5980000000000008</v>
      </c>
      <c r="AS26">
        <v>1102</v>
      </c>
      <c r="AT26">
        <v>1017</v>
      </c>
      <c r="AV26">
        <v>24</v>
      </c>
      <c r="AW26" s="11" t="s">
        <v>132</v>
      </c>
      <c r="AX26" t="s">
        <v>87</v>
      </c>
      <c r="AY26" t="s">
        <v>70</v>
      </c>
      <c r="AZ26">
        <v>73</v>
      </c>
      <c r="BA26" s="5">
        <v>24.99</v>
      </c>
      <c r="BB26" s="5">
        <f>VLOOKUP(Inventory11[[#This Row],[Category]],$K$2:$L$23,2,TRUE)*Inventory11[[#This Row],[Price]]</f>
        <v>2.4990000000000001</v>
      </c>
      <c r="BC26" t="s">
        <v>1982</v>
      </c>
      <c r="BD26" t="str">
        <f ca="1">IF(AND(Inventory11[Category]= "BEER", Inventory11[[#This Row],[Price]]&lt;20),TODAY()+30, "")</f>
        <v/>
      </c>
    </row>
    <row r="27" spans="1:56" x14ac:dyDescent="0.3">
      <c r="A27" s="11" t="s">
        <v>143</v>
      </c>
      <c r="B27">
        <v>25</v>
      </c>
      <c r="C27" t="s">
        <v>74</v>
      </c>
      <c r="D27" t="s">
        <v>76</v>
      </c>
      <c r="E27">
        <v>38</v>
      </c>
      <c r="F27" s="5">
        <v>23.99</v>
      </c>
      <c r="G27" s="5">
        <f>VLOOKUP(Inventory[[#This Row],[Category]],$K$2:$L$23,2,TRUE)*Inventory[[#This Row],[Price]]</f>
        <v>7.1969999999999992</v>
      </c>
      <c r="H27" t="s">
        <v>1982</v>
      </c>
      <c r="I27" t="str">
        <f ca="1">IF(AND(Inventory[Category]= "BEER", Inventory[[#This Row],[Price]]&lt;20),TODAY()+30, "")</f>
        <v/>
      </c>
      <c r="AA27" t="s">
        <v>1971</v>
      </c>
      <c r="AB27" s="15" t="s">
        <v>1970</v>
      </c>
      <c r="AC27" t="s">
        <v>203</v>
      </c>
      <c r="AD27" t="s">
        <v>1972</v>
      </c>
      <c r="AJ27">
        <v>87998</v>
      </c>
      <c r="AK27" s="30">
        <v>41748</v>
      </c>
      <c r="AL27" t="s">
        <v>1399</v>
      </c>
      <c r="AM27">
        <v>42</v>
      </c>
      <c r="AN27" t="str">
        <f>VLOOKUP(Transaction[[#This Row],[Model No.]],$AV$2:$BD$100,2,TRUE)</f>
        <v>Francis Ford Coppola Sofia Brut Rose Pinot Noir</v>
      </c>
      <c r="AO27" s="21">
        <f>VLOOKUP(Transaction[[#This Row],[Model No.]],$AV$2:$BD$100,6,TRUE)</f>
        <v>16.989999999999998</v>
      </c>
      <c r="AP27" s="9">
        <v>1</v>
      </c>
      <c r="AQ27" s="5">
        <f>Transaction[[#This Row],[Price]]*Transaction[[#This Row],[Qty]]</f>
        <v>16.989999999999998</v>
      </c>
      <c r="AR27" s="5">
        <f>VLOOKUP(Transaction[[#This Row],[Model No.]],$AV$2:$BD$100,7,TRUE)*Transaction[[#This Row],[Qty]]</f>
        <v>6.7959999999999994</v>
      </c>
      <c r="AS27">
        <v>1098</v>
      </c>
      <c r="AT27">
        <v>1006</v>
      </c>
      <c r="AV27">
        <v>25</v>
      </c>
      <c r="AW27" s="11" t="s">
        <v>143</v>
      </c>
      <c r="AX27" t="s">
        <v>74</v>
      </c>
      <c r="AY27" t="s">
        <v>76</v>
      </c>
      <c r="AZ27">
        <v>38</v>
      </c>
      <c r="BA27" s="5">
        <v>23.99</v>
      </c>
      <c r="BB27" s="5">
        <f>VLOOKUP(Inventory11[[#This Row],[Category]],$K$2:$L$23,2,TRUE)*Inventory11[[#This Row],[Price]]</f>
        <v>7.1969999999999992</v>
      </c>
      <c r="BC27" t="s">
        <v>1982</v>
      </c>
      <c r="BD27" t="str">
        <f ca="1">IF(AND(Inventory11[Category]= "BEER", Inventory11[[#This Row],[Price]]&lt;20),TODAY()+30, "")</f>
        <v/>
      </c>
    </row>
    <row r="28" spans="1:56" x14ac:dyDescent="0.3">
      <c r="A28" s="11" t="s">
        <v>173</v>
      </c>
      <c r="B28">
        <v>26</v>
      </c>
      <c r="C28" t="s">
        <v>74</v>
      </c>
      <c r="D28" t="s">
        <v>161</v>
      </c>
      <c r="E28">
        <v>66</v>
      </c>
      <c r="F28" s="5">
        <v>23.99</v>
      </c>
      <c r="G28" s="5">
        <f>VLOOKUP(Inventory[[#This Row],[Category]],$K$2:$L$23,2,TRUE)*Inventory[[#This Row],[Price]]</f>
        <v>7.1969999999999992</v>
      </c>
      <c r="H28" t="s">
        <v>1982</v>
      </c>
      <c r="I28" t="str">
        <f ca="1">IF(AND(Inventory[Category]= "BEER", Inventory[[#This Row],[Price]]&lt;20),TODAY()+30, "")</f>
        <v/>
      </c>
      <c r="AA28" t="s">
        <v>1975</v>
      </c>
      <c r="AB28" s="16" t="s">
        <v>1974</v>
      </c>
      <c r="AC28" t="s">
        <v>1973</v>
      </c>
      <c r="AD28" t="s">
        <v>1976</v>
      </c>
      <c r="AJ28">
        <v>81485</v>
      </c>
      <c r="AK28" s="30">
        <v>41749</v>
      </c>
      <c r="AL28" t="s">
        <v>1617</v>
      </c>
      <c r="AM28">
        <v>4</v>
      </c>
      <c r="AN28" t="str">
        <f>VLOOKUP(Transaction[[#This Row],[Model No.]],$AV$2:$BD$100,2,TRUE)</f>
        <v>Stags' Leap Winery Cabernet Sauvignon</v>
      </c>
      <c r="AO28" s="21">
        <f>VLOOKUP(Transaction[[#This Row],[Model No.]],$AV$2:$BD$100,6,TRUE)</f>
        <v>54.99</v>
      </c>
      <c r="AP28" s="9">
        <v>1</v>
      </c>
      <c r="AQ28" s="5">
        <f>Transaction[[#This Row],[Price]]*Transaction[[#This Row],[Qty]]</f>
        <v>54.99</v>
      </c>
      <c r="AR28" s="5">
        <f>VLOOKUP(Transaction[[#This Row],[Model No.]],$AV$2:$BD$100,7,TRUE)*Transaction[[#This Row],[Qty]]</f>
        <v>5.4990000000000006</v>
      </c>
      <c r="AS28">
        <v>1101</v>
      </c>
      <c r="AT28">
        <v>1019</v>
      </c>
      <c r="AV28">
        <v>26</v>
      </c>
      <c r="AW28" s="11" t="s">
        <v>173</v>
      </c>
      <c r="AX28" t="s">
        <v>74</v>
      </c>
      <c r="AY28" t="s">
        <v>161</v>
      </c>
      <c r="AZ28">
        <v>66</v>
      </c>
      <c r="BA28" s="5">
        <v>23.99</v>
      </c>
      <c r="BB28" s="5">
        <f>VLOOKUP(Inventory11[[#This Row],[Category]],$K$2:$L$23,2,TRUE)*Inventory11[[#This Row],[Price]]</f>
        <v>7.1969999999999992</v>
      </c>
      <c r="BC28" t="s">
        <v>1982</v>
      </c>
      <c r="BD28" t="str">
        <f ca="1">IF(AND(Inventory11[Category]= "BEER", Inventory11[[#This Row],[Price]]&lt;20),TODAY()+30, "")</f>
        <v/>
      </c>
    </row>
    <row r="29" spans="1:56" x14ac:dyDescent="0.3">
      <c r="A29" s="11" t="s">
        <v>146</v>
      </c>
      <c r="B29">
        <v>27</v>
      </c>
      <c r="C29" t="s">
        <v>145</v>
      </c>
      <c r="D29" t="s">
        <v>70</v>
      </c>
      <c r="E29">
        <v>28</v>
      </c>
      <c r="F29" s="5">
        <v>23.99</v>
      </c>
      <c r="G29" s="5">
        <f>VLOOKUP(Inventory[[#This Row],[Category]],$K$2:$L$23,2,TRUE)*Inventory[[#This Row],[Price]]</f>
        <v>9.5960000000000001</v>
      </c>
      <c r="H29" t="s">
        <v>1982</v>
      </c>
      <c r="I29" t="str">
        <f ca="1">IF(AND(Inventory[Category]= "BEER", Inventory[[#This Row],[Price]]&lt;20),TODAY()+30, "")</f>
        <v/>
      </c>
      <c r="AJ29">
        <v>84140</v>
      </c>
      <c r="AK29" s="30">
        <v>41752</v>
      </c>
      <c r="AL29" t="s">
        <v>974</v>
      </c>
      <c r="AM29">
        <v>93</v>
      </c>
      <c r="AN29" t="str">
        <f>VLOOKUP(Transaction[[#This Row],[Model No.]],$AV$2:$BD$100,2,TRUE)</f>
        <v>Beringer Vineyards Stone Cellars Shiraz</v>
      </c>
      <c r="AO29" s="21">
        <f>VLOOKUP(Transaction[[#This Row],[Model No.]],$AV$2:$BD$100,6,TRUE)</f>
        <v>7.49</v>
      </c>
      <c r="AP29" s="9">
        <v>3</v>
      </c>
      <c r="AQ29" s="5">
        <f>Transaction[[#This Row],[Price]]*Transaction[[#This Row],[Qty]]</f>
        <v>22.47</v>
      </c>
      <c r="AR29" s="5">
        <f>VLOOKUP(Transaction[[#This Row],[Model No.]],$AV$2:$BD$100,7,TRUE)*Transaction[[#This Row],[Qty]]</f>
        <v>2.2470000000000003</v>
      </c>
      <c r="AS29">
        <v>1106</v>
      </c>
      <c r="AT29">
        <v>1020</v>
      </c>
      <c r="AV29">
        <v>27</v>
      </c>
      <c r="AW29" s="11" t="s">
        <v>146</v>
      </c>
      <c r="AX29" t="s">
        <v>145</v>
      </c>
      <c r="AY29" t="s">
        <v>70</v>
      </c>
      <c r="AZ29">
        <v>28</v>
      </c>
      <c r="BA29" s="5">
        <v>23.99</v>
      </c>
      <c r="BB29" s="5">
        <f>VLOOKUP(Inventory11[[#This Row],[Category]],$K$2:$L$23,2,TRUE)*Inventory11[[#This Row],[Price]]</f>
        <v>9.5960000000000001</v>
      </c>
      <c r="BC29" t="s">
        <v>1982</v>
      </c>
      <c r="BD29" t="str">
        <f ca="1">IF(AND(Inventory11[Category]= "BEER", Inventory11[[#This Row],[Price]]&lt;20),TODAY()+30, "")</f>
        <v/>
      </c>
    </row>
    <row r="30" spans="1:56" x14ac:dyDescent="0.3">
      <c r="A30" s="11" t="s">
        <v>172</v>
      </c>
      <c r="B30">
        <v>28</v>
      </c>
      <c r="C30" t="s">
        <v>108</v>
      </c>
      <c r="D30" t="s">
        <v>70</v>
      </c>
      <c r="E30">
        <v>70</v>
      </c>
      <c r="F30" s="5">
        <v>23.99</v>
      </c>
      <c r="G30" s="5">
        <f>VLOOKUP(Inventory[[#This Row],[Category]],$K$2:$L$23,2,TRUE)*Inventory[[#This Row],[Price]]</f>
        <v>9.5960000000000001</v>
      </c>
      <c r="H30" t="s">
        <v>1982</v>
      </c>
      <c r="I30" t="str">
        <f ca="1">IF(AND(Inventory[Category]= "BEER", Inventory[[#This Row],[Price]]&lt;20),TODAY()+30, "")</f>
        <v/>
      </c>
      <c r="AJ30">
        <v>20756</v>
      </c>
      <c r="AK30" s="30">
        <v>41753</v>
      </c>
      <c r="AL30" t="s">
        <v>1669</v>
      </c>
      <c r="AM30">
        <v>4</v>
      </c>
      <c r="AN30" t="str">
        <f>VLOOKUP(Transaction[[#This Row],[Model No.]],$AV$2:$BD$100,2,TRUE)</f>
        <v>Stags' Leap Winery Cabernet Sauvignon</v>
      </c>
      <c r="AO30" s="21">
        <f>VLOOKUP(Transaction[[#This Row],[Model No.]],$AV$2:$BD$100,6,TRUE)</f>
        <v>54.99</v>
      </c>
      <c r="AP30" s="9">
        <v>3</v>
      </c>
      <c r="AQ30" s="5">
        <f>Transaction[[#This Row],[Price]]*Transaction[[#This Row],[Qty]]</f>
        <v>164.97</v>
      </c>
      <c r="AR30" s="5">
        <f>VLOOKUP(Transaction[[#This Row],[Model No.]],$AV$2:$BD$100,7,TRUE)*Transaction[[#This Row],[Qty]]</f>
        <v>16.497</v>
      </c>
      <c r="AS30">
        <v>1105</v>
      </c>
      <c r="AT30">
        <v>1009</v>
      </c>
      <c r="AV30">
        <v>28</v>
      </c>
      <c r="AW30" s="11" t="s">
        <v>172</v>
      </c>
      <c r="AX30" t="s">
        <v>108</v>
      </c>
      <c r="AY30" t="s">
        <v>70</v>
      </c>
      <c r="AZ30">
        <v>70</v>
      </c>
      <c r="BA30" s="5">
        <v>23.99</v>
      </c>
      <c r="BB30" s="5">
        <f>VLOOKUP(Inventory11[[#This Row],[Category]],$K$2:$L$23,2,TRUE)*Inventory11[[#This Row],[Price]]</f>
        <v>9.5960000000000001</v>
      </c>
      <c r="BC30" t="s">
        <v>1982</v>
      </c>
      <c r="BD30" t="str">
        <f ca="1">IF(AND(Inventory11[Category]= "BEER", Inventory11[[#This Row],[Price]]&lt;20),TODAY()+30, "")</f>
        <v/>
      </c>
    </row>
    <row r="31" spans="1:56" x14ac:dyDescent="0.3">
      <c r="A31" s="11" t="s">
        <v>182</v>
      </c>
      <c r="B31">
        <v>29</v>
      </c>
      <c r="C31" t="s">
        <v>74</v>
      </c>
      <c r="D31" t="s">
        <v>76</v>
      </c>
      <c r="E31">
        <v>62</v>
      </c>
      <c r="F31" s="5">
        <v>22.99</v>
      </c>
      <c r="G31" s="5">
        <f>VLOOKUP(Inventory[[#This Row],[Category]],$K$2:$L$23,2,TRUE)*Inventory[[#This Row],[Price]]</f>
        <v>6.8969999999999994</v>
      </c>
      <c r="H31" t="s">
        <v>1982</v>
      </c>
      <c r="I31" t="str">
        <f ca="1">IF(AND(Inventory[Category]= "BEER", Inventory[[#This Row],[Price]]&lt;20),TODAY()+30, "")</f>
        <v/>
      </c>
      <c r="AJ31">
        <v>62473</v>
      </c>
      <c r="AK31" s="30">
        <v>41753</v>
      </c>
      <c r="AL31" t="s">
        <v>1716</v>
      </c>
      <c r="AM31">
        <v>78</v>
      </c>
      <c r="AN31" t="str">
        <f>VLOOKUP(Transaction[[#This Row],[Model No.]],$AV$2:$BD$100,2,TRUE)</f>
        <v>Tomasello Winery Blueberry Wine Red Blend</v>
      </c>
      <c r="AO31" s="21">
        <f>VLOOKUP(Transaction[[#This Row],[Model No.]],$AV$2:$BD$100,6,TRUE)</f>
        <v>11.49</v>
      </c>
      <c r="AP31" s="9">
        <v>1</v>
      </c>
      <c r="AQ31" s="5">
        <f>Transaction[[#This Row],[Price]]*Transaction[[#This Row],[Qty]]</f>
        <v>11.49</v>
      </c>
      <c r="AR31" s="5">
        <f>VLOOKUP(Transaction[[#This Row],[Model No.]],$AV$2:$BD$100,7,TRUE)*Transaction[[#This Row],[Qty]]</f>
        <v>1.149</v>
      </c>
      <c r="AS31">
        <v>1102</v>
      </c>
      <c r="AT31">
        <v>1017</v>
      </c>
      <c r="AV31">
        <v>29</v>
      </c>
      <c r="AW31" s="11" t="s">
        <v>182</v>
      </c>
      <c r="AX31" t="s">
        <v>74</v>
      </c>
      <c r="AY31" t="s">
        <v>76</v>
      </c>
      <c r="AZ31">
        <v>62</v>
      </c>
      <c r="BA31" s="5">
        <v>22.99</v>
      </c>
      <c r="BB31" s="5">
        <f>VLOOKUP(Inventory11[[#This Row],[Category]],$K$2:$L$23,2,TRUE)*Inventory11[[#This Row],[Price]]</f>
        <v>6.8969999999999994</v>
      </c>
      <c r="BC31" t="s">
        <v>1982</v>
      </c>
      <c r="BD31" t="str">
        <f ca="1">IF(AND(Inventory11[Category]= "BEER", Inventory11[[#This Row],[Price]]&lt;20),TODAY()+30, "")</f>
        <v/>
      </c>
    </row>
    <row r="32" spans="1:56" x14ac:dyDescent="0.3">
      <c r="A32" s="11" t="s">
        <v>73</v>
      </c>
      <c r="B32">
        <v>30</v>
      </c>
      <c r="C32" t="s">
        <v>71</v>
      </c>
      <c r="D32" t="s">
        <v>70</v>
      </c>
      <c r="E32">
        <v>57</v>
      </c>
      <c r="F32" s="5">
        <v>22.99</v>
      </c>
      <c r="G32" s="5">
        <f>VLOOKUP(Inventory[[#This Row],[Category]],$K$2:$L$23,2,TRUE)*Inventory[[#This Row],[Price]]</f>
        <v>6.8969999999999994</v>
      </c>
      <c r="H32" t="s">
        <v>1982</v>
      </c>
      <c r="I32" t="str">
        <f ca="1">IF(AND(Inventory[Category]= "BEER", Inventory[[#This Row],[Price]]&lt;20),TODAY()+30, "")</f>
        <v/>
      </c>
      <c r="AJ32">
        <v>68476</v>
      </c>
      <c r="AK32" s="30">
        <v>41754</v>
      </c>
      <c r="AL32" t="s">
        <v>680</v>
      </c>
      <c r="AM32">
        <v>59</v>
      </c>
      <c r="AN32" t="str">
        <f>VLOOKUP(Transaction[[#This Row],[Model No.]],$AV$2:$BD$100,2,TRUE)</f>
        <v>Smirnoff Kissed Caramel Vodka</v>
      </c>
      <c r="AO32" s="21">
        <f>VLOOKUP(Transaction[[#This Row],[Model No.]],$AV$2:$BD$100,6,TRUE)</f>
        <v>13.49</v>
      </c>
      <c r="AP32" s="9">
        <v>4</v>
      </c>
      <c r="AQ32" s="5">
        <f>Transaction[[#This Row],[Price]]*Transaction[[#This Row],[Qty]]</f>
        <v>53.96</v>
      </c>
      <c r="AR32" s="5">
        <f>VLOOKUP(Transaction[[#This Row],[Model No.]],$AV$2:$BD$100,7,TRUE)*Transaction[[#This Row],[Qty]]</f>
        <v>16.187999999999999</v>
      </c>
      <c r="AS32">
        <v>1106</v>
      </c>
      <c r="AT32">
        <v>1021</v>
      </c>
      <c r="AV32">
        <v>30</v>
      </c>
      <c r="AW32" s="11" t="s">
        <v>73</v>
      </c>
      <c r="AX32" t="s">
        <v>71</v>
      </c>
      <c r="AY32" t="s">
        <v>70</v>
      </c>
      <c r="AZ32">
        <v>57</v>
      </c>
      <c r="BA32" s="5">
        <v>22.99</v>
      </c>
      <c r="BB32" s="5">
        <f>VLOOKUP(Inventory11[[#This Row],[Category]],$K$2:$L$23,2,TRUE)*Inventory11[[#This Row],[Price]]</f>
        <v>6.8969999999999994</v>
      </c>
      <c r="BC32" t="s">
        <v>1982</v>
      </c>
      <c r="BD32" t="str">
        <f ca="1">IF(AND(Inventory11[Category]= "BEER", Inventory11[[#This Row],[Price]]&lt;20),TODAY()+30, "")</f>
        <v/>
      </c>
    </row>
    <row r="33" spans="1:56" x14ac:dyDescent="0.3">
      <c r="A33" s="11" t="s">
        <v>107</v>
      </c>
      <c r="B33">
        <v>31</v>
      </c>
      <c r="C33" t="s">
        <v>74</v>
      </c>
      <c r="D33" t="s">
        <v>102</v>
      </c>
      <c r="E33">
        <v>43</v>
      </c>
      <c r="F33" s="5">
        <v>21.99</v>
      </c>
      <c r="G33" s="5">
        <f>VLOOKUP(Inventory[[#This Row],[Category]],$K$2:$L$23,2,TRUE)*Inventory[[#This Row],[Price]]</f>
        <v>6.5969999999999995</v>
      </c>
      <c r="H33" t="s">
        <v>1982</v>
      </c>
      <c r="I33" t="str">
        <f ca="1">IF(AND(Inventory[Category]= "BEER", Inventory[[#This Row],[Price]]&lt;20),TODAY()+30, "")</f>
        <v/>
      </c>
      <c r="AJ33">
        <v>90267</v>
      </c>
      <c r="AK33" s="30">
        <v>41756</v>
      </c>
      <c r="AL33" t="s">
        <v>793</v>
      </c>
      <c r="AM33">
        <v>93</v>
      </c>
      <c r="AN33" t="str">
        <f>VLOOKUP(Transaction[[#This Row],[Model No.]],$AV$2:$BD$100,2,TRUE)</f>
        <v>Beringer Vineyards Stone Cellars Shiraz</v>
      </c>
      <c r="AO33" s="21">
        <f>VLOOKUP(Transaction[[#This Row],[Model No.]],$AV$2:$BD$100,6,TRUE)</f>
        <v>7.49</v>
      </c>
      <c r="AP33" s="9">
        <v>1</v>
      </c>
      <c r="AQ33" s="5">
        <f>Transaction[[#This Row],[Price]]*Transaction[[#This Row],[Qty]]</f>
        <v>7.49</v>
      </c>
      <c r="AR33" s="5">
        <f>VLOOKUP(Transaction[[#This Row],[Model No.]],$AV$2:$BD$100,7,TRUE)*Transaction[[#This Row],[Qty]]</f>
        <v>0.74900000000000011</v>
      </c>
      <c r="AS33">
        <v>1108</v>
      </c>
      <c r="AT33">
        <v>1020</v>
      </c>
      <c r="AV33">
        <v>31</v>
      </c>
      <c r="AW33" s="11" t="s">
        <v>107</v>
      </c>
      <c r="AX33" t="s">
        <v>74</v>
      </c>
      <c r="AY33" t="s">
        <v>102</v>
      </c>
      <c r="AZ33">
        <v>43</v>
      </c>
      <c r="BA33" s="5">
        <v>21.99</v>
      </c>
      <c r="BB33" s="5">
        <f>VLOOKUP(Inventory11[[#This Row],[Category]],$K$2:$L$23,2,TRUE)*Inventory11[[#This Row],[Price]]</f>
        <v>6.5969999999999995</v>
      </c>
      <c r="BC33" t="s">
        <v>1982</v>
      </c>
      <c r="BD33" t="str">
        <f ca="1">IF(AND(Inventory11[Category]= "BEER", Inventory11[[#This Row],[Price]]&lt;20),TODAY()+30, "")</f>
        <v/>
      </c>
    </row>
    <row r="34" spans="1:56" x14ac:dyDescent="0.3">
      <c r="A34" s="11" t="s">
        <v>167</v>
      </c>
      <c r="B34">
        <v>32</v>
      </c>
      <c r="C34" t="s">
        <v>85</v>
      </c>
      <c r="D34" t="s">
        <v>70</v>
      </c>
      <c r="E34">
        <v>95</v>
      </c>
      <c r="F34" s="5">
        <v>21.99</v>
      </c>
      <c r="G34" s="5">
        <f>VLOOKUP(Inventory[[#This Row],[Category]],$K$2:$L$23,2,TRUE)*Inventory[[#This Row],[Price]]</f>
        <v>4.3979999999999997</v>
      </c>
      <c r="H34" t="s">
        <v>1982</v>
      </c>
      <c r="I34" t="str">
        <f ca="1">IF(AND(Inventory[Category]= "BEER", Inventory[[#This Row],[Price]]&lt;20),TODAY()+30, "")</f>
        <v/>
      </c>
      <c r="AJ34">
        <v>60326</v>
      </c>
      <c r="AK34" s="30">
        <v>41757</v>
      </c>
      <c r="AL34" t="s">
        <v>1750</v>
      </c>
      <c r="AM34">
        <v>57</v>
      </c>
      <c r="AN34" t="str">
        <f>VLOOKUP(Transaction[[#This Row],[Model No.]],$AV$2:$BD$100,2,TRUE)</f>
        <v>Familia Dante Twelve Months Oak Aged Toscana IGT Sangiovese</v>
      </c>
      <c r="AO34" s="21">
        <f>VLOOKUP(Transaction[[#This Row],[Model No.]],$AV$2:$BD$100,6,TRUE)</f>
        <v>13.69</v>
      </c>
      <c r="AP34" s="9">
        <v>2</v>
      </c>
      <c r="AQ34" s="5">
        <f>Transaction[[#This Row],[Price]]*Transaction[[#This Row],[Qty]]</f>
        <v>27.38</v>
      </c>
      <c r="AR34" s="5">
        <f>VLOOKUP(Transaction[[#This Row],[Model No.]],$AV$2:$BD$100,7,TRUE)*Transaction[[#This Row],[Qty]]</f>
        <v>2.738</v>
      </c>
      <c r="AS34">
        <v>1098</v>
      </c>
      <c r="AT34">
        <v>1009</v>
      </c>
      <c r="AV34">
        <v>32</v>
      </c>
      <c r="AW34" s="11" t="s">
        <v>167</v>
      </c>
      <c r="AX34" t="s">
        <v>85</v>
      </c>
      <c r="AY34" t="s">
        <v>70</v>
      </c>
      <c r="AZ34">
        <v>95</v>
      </c>
      <c r="BA34" s="5">
        <v>21.99</v>
      </c>
      <c r="BB34" s="5">
        <f>VLOOKUP(Inventory11[[#This Row],[Category]],$K$2:$L$23,2,TRUE)*Inventory11[[#This Row],[Price]]</f>
        <v>4.3979999999999997</v>
      </c>
      <c r="BC34" t="s">
        <v>1982</v>
      </c>
      <c r="BD34" t="str">
        <f ca="1">IF(AND(Inventory11[Category]= "BEER", Inventory11[[#This Row],[Price]]&lt;20),TODAY()+30, "")</f>
        <v/>
      </c>
    </row>
    <row r="35" spans="1:56" x14ac:dyDescent="0.3">
      <c r="A35" s="11" t="s">
        <v>131</v>
      </c>
      <c r="B35">
        <v>33</v>
      </c>
      <c r="C35" t="s">
        <v>114</v>
      </c>
      <c r="D35" t="s">
        <v>70</v>
      </c>
      <c r="E35">
        <v>10</v>
      </c>
      <c r="F35" s="5">
        <v>20.99</v>
      </c>
      <c r="G35" s="5">
        <f>VLOOKUP(Inventory[[#This Row],[Category]],$K$2:$L$23,2,TRUE)*Inventory[[#This Row],[Price]]</f>
        <v>4.1979999999999995</v>
      </c>
      <c r="H35" t="s">
        <v>1982</v>
      </c>
      <c r="I35" t="str">
        <f ca="1">IF(AND(Inventory[Category]= "BEER", Inventory[[#This Row],[Price]]&lt;20),TODAY()+30, "")</f>
        <v/>
      </c>
      <c r="AJ35">
        <v>62036</v>
      </c>
      <c r="AK35" s="30">
        <v>41759</v>
      </c>
      <c r="AL35" t="s">
        <v>637</v>
      </c>
      <c r="AM35">
        <v>29</v>
      </c>
      <c r="AN35" t="str">
        <f>VLOOKUP(Transaction[[#This Row],[Model No.]],$AV$2:$BD$100,2,TRUE)</f>
        <v>SCHLAFLY STOUT BOUT SAMPLER   2/12 - 12 Pack</v>
      </c>
      <c r="AO35" s="21">
        <f>VLOOKUP(Transaction[[#This Row],[Model No.]],$AV$2:$BD$100,6,TRUE)</f>
        <v>22.99</v>
      </c>
      <c r="AP35" s="9">
        <v>4</v>
      </c>
      <c r="AQ35" s="5">
        <f>Transaction[[#This Row],[Price]]*Transaction[[#This Row],[Qty]]</f>
        <v>91.96</v>
      </c>
      <c r="AR35" s="5">
        <f>VLOOKUP(Transaction[[#This Row],[Model No.]],$AV$2:$BD$100,7,TRUE)*Transaction[[#This Row],[Qty]]</f>
        <v>27.587999999999997</v>
      </c>
      <c r="AS35">
        <v>1104</v>
      </c>
      <c r="AT35">
        <v>1017</v>
      </c>
      <c r="AV35">
        <v>33</v>
      </c>
      <c r="AW35" s="11" t="s">
        <v>131</v>
      </c>
      <c r="AX35" t="s">
        <v>114</v>
      </c>
      <c r="AY35" t="s">
        <v>70</v>
      </c>
      <c r="AZ35">
        <v>10</v>
      </c>
      <c r="BA35" s="5">
        <v>20.99</v>
      </c>
      <c r="BB35" s="5">
        <f>VLOOKUP(Inventory11[[#This Row],[Category]],$K$2:$L$23,2,TRUE)*Inventory11[[#This Row],[Price]]</f>
        <v>4.1979999999999995</v>
      </c>
      <c r="BC35" t="s">
        <v>1982</v>
      </c>
      <c r="BD35" t="str">
        <f ca="1">IF(AND(Inventory11[Category]= "BEER", Inventory11[[#This Row],[Price]]&lt;20),TODAY()+30, "")</f>
        <v/>
      </c>
    </row>
    <row r="36" spans="1:56" x14ac:dyDescent="0.3">
      <c r="A36" s="11" t="s">
        <v>180</v>
      </c>
      <c r="B36">
        <v>34</v>
      </c>
      <c r="C36" t="s">
        <v>114</v>
      </c>
      <c r="D36" t="s">
        <v>70</v>
      </c>
      <c r="E36">
        <v>61</v>
      </c>
      <c r="F36" s="5">
        <v>20.99</v>
      </c>
      <c r="G36" s="5">
        <f>VLOOKUP(Inventory[[#This Row],[Category]],$K$2:$L$23,2,TRUE)*Inventory[[#This Row],[Price]]</f>
        <v>4.1979999999999995</v>
      </c>
      <c r="H36" t="s">
        <v>1982</v>
      </c>
      <c r="I36" t="str">
        <f ca="1">IF(AND(Inventory[Category]= "BEER", Inventory[[#This Row],[Price]]&lt;20),TODAY()+30, "")</f>
        <v/>
      </c>
      <c r="AJ36">
        <v>61280</v>
      </c>
      <c r="AK36" s="30">
        <v>41759</v>
      </c>
      <c r="AL36" s="25" t="s">
        <v>379</v>
      </c>
      <c r="AM36">
        <v>44</v>
      </c>
      <c r="AN36" s="25" t="str">
        <f>VLOOKUP(Transaction[[#This Row],[Model No.]],$AV$2:$BD$100,2,TRUE)</f>
        <v>Brasserie de Silly Saison - 4 Pack</v>
      </c>
      <c r="AO36" s="21">
        <f>VLOOKUP(Transaction[[#This Row],[Model No.]],$AV$2:$BD$100,6,TRUE)</f>
        <v>16.989999999999998</v>
      </c>
      <c r="AP36" s="9">
        <v>3</v>
      </c>
      <c r="AQ36" s="5">
        <f>Transaction[[#This Row],[Price]]*Transaction[[#This Row],[Qty]]</f>
        <v>50.97</v>
      </c>
      <c r="AR36" s="5">
        <f>VLOOKUP(Transaction[[#This Row],[Model No.]],$AV$2:$BD$100,7,TRUE)*Transaction[[#This Row],[Qty]]</f>
        <v>15.290999999999999</v>
      </c>
      <c r="AS36">
        <v>1099</v>
      </c>
      <c r="AT36">
        <v>1011</v>
      </c>
      <c r="AV36">
        <v>34</v>
      </c>
      <c r="AW36" s="11" t="s">
        <v>180</v>
      </c>
      <c r="AX36" t="s">
        <v>114</v>
      </c>
      <c r="AY36" t="s">
        <v>70</v>
      </c>
      <c r="AZ36">
        <v>61</v>
      </c>
      <c r="BA36" s="5">
        <v>20.99</v>
      </c>
      <c r="BB36" s="5">
        <f>VLOOKUP(Inventory11[[#This Row],[Category]],$K$2:$L$23,2,TRUE)*Inventory11[[#This Row],[Price]]</f>
        <v>4.1979999999999995</v>
      </c>
      <c r="BC36" t="s">
        <v>1982</v>
      </c>
      <c r="BD36" t="str">
        <f ca="1">IF(AND(Inventory11[Category]= "BEER", Inventory11[[#This Row],[Price]]&lt;20),TODAY()+30, "")</f>
        <v/>
      </c>
    </row>
    <row r="37" spans="1:56" x14ac:dyDescent="0.3">
      <c r="A37" s="11" t="s">
        <v>120</v>
      </c>
      <c r="B37">
        <v>35</v>
      </c>
      <c r="C37" t="s">
        <v>74</v>
      </c>
      <c r="D37" t="s">
        <v>76</v>
      </c>
      <c r="E37">
        <v>28</v>
      </c>
      <c r="F37" s="5">
        <v>20.99</v>
      </c>
      <c r="G37" s="5">
        <f>VLOOKUP(Inventory[[#This Row],[Category]],$K$2:$L$23,2,TRUE)*Inventory[[#This Row],[Price]]</f>
        <v>6.2969999999999997</v>
      </c>
      <c r="H37" t="s">
        <v>1982</v>
      </c>
      <c r="I37" t="str">
        <f ca="1">IF(AND(Inventory[Category]= "BEER", Inventory[[#This Row],[Price]]&lt;20),TODAY()+30, "")</f>
        <v/>
      </c>
      <c r="AJ37">
        <v>95472</v>
      </c>
      <c r="AK37" s="30">
        <v>41760</v>
      </c>
      <c r="AL37" s="25" t="s">
        <v>864</v>
      </c>
      <c r="AM37">
        <v>24</v>
      </c>
      <c r="AN37" s="25" t="str">
        <f>VLOOKUP(Transaction[[#This Row],[Model No.]],$AV$2:$BD$100,2,TRUE)</f>
        <v>Matchbook The Arsonist Bordeaux Blend</v>
      </c>
      <c r="AO37" s="21">
        <f>VLOOKUP(Transaction[[#This Row],[Model No.]],$AV$2:$BD$100,6,TRUE)</f>
        <v>24.99</v>
      </c>
      <c r="AP37" s="9">
        <v>2</v>
      </c>
      <c r="AQ37" s="5">
        <f>Transaction[[#This Row],[Price]]*Transaction[[#This Row],[Qty]]</f>
        <v>49.98</v>
      </c>
      <c r="AR37" s="5">
        <f>VLOOKUP(Transaction[[#This Row],[Model No.]],$AV$2:$BD$100,7,TRUE)*Transaction[[#This Row],[Qty]]</f>
        <v>4.9980000000000002</v>
      </c>
      <c r="AS37">
        <v>1100</v>
      </c>
      <c r="AT37">
        <v>1011</v>
      </c>
      <c r="AV37">
        <v>35</v>
      </c>
      <c r="AW37" s="11" t="s">
        <v>120</v>
      </c>
      <c r="AX37" t="s">
        <v>74</v>
      </c>
      <c r="AY37" t="s">
        <v>76</v>
      </c>
      <c r="AZ37">
        <v>28</v>
      </c>
      <c r="BA37" s="5">
        <v>20.99</v>
      </c>
      <c r="BB37" s="5">
        <f>VLOOKUP(Inventory11[[#This Row],[Category]],$K$2:$L$23,2,TRUE)*Inventory11[[#This Row],[Price]]</f>
        <v>6.2969999999999997</v>
      </c>
      <c r="BC37" t="s">
        <v>1982</v>
      </c>
      <c r="BD37" t="str">
        <f ca="1">IF(AND(Inventory11[Category]= "BEER", Inventory11[[#This Row],[Price]]&lt;20),TODAY()+30, "")</f>
        <v/>
      </c>
    </row>
    <row r="38" spans="1:56" x14ac:dyDescent="0.3">
      <c r="A38" s="11" t="s">
        <v>79</v>
      </c>
      <c r="B38">
        <v>36</v>
      </c>
      <c r="C38" t="s">
        <v>78</v>
      </c>
      <c r="D38" t="s">
        <v>70</v>
      </c>
      <c r="E38">
        <v>52</v>
      </c>
      <c r="F38" s="5">
        <v>20.99</v>
      </c>
      <c r="G38" s="5">
        <f>VLOOKUP(Inventory[[#This Row],[Category]],$K$2:$L$23,2,TRUE)*Inventory[[#This Row],[Price]]</f>
        <v>2.0989999999999998</v>
      </c>
      <c r="H38" t="s">
        <v>1982</v>
      </c>
      <c r="I38" t="str">
        <f ca="1">IF(AND(Inventory[Category]= "BEER", Inventory[[#This Row],[Price]]&lt;20),TODAY()+30, "")</f>
        <v/>
      </c>
      <c r="AJ38">
        <v>44878</v>
      </c>
      <c r="AK38" s="30">
        <v>41762</v>
      </c>
      <c r="AL38" t="s">
        <v>1561</v>
      </c>
      <c r="AM38">
        <v>29</v>
      </c>
      <c r="AN38" t="str">
        <f>VLOOKUP(Transaction[[#This Row],[Model No.]],$AV$2:$BD$100,2,TRUE)</f>
        <v>SCHLAFLY STOUT BOUT SAMPLER   2/12 - 12 Pack</v>
      </c>
      <c r="AO38" s="21">
        <f>VLOOKUP(Transaction[[#This Row],[Model No.]],$AV$2:$BD$100,6,TRUE)</f>
        <v>22.99</v>
      </c>
      <c r="AP38" s="9">
        <v>4</v>
      </c>
      <c r="AQ38" s="5">
        <f>Transaction[[#This Row],[Price]]*Transaction[[#This Row],[Qty]]</f>
        <v>91.96</v>
      </c>
      <c r="AR38" s="5">
        <f>VLOOKUP(Transaction[[#This Row],[Model No.]],$AV$2:$BD$100,7,TRUE)*Transaction[[#This Row],[Qty]]</f>
        <v>27.587999999999997</v>
      </c>
      <c r="AS38">
        <v>1106</v>
      </c>
      <c r="AT38">
        <v>1001</v>
      </c>
      <c r="AV38">
        <v>36</v>
      </c>
      <c r="AW38" s="11" t="s">
        <v>79</v>
      </c>
      <c r="AX38" t="s">
        <v>78</v>
      </c>
      <c r="AY38" t="s">
        <v>70</v>
      </c>
      <c r="AZ38">
        <v>52</v>
      </c>
      <c r="BA38" s="5">
        <v>20.99</v>
      </c>
      <c r="BB38" s="5">
        <f>VLOOKUP(Inventory11[[#This Row],[Category]],$K$2:$L$23,2,TRUE)*Inventory11[[#This Row],[Price]]</f>
        <v>2.0989999999999998</v>
      </c>
      <c r="BC38" t="s">
        <v>1982</v>
      </c>
      <c r="BD38" t="str">
        <f ca="1">IF(AND(Inventory11[Category]= "BEER", Inventory11[[#This Row],[Price]]&lt;20),TODAY()+30, "")</f>
        <v/>
      </c>
    </row>
    <row r="39" spans="1:56" x14ac:dyDescent="0.3">
      <c r="A39" s="11" t="s">
        <v>141</v>
      </c>
      <c r="B39">
        <v>37</v>
      </c>
      <c r="C39" t="s">
        <v>140</v>
      </c>
      <c r="D39" t="s">
        <v>70</v>
      </c>
      <c r="E39">
        <v>35</v>
      </c>
      <c r="F39" s="5">
        <v>19.989999999999998</v>
      </c>
      <c r="G39" s="5">
        <f>VLOOKUP(Inventory[[#This Row],[Category]],$K$2:$L$23,2,TRUE)*Inventory[[#This Row],[Price]]</f>
        <v>1.9989999999999999</v>
      </c>
      <c r="H39" t="s">
        <v>1982</v>
      </c>
      <c r="I39" t="str">
        <f ca="1">IF(AND(Inventory[Category]= "BEER", Inventory[[#This Row],[Price]]&lt;20),TODAY()+30, "")</f>
        <v/>
      </c>
      <c r="AJ39">
        <v>60717</v>
      </c>
      <c r="AK39" s="30">
        <v>41762</v>
      </c>
      <c r="AL39" t="s">
        <v>486</v>
      </c>
      <c r="AM39">
        <v>71</v>
      </c>
      <c r="AN39" t="str">
        <f>VLOOKUP(Transaction[[#This Row],[Model No.]],$AV$2:$BD$100,2,TRUE)</f>
        <v>Flo Merlot</v>
      </c>
      <c r="AO39" s="21">
        <f>VLOOKUP(Transaction[[#This Row],[Model No.]],$AV$2:$BD$100,6,TRUE)</f>
        <v>12.49</v>
      </c>
      <c r="AP39" s="9">
        <v>1</v>
      </c>
      <c r="AQ39" s="5">
        <f>Transaction[[#This Row],[Price]]*Transaction[[#This Row],[Qty]]</f>
        <v>12.49</v>
      </c>
      <c r="AR39" s="5">
        <f>VLOOKUP(Transaction[[#This Row],[Model No.]],$AV$2:$BD$100,7,TRUE)*Transaction[[#This Row],[Qty]]</f>
        <v>1.2490000000000001</v>
      </c>
      <c r="AS39">
        <v>1102</v>
      </c>
      <c r="AT39">
        <v>1007</v>
      </c>
      <c r="AV39">
        <v>37</v>
      </c>
      <c r="AW39" s="11" t="s">
        <v>141</v>
      </c>
      <c r="AX39" t="s">
        <v>140</v>
      </c>
      <c r="AY39" t="s">
        <v>70</v>
      </c>
      <c r="AZ39">
        <v>35</v>
      </c>
      <c r="BA39" s="5">
        <v>19.989999999999998</v>
      </c>
      <c r="BB39" s="5">
        <f>VLOOKUP(Inventory11[[#This Row],[Category]],$K$2:$L$23,2,TRUE)*Inventory11[[#This Row],[Price]]</f>
        <v>1.9989999999999999</v>
      </c>
      <c r="BC39" t="s">
        <v>1982</v>
      </c>
      <c r="BD39" t="str">
        <f ca="1">IF(AND(Inventory11[Category]= "BEER", Inventory11[[#This Row],[Price]]&lt;20),TODAY()+30, "")</f>
        <v/>
      </c>
    </row>
    <row r="40" spans="1:56" x14ac:dyDescent="0.3">
      <c r="A40" s="11" t="s">
        <v>112</v>
      </c>
      <c r="B40">
        <v>38</v>
      </c>
      <c r="C40" t="s">
        <v>90</v>
      </c>
      <c r="D40" t="s">
        <v>113</v>
      </c>
      <c r="E40">
        <v>13</v>
      </c>
      <c r="F40" s="5">
        <v>19.989999999999998</v>
      </c>
      <c r="G40" s="5">
        <f>VLOOKUP(Inventory[[#This Row],[Category]],$K$2:$L$23,2,TRUE)*Inventory[[#This Row],[Price]]</f>
        <v>5.996999999999999</v>
      </c>
      <c r="H40" t="s">
        <v>1982</v>
      </c>
      <c r="I40" t="str">
        <f ca="1">IF(AND(Inventory[Category]= "BEER", Inventory[[#This Row],[Price]]&lt;20),TODAY()+30, "")</f>
        <v/>
      </c>
      <c r="AJ40">
        <v>89830</v>
      </c>
      <c r="AK40" s="30">
        <v>41762</v>
      </c>
      <c r="AL40" t="s">
        <v>416</v>
      </c>
      <c r="AM40">
        <v>85</v>
      </c>
      <c r="AN40" t="str">
        <f>VLOOKUP(Transaction[[#This Row],[Model No.]],$AV$2:$BD$100,2,TRUE)</f>
        <v>Shiner Sea Salt &amp; Lime - 6 Pack</v>
      </c>
      <c r="AO40" s="21">
        <f>VLOOKUP(Transaction[[#This Row],[Model No.]],$AV$2:$BD$100,6,TRUE)</f>
        <v>9.99</v>
      </c>
      <c r="AP40" s="9">
        <v>5</v>
      </c>
      <c r="AQ40" s="5">
        <f>Transaction[[#This Row],[Price]]*Transaction[[#This Row],[Qty]]</f>
        <v>49.95</v>
      </c>
      <c r="AR40" s="5">
        <f>VLOOKUP(Transaction[[#This Row],[Model No.]],$AV$2:$BD$100,7,TRUE)*Transaction[[#This Row],[Qty]]</f>
        <v>14.984999999999999</v>
      </c>
      <c r="AS40">
        <v>1107</v>
      </c>
      <c r="AT40">
        <v>1012</v>
      </c>
      <c r="AV40">
        <v>38</v>
      </c>
      <c r="AW40" s="11" t="s">
        <v>112</v>
      </c>
      <c r="AX40" t="s">
        <v>90</v>
      </c>
      <c r="AY40" t="s">
        <v>113</v>
      </c>
      <c r="AZ40">
        <v>13</v>
      </c>
      <c r="BA40" s="5">
        <v>19.989999999999998</v>
      </c>
      <c r="BB40" s="5">
        <f>VLOOKUP(Inventory11[[#This Row],[Category]],$K$2:$L$23,2,TRUE)*Inventory11[[#This Row],[Price]]</f>
        <v>5.996999999999999</v>
      </c>
      <c r="BC40" t="s">
        <v>1982</v>
      </c>
      <c r="BD40" t="str">
        <f ca="1">IF(AND(Inventory11[Category]= "BEER", Inventory11[[#This Row],[Price]]&lt;20),TODAY()+30, "")</f>
        <v/>
      </c>
    </row>
    <row r="41" spans="1:56" x14ac:dyDescent="0.3">
      <c r="A41" s="11" t="s">
        <v>160</v>
      </c>
      <c r="B41">
        <v>39</v>
      </c>
      <c r="C41" t="s">
        <v>74</v>
      </c>
      <c r="D41" t="s">
        <v>161</v>
      </c>
      <c r="E41">
        <v>76</v>
      </c>
      <c r="F41" s="5">
        <v>18.989999999999998</v>
      </c>
      <c r="G41" s="5">
        <f>VLOOKUP(Inventory[[#This Row],[Category]],$K$2:$L$23,2,TRUE)*Inventory[[#This Row],[Price]]</f>
        <v>5.6969999999999992</v>
      </c>
      <c r="H41">
        <v>15.192</v>
      </c>
      <c r="I41">
        <f ca="1">IF(AND(Inventory[Category]= "BEER", Inventory[[#This Row],[Price]]&lt;20),TODAY()+30, "")</f>
        <v>43646</v>
      </c>
      <c r="AJ41">
        <v>64519</v>
      </c>
      <c r="AK41" s="30">
        <v>41764</v>
      </c>
      <c r="AL41" t="s">
        <v>699</v>
      </c>
      <c r="AM41">
        <v>22</v>
      </c>
      <c r="AN41" t="str">
        <f>VLOOKUP(Transaction[[#This Row],[Model No.]],$AV$2:$BD$100,2,TRUE)</f>
        <v>Efe Raki Black Triple Distilled Liqueur</v>
      </c>
      <c r="AO41" s="21">
        <f>VLOOKUP(Transaction[[#This Row],[Model No.]],$AV$2:$BD$100,6,TRUE)</f>
        <v>25.99</v>
      </c>
      <c r="AP41" s="9">
        <v>4</v>
      </c>
      <c r="AQ41" s="5">
        <f>Transaction[[#This Row],[Price]]*Transaction[[#This Row],[Qty]]</f>
        <v>103.96</v>
      </c>
      <c r="AR41" s="5">
        <f>VLOOKUP(Transaction[[#This Row],[Model No.]],$AV$2:$BD$100,7,TRUE)*Transaction[[#This Row],[Qty]]</f>
        <v>31.187999999999995</v>
      </c>
      <c r="AS41">
        <v>1107</v>
      </c>
      <c r="AT41">
        <v>1005</v>
      </c>
      <c r="AV41">
        <v>39</v>
      </c>
      <c r="AW41" s="11" t="s">
        <v>160</v>
      </c>
      <c r="AX41" t="s">
        <v>74</v>
      </c>
      <c r="AY41" t="s">
        <v>161</v>
      </c>
      <c r="AZ41">
        <v>76</v>
      </c>
      <c r="BA41" s="5">
        <v>18.989999999999998</v>
      </c>
      <c r="BB41" s="5">
        <f>VLOOKUP(Inventory11[[#This Row],[Category]],$K$2:$L$23,2,TRUE)*Inventory11[[#This Row],[Price]]</f>
        <v>5.6969999999999992</v>
      </c>
      <c r="BC41">
        <v>15.192</v>
      </c>
      <c r="BD41">
        <f ca="1">IF(AND(Inventory11[Category]= "BEER", Inventory11[[#This Row],[Price]]&lt;20),TODAY()+30, "")</f>
        <v>43646</v>
      </c>
    </row>
    <row r="42" spans="1:56" x14ac:dyDescent="0.3">
      <c r="A42" s="11" t="s">
        <v>96</v>
      </c>
      <c r="B42">
        <v>40</v>
      </c>
      <c r="C42" t="s">
        <v>74</v>
      </c>
      <c r="D42" t="s">
        <v>76</v>
      </c>
      <c r="E42">
        <v>0</v>
      </c>
      <c r="F42" s="5">
        <v>17.989999999999998</v>
      </c>
      <c r="G42" s="5">
        <f>VLOOKUP(Inventory[[#This Row],[Category]],$K$2:$L$23,2,TRUE)*Inventory[[#This Row],[Price]]</f>
        <v>5.3969999999999994</v>
      </c>
      <c r="H42">
        <v>14.391999999999999</v>
      </c>
      <c r="I42">
        <f ca="1">IF(AND(Inventory[Category]= "BEER", Inventory[[#This Row],[Price]]&lt;20),TODAY()+30, "")</f>
        <v>43646</v>
      </c>
      <c r="AJ42">
        <v>93105</v>
      </c>
      <c r="AK42" s="30">
        <v>41764</v>
      </c>
      <c r="AL42" t="s">
        <v>609</v>
      </c>
      <c r="AM42">
        <v>84</v>
      </c>
      <c r="AN42" t="str">
        <f>VLOOKUP(Transaction[[#This Row],[Model No.]],$AV$2:$BD$100,2,TRUE)</f>
        <v>UV Blue Raspberry Vodka</v>
      </c>
      <c r="AO42" s="21">
        <f>VLOOKUP(Transaction[[#This Row],[Model No.]],$AV$2:$BD$100,6,TRUE)</f>
        <v>10.49</v>
      </c>
      <c r="AP42" s="9">
        <v>3</v>
      </c>
      <c r="AQ42" s="5">
        <f>Transaction[[#This Row],[Price]]*Transaction[[#This Row],[Qty]]</f>
        <v>31.47</v>
      </c>
      <c r="AR42" s="5">
        <f>VLOOKUP(Transaction[[#This Row],[Model No.]],$AV$2:$BD$100,7,TRUE)*Transaction[[#This Row],[Qty]]</f>
        <v>9.4409999999999989</v>
      </c>
      <c r="AS42">
        <v>1105</v>
      </c>
      <c r="AT42">
        <v>1003</v>
      </c>
      <c r="AV42">
        <v>40</v>
      </c>
      <c r="AW42" s="11" t="s">
        <v>96</v>
      </c>
      <c r="AX42" t="s">
        <v>74</v>
      </c>
      <c r="AY42" t="s">
        <v>76</v>
      </c>
      <c r="AZ42">
        <v>0</v>
      </c>
      <c r="BA42" s="5">
        <v>17.989999999999998</v>
      </c>
      <c r="BB42" s="5">
        <f>VLOOKUP(Inventory11[[#This Row],[Category]],$K$2:$L$23,2,TRUE)*Inventory11[[#This Row],[Price]]</f>
        <v>5.3969999999999994</v>
      </c>
      <c r="BC42">
        <v>14.391999999999999</v>
      </c>
      <c r="BD42">
        <f ca="1">IF(AND(Inventory11[Category]= "BEER", Inventory11[[#This Row],[Price]]&lt;20),TODAY()+30, "")</f>
        <v>43646</v>
      </c>
    </row>
    <row r="43" spans="1:56" x14ac:dyDescent="0.3">
      <c r="A43" s="11" t="s">
        <v>122</v>
      </c>
      <c r="B43">
        <v>41</v>
      </c>
      <c r="C43" t="s">
        <v>82</v>
      </c>
      <c r="D43" t="s">
        <v>84</v>
      </c>
      <c r="E43">
        <v>70</v>
      </c>
      <c r="F43" s="5">
        <v>17.39</v>
      </c>
      <c r="G43" s="5">
        <f>VLOOKUP(Inventory[[#This Row],[Category]],$K$2:$L$23,2,TRUE)*Inventory[[#This Row],[Price]]</f>
        <v>1.7390000000000001</v>
      </c>
      <c r="H43" t="s">
        <v>1982</v>
      </c>
      <c r="I43" t="str">
        <f ca="1">IF(AND(Inventory[Category]= "BEER", Inventory[[#This Row],[Price]]&lt;20),TODAY()+30, "")</f>
        <v/>
      </c>
      <c r="AJ43">
        <v>85689</v>
      </c>
      <c r="AK43" s="30">
        <v>41765</v>
      </c>
      <c r="AL43" t="s">
        <v>1804</v>
      </c>
      <c r="AM43">
        <v>29</v>
      </c>
      <c r="AN43" t="str">
        <f>VLOOKUP(Transaction[[#This Row],[Model No.]],$AV$2:$BD$100,2,TRUE)</f>
        <v>SCHLAFLY STOUT BOUT SAMPLER   2/12 - 12 Pack</v>
      </c>
      <c r="AO43" s="21">
        <f>VLOOKUP(Transaction[[#This Row],[Model No.]],$AV$2:$BD$100,6,TRUE)</f>
        <v>22.99</v>
      </c>
      <c r="AP43" s="9">
        <v>4</v>
      </c>
      <c r="AQ43" s="5">
        <f>Transaction[[#This Row],[Price]]*Transaction[[#This Row],[Qty]]</f>
        <v>91.96</v>
      </c>
      <c r="AR43" s="5">
        <f>VLOOKUP(Transaction[[#This Row],[Model No.]],$AV$2:$BD$100,7,TRUE)*Transaction[[#This Row],[Qty]]</f>
        <v>27.587999999999997</v>
      </c>
      <c r="AS43">
        <v>1107</v>
      </c>
      <c r="AT43">
        <v>1011</v>
      </c>
      <c r="AV43">
        <v>41</v>
      </c>
      <c r="AW43" s="11" t="s">
        <v>122</v>
      </c>
      <c r="AX43" t="s">
        <v>82</v>
      </c>
      <c r="AY43" t="s">
        <v>84</v>
      </c>
      <c r="AZ43">
        <v>70</v>
      </c>
      <c r="BA43" s="5">
        <v>17.39</v>
      </c>
      <c r="BB43" s="5">
        <f>VLOOKUP(Inventory11[[#This Row],[Category]],$K$2:$L$23,2,TRUE)*Inventory11[[#This Row],[Price]]</f>
        <v>1.7390000000000001</v>
      </c>
      <c r="BC43" t="s">
        <v>1982</v>
      </c>
      <c r="BD43" t="str">
        <f ca="1">IF(AND(Inventory11[Category]= "BEER", Inventory11[[#This Row],[Price]]&lt;20),TODAY()+30, "")</f>
        <v/>
      </c>
    </row>
    <row r="44" spans="1:56" x14ac:dyDescent="0.3">
      <c r="A44" s="11" t="s">
        <v>119</v>
      </c>
      <c r="B44">
        <v>42</v>
      </c>
      <c r="C44" t="s">
        <v>80</v>
      </c>
      <c r="D44" t="s">
        <v>70</v>
      </c>
      <c r="E44">
        <v>67</v>
      </c>
      <c r="F44" s="5">
        <v>16.989999999999998</v>
      </c>
      <c r="G44" s="5">
        <f>VLOOKUP(Inventory[[#This Row],[Category]],$K$2:$L$23,2,TRUE)*Inventory[[#This Row],[Price]]</f>
        <v>6.7959999999999994</v>
      </c>
      <c r="H44" t="s">
        <v>1982</v>
      </c>
      <c r="I44" t="str">
        <f ca="1">IF(AND(Inventory[Category]= "BEER", Inventory[[#This Row],[Price]]&lt;20),TODAY()+30, "")</f>
        <v/>
      </c>
      <c r="AJ44">
        <v>68405</v>
      </c>
      <c r="AK44" s="30">
        <v>41767</v>
      </c>
      <c r="AL44" t="s">
        <v>1782</v>
      </c>
      <c r="AM44">
        <v>35</v>
      </c>
      <c r="AN44" t="str">
        <f>VLOOKUP(Transaction[[#This Row],[Model No.]],$AV$2:$BD$100,2,TRUE)</f>
        <v>Troegenator Double Bock Can - 12 Pack</v>
      </c>
      <c r="AO44" s="21">
        <f>VLOOKUP(Transaction[[#This Row],[Model No.]],$AV$2:$BD$100,6,TRUE)</f>
        <v>20.99</v>
      </c>
      <c r="AP44" s="9">
        <v>4</v>
      </c>
      <c r="AQ44" s="5">
        <f>Transaction[[#This Row],[Price]]*Transaction[[#This Row],[Qty]]</f>
        <v>83.96</v>
      </c>
      <c r="AR44" s="5">
        <f>VLOOKUP(Transaction[[#This Row],[Model No.]],$AV$2:$BD$100,7,TRUE)*Transaction[[#This Row],[Qty]]</f>
        <v>25.187999999999999</v>
      </c>
      <c r="AS44">
        <v>1106</v>
      </c>
      <c r="AT44">
        <v>1021</v>
      </c>
      <c r="AV44">
        <v>42</v>
      </c>
      <c r="AW44" s="11" t="s">
        <v>119</v>
      </c>
      <c r="AX44" t="s">
        <v>80</v>
      </c>
      <c r="AY44" t="s">
        <v>70</v>
      </c>
      <c r="AZ44">
        <v>67</v>
      </c>
      <c r="BA44" s="5">
        <v>16.989999999999998</v>
      </c>
      <c r="BB44" s="5">
        <f>VLOOKUP(Inventory11[[#This Row],[Category]],$K$2:$L$23,2,TRUE)*Inventory11[[#This Row],[Price]]</f>
        <v>6.7959999999999994</v>
      </c>
      <c r="BC44" t="s">
        <v>1982</v>
      </c>
      <c r="BD44" t="str">
        <f ca="1">IF(AND(Inventory11[Category]= "BEER", Inventory11[[#This Row],[Price]]&lt;20),TODAY()+30, "")</f>
        <v/>
      </c>
    </row>
    <row r="45" spans="1:56" x14ac:dyDescent="0.3">
      <c r="A45" s="11" t="s">
        <v>75</v>
      </c>
      <c r="B45">
        <v>43</v>
      </c>
      <c r="C45" t="s">
        <v>74</v>
      </c>
      <c r="D45" t="s">
        <v>76</v>
      </c>
      <c r="E45">
        <v>75</v>
      </c>
      <c r="F45" s="5">
        <v>16.989999999999998</v>
      </c>
      <c r="G45" s="5">
        <f>VLOOKUP(Inventory[[#This Row],[Category]],$K$2:$L$23,2,TRUE)*Inventory[[#This Row],[Price]]</f>
        <v>5.0969999999999995</v>
      </c>
      <c r="H45">
        <v>13.591999999999999</v>
      </c>
      <c r="I45">
        <f ca="1">IF(AND(Inventory[Category]= "BEER", Inventory[[#This Row],[Price]]&lt;20),TODAY()+30, "")</f>
        <v>43646</v>
      </c>
      <c r="AJ45">
        <v>42502</v>
      </c>
      <c r="AK45" s="30">
        <v>41772</v>
      </c>
      <c r="AL45" t="s">
        <v>1717</v>
      </c>
      <c r="AM45">
        <v>7</v>
      </c>
      <c r="AN45" t="str">
        <f>VLOOKUP(Transaction[[#This Row],[Model No.]],$AV$2:$BD$100,2,TRUE)</f>
        <v>Glenkinchie Distillers Edition Single Malt Scotch Whisky</v>
      </c>
      <c r="AO45" s="21">
        <f>VLOOKUP(Transaction[[#This Row],[Model No.]],$AV$2:$BD$100,6,TRUE)</f>
        <v>45.99</v>
      </c>
      <c r="AP45" s="9">
        <v>2</v>
      </c>
      <c r="AQ45" s="5">
        <f>Transaction[[#This Row],[Price]]*Transaction[[#This Row],[Qty]]</f>
        <v>91.98</v>
      </c>
      <c r="AR45" s="5">
        <f>VLOOKUP(Transaction[[#This Row],[Model No.]],$AV$2:$BD$100,7,TRUE)*Transaction[[#This Row],[Qty]]</f>
        <v>27.594000000000001</v>
      </c>
      <c r="AS45">
        <v>1100</v>
      </c>
      <c r="AT45">
        <v>1015</v>
      </c>
      <c r="AV45">
        <v>43</v>
      </c>
      <c r="AW45" s="11" t="s">
        <v>75</v>
      </c>
      <c r="AX45" t="s">
        <v>74</v>
      </c>
      <c r="AY45" t="s">
        <v>76</v>
      </c>
      <c r="AZ45">
        <v>75</v>
      </c>
      <c r="BA45" s="5">
        <v>16.989999999999998</v>
      </c>
      <c r="BB45" s="5">
        <f>VLOOKUP(Inventory11[[#This Row],[Category]],$K$2:$L$23,2,TRUE)*Inventory11[[#This Row],[Price]]</f>
        <v>5.0969999999999995</v>
      </c>
      <c r="BC45">
        <v>13.591999999999999</v>
      </c>
      <c r="BD45">
        <f ca="1">IF(AND(Inventory11[Category]= "BEER", Inventory11[[#This Row],[Price]]&lt;20),TODAY()+30, "")</f>
        <v>43646</v>
      </c>
    </row>
    <row r="46" spans="1:56" x14ac:dyDescent="0.3">
      <c r="A46" s="11" t="s">
        <v>117</v>
      </c>
      <c r="B46">
        <v>44</v>
      </c>
      <c r="C46" t="s">
        <v>74</v>
      </c>
      <c r="D46" t="s">
        <v>102</v>
      </c>
      <c r="E46">
        <v>0</v>
      </c>
      <c r="F46" s="5">
        <v>16.989999999999998</v>
      </c>
      <c r="G46" s="5">
        <f>VLOOKUP(Inventory[[#This Row],[Category]],$K$2:$L$23,2,TRUE)*Inventory[[#This Row],[Price]]</f>
        <v>5.0969999999999995</v>
      </c>
      <c r="H46">
        <v>13.591999999999999</v>
      </c>
      <c r="I46">
        <f ca="1">IF(AND(Inventory[Category]= "BEER", Inventory[[#This Row],[Price]]&lt;20),TODAY()+30, "")</f>
        <v>43646</v>
      </c>
      <c r="AJ46">
        <v>28174</v>
      </c>
      <c r="AK46" s="30">
        <v>41775</v>
      </c>
      <c r="AL46" t="s">
        <v>848</v>
      </c>
      <c r="AM46">
        <v>70</v>
      </c>
      <c r="AN46" t="str">
        <f>VLOOKUP(Transaction[[#This Row],[Model No.]],$AV$2:$BD$100,2,TRUE)</f>
        <v>Matchbook Rose Estate Bottled Tempranillo</v>
      </c>
      <c r="AO46" s="21">
        <f>VLOOKUP(Transaction[[#This Row],[Model No.]],$AV$2:$BD$100,6,TRUE)</f>
        <v>12.69</v>
      </c>
      <c r="AP46" s="9">
        <v>4</v>
      </c>
      <c r="AQ46" s="5">
        <f>Transaction[[#This Row],[Price]]*Transaction[[#This Row],[Qty]]</f>
        <v>50.76</v>
      </c>
      <c r="AR46" s="5">
        <f>VLOOKUP(Transaction[[#This Row],[Model No.]],$AV$2:$BD$100,7,TRUE)*Transaction[[#This Row],[Qty]]</f>
        <v>5.0760000000000005</v>
      </c>
      <c r="AS46">
        <v>1105</v>
      </c>
      <c r="AT46">
        <v>1019</v>
      </c>
      <c r="AV46">
        <v>44</v>
      </c>
      <c r="AW46" s="11" t="s">
        <v>117</v>
      </c>
      <c r="AX46" t="s">
        <v>74</v>
      </c>
      <c r="AY46" t="s">
        <v>102</v>
      </c>
      <c r="AZ46">
        <v>0</v>
      </c>
      <c r="BA46" s="5">
        <v>16.989999999999998</v>
      </c>
      <c r="BB46" s="5">
        <f>VLOOKUP(Inventory11[[#This Row],[Category]],$K$2:$L$23,2,TRUE)*Inventory11[[#This Row],[Price]]</f>
        <v>5.0969999999999995</v>
      </c>
      <c r="BC46">
        <v>13.591999999999999</v>
      </c>
      <c r="BD46">
        <f ca="1">IF(AND(Inventory11[Category]= "BEER", Inventory11[[#This Row],[Price]]&lt;20),TODAY()+30, "")</f>
        <v>43646</v>
      </c>
    </row>
    <row r="47" spans="1:56" x14ac:dyDescent="0.3">
      <c r="A47" s="11" t="s">
        <v>181</v>
      </c>
      <c r="B47">
        <v>45</v>
      </c>
      <c r="C47" t="s">
        <v>74</v>
      </c>
      <c r="D47" t="s">
        <v>76</v>
      </c>
      <c r="E47">
        <v>58</v>
      </c>
      <c r="F47" s="5">
        <v>15.99</v>
      </c>
      <c r="G47" s="5">
        <f>VLOOKUP(Inventory[[#This Row],[Category]],$K$2:$L$23,2,TRUE)*Inventory[[#This Row],[Price]]</f>
        <v>4.7969999999999997</v>
      </c>
      <c r="H47">
        <v>12.792000000000002</v>
      </c>
      <c r="I47">
        <f ca="1">IF(AND(Inventory[Category]= "BEER", Inventory[[#This Row],[Price]]&lt;20),TODAY()+30, "")</f>
        <v>43646</v>
      </c>
      <c r="AJ47">
        <v>27350</v>
      </c>
      <c r="AK47" s="30">
        <v>41778</v>
      </c>
      <c r="AL47" t="s">
        <v>1407</v>
      </c>
      <c r="AM47">
        <v>94</v>
      </c>
      <c r="AN47" t="str">
        <f>VLOOKUP(Transaction[[#This Row],[Model No.]],$AV$2:$BD$100,2,TRUE)</f>
        <v>Freixenet Blanc de Blancs Brut Cava Blend</v>
      </c>
      <c r="AO47" s="21">
        <f>VLOOKUP(Transaction[[#This Row],[Model No.]],$AV$2:$BD$100,6,TRUE)</f>
        <v>7.49</v>
      </c>
      <c r="AP47" s="9">
        <v>3</v>
      </c>
      <c r="AQ47" s="5">
        <f>Transaction[[#This Row],[Price]]*Transaction[[#This Row],[Qty]]</f>
        <v>22.47</v>
      </c>
      <c r="AR47" s="5">
        <f>VLOOKUP(Transaction[[#This Row],[Model No.]],$AV$2:$BD$100,7,TRUE)*Transaction[[#This Row],[Qty]]</f>
        <v>2.2470000000000003</v>
      </c>
      <c r="AS47">
        <v>1102</v>
      </c>
      <c r="AT47">
        <v>1017</v>
      </c>
      <c r="AV47">
        <v>45</v>
      </c>
      <c r="AW47" s="11" t="s">
        <v>181</v>
      </c>
      <c r="AX47" t="s">
        <v>74</v>
      </c>
      <c r="AY47" t="s">
        <v>76</v>
      </c>
      <c r="AZ47">
        <v>58</v>
      </c>
      <c r="BA47" s="5">
        <v>15.99</v>
      </c>
      <c r="BB47" s="5">
        <f>VLOOKUP(Inventory11[[#This Row],[Category]],$K$2:$L$23,2,TRUE)*Inventory11[[#This Row],[Price]]</f>
        <v>4.7969999999999997</v>
      </c>
      <c r="BC47">
        <v>12.792000000000002</v>
      </c>
      <c r="BD47">
        <f ca="1">IF(AND(Inventory11[Category]= "BEER", Inventory11[[#This Row],[Price]]&lt;20),TODAY()+30, "")</f>
        <v>43646</v>
      </c>
    </row>
    <row r="48" spans="1:56" x14ac:dyDescent="0.3">
      <c r="A48" s="11" t="s">
        <v>175</v>
      </c>
      <c r="B48">
        <v>46</v>
      </c>
      <c r="C48" t="s">
        <v>174</v>
      </c>
      <c r="D48" t="s">
        <v>70</v>
      </c>
      <c r="E48">
        <v>55</v>
      </c>
      <c r="F48" s="5">
        <v>15.99</v>
      </c>
      <c r="G48" s="5">
        <f>VLOOKUP(Inventory[[#This Row],[Category]],$K$2:$L$23,2,TRUE)*Inventory[[#This Row],[Price]]</f>
        <v>3.1980000000000004</v>
      </c>
      <c r="H48" t="s">
        <v>1982</v>
      </c>
      <c r="I48" t="str">
        <f ca="1">IF(AND(Inventory[Category]= "BEER", Inventory[[#This Row],[Price]]&lt;20),TODAY()+30, "")</f>
        <v/>
      </c>
      <c r="AJ48">
        <v>81123</v>
      </c>
      <c r="AK48" s="30">
        <v>41779</v>
      </c>
      <c r="AL48" t="s">
        <v>1541</v>
      </c>
      <c r="AM48">
        <v>19</v>
      </c>
      <c r="AN48" t="str">
        <f>VLOOKUP(Transaction[[#This Row],[Model No.]],$AV$2:$BD$100,2,TRUE)</f>
        <v>District Made Vodka</v>
      </c>
      <c r="AO48" s="21">
        <f>VLOOKUP(Transaction[[#This Row],[Model No.]],$AV$2:$BD$100,6,TRUE)</f>
        <v>29.99</v>
      </c>
      <c r="AP48" s="9">
        <v>2</v>
      </c>
      <c r="AQ48" s="5">
        <f>Transaction[[#This Row],[Price]]*Transaction[[#This Row],[Qty]]</f>
        <v>59.98</v>
      </c>
      <c r="AR48" s="5">
        <f>VLOOKUP(Transaction[[#This Row],[Model No.]],$AV$2:$BD$100,7,TRUE)*Transaction[[#This Row],[Qty]]</f>
        <v>17.994</v>
      </c>
      <c r="AS48">
        <v>1105</v>
      </c>
      <c r="AT48">
        <v>1010</v>
      </c>
      <c r="AV48">
        <v>46</v>
      </c>
      <c r="AW48" s="11" t="s">
        <v>175</v>
      </c>
      <c r="AX48" t="s">
        <v>174</v>
      </c>
      <c r="AY48" t="s">
        <v>70</v>
      </c>
      <c r="AZ48">
        <v>55</v>
      </c>
      <c r="BA48" s="5">
        <v>15.99</v>
      </c>
      <c r="BB48" s="5">
        <f>VLOOKUP(Inventory11[[#This Row],[Category]],$K$2:$L$23,2,TRUE)*Inventory11[[#This Row],[Price]]</f>
        <v>3.1980000000000004</v>
      </c>
      <c r="BC48" t="s">
        <v>1982</v>
      </c>
      <c r="BD48" t="str">
        <f ca="1">IF(AND(Inventory11[Category]= "BEER", Inventory11[[#This Row],[Price]]&lt;20),TODAY()+30, "")</f>
        <v/>
      </c>
    </row>
    <row r="49" spans="1:56" x14ac:dyDescent="0.3">
      <c r="A49" s="11" t="s">
        <v>136</v>
      </c>
      <c r="B49">
        <v>47</v>
      </c>
      <c r="C49" t="s">
        <v>71</v>
      </c>
      <c r="D49" t="s">
        <v>70</v>
      </c>
      <c r="E49">
        <v>25</v>
      </c>
      <c r="F49" s="5">
        <v>15.99</v>
      </c>
      <c r="G49" s="5">
        <f>VLOOKUP(Inventory[[#This Row],[Category]],$K$2:$L$23,2,TRUE)*Inventory[[#This Row],[Price]]</f>
        <v>4.7969999999999997</v>
      </c>
      <c r="H49" t="s">
        <v>1982</v>
      </c>
      <c r="I49" t="str">
        <f ca="1">IF(AND(Inventory[Category]= "BEER", Inventory[[#This Row],[Price]]&lt;20),TODAY()+30, "")</f>
        <v/>
      </c>
      <c r="AJ49">
        <v>73810</v>
      </c>
      <c r="AK49" s="30">
        <v>41779</v>
      </c>
      <c r="AL49" t="s">
        <v>386</v>
      </c>
      <c r="AM49">
        <v>70</v>
      </c>
      <c r="AN49" t="str">
        <f>VLOOKUP(Transaction[[#This Row],[Model No.]],$AV$2:$BD$100,2,TRUE)</f>
        <v>Matchbook Rose Estate Bottled Tempranillo</v>
      </c>
      <c r="AO49" s="21">
        <f>VLOOKUP(Transaction[[#This Row],[Model No.]],$AV$2:$BD$100,6,TRUE)</f>
        <v>12.69</v>
      </c>
      <c r="AP49" s="9">
        <v>1</v>
      </c>
      <c r="AQ49" s="5">
        <f>Transaction[[#This Row],[Price]]*Transaction[[#This Row],[Qty]]</f>
        <v>12.69</v>
      </c>
      <c r="AR49" s="5">
        <f>VLOOKUP(Transaction[[#This Row],[Model No.]],$AV$2:$BD$100,7,TRUE)*Transaction[[#This Row],[Qty]]</f>
        <v>1.2690000000000001</v>
      </c>
      <c r="AS49">
        <v>1103</v>
      </c>
      <c r="AT49">
        <v>1020</v>
      </c>
      <c r="AV49">
        <v>47</v>
      </c>
      <c r="AW49" s="11" t="s">
        <v>136</v>
      </c>
      <c r="AX49" t="s">
        <v>71</v>
      </c>
      <c r="AY49" t="s">
        <v>70</v>
      </c>
      <c r="AZ49">
        <v>25</v>
      </c>
      <c r="BA49" s="5">
        <v>15.99</v>
      </c>
      <c r="BB49" s="5">
        <f>VLOOKUP(Inventory11[[#This Row],[Category]],$K$2:$L$23,2,TRUE)*Inventory11[[#This Row],[Price]]</f>
        <v>4.7969999999999997</v>
      </c>
      <c r="BC49" t="s">
        <v>1982</v>
      </c>
      <c r="BD49" t="str">
        <f ca="1">IF(AND(Inventory11[Category]= "BEER", Inventory11[[#This Row],[Price]]&lt;20),TODAY()+30, "")</f>
        <v/>
      </c>
    </row>
    <row r="50" spans="1:56" x14ac:dyDescent="0.3">
      <c r="A50" s="11" t="s">
        <v>183</v>
      </c>
      <c r="B50">
        <v>48</v>
      </c>
      <c r="C50" t="s">
        <v>134</v>
      </c>
      <c r="D50" t="s">
        <v>70</v>
      </c>
      <c r="E50">
        <v>78</v>
      </c>
      <c r="F50" s="5">
        <v>15.99</v>
      </c>
      <c r="G50" s="5">
        <f>VLOOKUP(Inventory[[#This Row],[Category]],$K$2:$L$23,2,TRUE)*Inventory[[#This Row],[Price]]</f>
        <v>6.3960000000000008</v>
      </c>
      <c r="H50" t="s">
        <v>1982</v>
      </c>
      <c r="I50" t="str">
        <f ca="1">IF(AND(Inventory[Category]= "BEER", Inventory[[#This Row],[Price]]&lt;20),TODAY()+30, "")</f>
        <v/>
      </c>
      <c r="AJ50">
        <v>67665</v>
      </c>
      <c r="AK50" s="30">
        <v>41780</v>
      </c>
      <c r="AL50" t="s">
        <v>1689</v>
      </c>
      <c r="AM50">
        <v>2</v>
      </c>
      <c r="AN50" t="str">
        <f>VLOOKUP(Transaction[[#This Row],[Model No.]],$AV$2:$BD$100,2,TRUE)</f>
        <v>Grand Marnier Cuvee 1880 Liqueur</v>
      </c>
      <c r="AO50" s="21">
        <f>VLOOKUP(Transaction[[#This Row],[Model No.]],$AV$2:$BD$100,6,TRUE)</f>
        <v>286.99</v>
      </c>
      <c r="AP50" s="9">
        <v>2</v>
      </c>
      <c r="AQ50" s="5">
        <f>Transaction[[#This Row],[Price]]*Transaction[[#This Row],[Qty]]</f>
        <v>573.98</v>
      </c>
      <c r="AR50" s="5">
        <f>VLOOKUP(Transaction[[#This Row],[Model No.]],$AV$2:$BD$100,7,TRUE)*Transaction[[#This Row],[Qty]]</f>
        <v>172.19399999999999</v>
      </c>
      <c r="AS50">
        <v>1100</v>
      </c>
      <c r="AT50">
        <v>1007</v>
      </c>
      <c r="AV50">
        <v>48</v>
      </c>
      <c r="AW50" s="11" t="s">
        <v>183</v>
      </c>
      <c r="AX50" t="s">
        <v>134</v>
      </c>
      <c r="AY50" t="s">
        <v>70</v>
      </c>
      <c r="AZ50">
        <v>78</v>
      </c>
      <c r="BA50" s="5">
        <v>15.99</v>
      </c>
      <c r="BB50" s="5">
        <f>VLOOKUP(Inventory11[[#This Row],[Category]],$K$2:$L$23,2,TRUE)*Inventory11[[#This Row],[Price]]</f>
        <v>6.3960000000000008</v>
      </c>
      <c r="BC50" t="s">
        <v>1982</v>
      </c>
      <c r="BD50" t="str">
        <f ca="1">IF(AND(Inventory11[Category]= "BEER", Inventory11[[#This Row],[Price]]&lt;20),TODAY()+30, "")</f>
        <v/>
      </c>
    </row>
    <row r="51" spans="1:56" x14ac:dyDescent="0.3">
      <c r="A51" s="11" t="s">
        <v>142</v>
      </c>
      <c r="B51">
        <v>49</v>
      </c>
      <c r="C51" t="s">
        <v>82</v>
      </c>
      <c r="D51" t="s">
        <v>70</v>
      </c>
      <c r="E51">
        <v>33</v>
      </c>
      <c r="F51" s="5">
        <v>15.99</v>
      </c>
      <c r="G51" s="5">
        <f>VLOOKUP(Inventory[[#This Row],[Category]],$K$2:$L$23,2,TRUE)*Inventory[[#This Row],[Price]]</f>
        <v>1.5990000000000002</v>
      </c>
      <c r="H51" t="s">
        <v>1982</v>
      </c>
      <c r="I51" t="str">
        <f ca="1">IF(AND(Inventory[Category]= "BEER", Inventory[[#This Row],[Price]]&lt;20),TODAY()+30, "")</f>
        <v/>
      </c>
      <c r="AJ51">
        <v>25453</v>
      </c>
      <c r="AK51" s="30">
        <v>41780</v>
      </c>
      <c r="AL51" t="s">
        <v>1093</v>
      </c>
      <c r="AM51">
        <v>6</v>
      </c>
      <c r="AN51" t="str">
        <f>VLOOKUP(Transaction[[#This Row],[Model No.]],$AV$2:$BD$100,2,TRUE)</f>
        <v>Agricola Punica Barrua Isola Dei Nuraghi IGT Carignan</v>
      </c>
      <c r="AO51" s="21">
        <f>VLOOKUP(Transaction[[#This Row],[Model No.]],$AV$2:$BD$100,6,TRUE)</f>
        <v>46.99</v>
      </c>
      <c r="AP51" s="9">
        <v>2</v>
      </c>
      <c r="AQ51" s="5">
        <f>Transaction[[#This Row],[Price]]*Transaction[[#This Row],[Qty]]</f>
        <v>93.98</v>
      </c>
      <c r="AR51" s="5">
        <f>VLOOKUP(Transaction[[#This Row],[Model No.]],$AV$2:$BD$100,7,TRUE)*Transaction[[#This Row],[Qty]]</f>
        <v>9.3980000000000015</v>
      </c>
      <c r="AS51">
        <v>1103</v>
      </c>
      <c r="AT51">
        <v>1020</v>
      </c>
      <c r="AV51">
        <v>49</v>
      </c>
      <c r="AW51" s="11" t="s">
        <v>142</v>
      </c>
      <c r="AX51" t="s">
        <v>82</v>
      </c>
      <c r="AY51" t="s">
        <v>70</v>
      </c>
      <c r="AZ51">
        <v>33</v>
      </c>
      <c r="BA51" s="5">
        <v>15.99</v>
      </c>
      <c r="BB51" s="5">
        <f>VLOOKUP(Inventory11[[#This Row],[Category]],$K$2:$L$23,2,TRUE)*Inventory11[[#This Row],[Price]]</f>
        <v>1.5990000000000002</v>
      </c>
      <c r="BC51" t="s">
        <v>1982</v>
      </c>
      <c r="BD51" t="str">
        <f ca="1">IF(AND(Inventory11[Category]= "BEER", Inventory11[[#This Row],[Price]]&lt;20),TODAY()+30, "")</f>
        <v/>
      </c>
    </row>
    <row r="52" spans="1:56" x14ac:dyDescent="0.3">
      <c r="A52" s="11" t="s">
        <v>81</v>
      </c>
      <c r="B52">
        <v>50</v>
      </c>
      <c r="C52" t="s">
        <v>80</v>
      </c>
      <c r="D52" t="s">
        <v>70</v>
      </c>
      <c r="E52">
        <v>64</v>
      </c>
      <c r="F52" s="5">
        <v>14.99</v>
      </c>
      <c r="G52" s="5">
        <f>VLOOKUP(Inventory[[#This Row],[Category]],$K$2:$L$23,2,TRUE)*Inventory[[#This Row],[Price]]</f>
        <v>5.9960000000000004</v>
      </c>
      <c r="H52" t="s">
        <v>1982</v>
      </c>
      <c r="I52" t="str">
        <f ca="1">IF(AND(Inventory[Category]= "BEER", Inventory[[#This Row],[Price]]&lt;20),TODAY()+30, "")</f>
        <v/>
      </c>
      <c r="AJ52">
        <v>11666</v>
      </c>
      <c r="AK52" s="30">
        <v>41782</v>
      </c>
      <c r="AL52" t="s">
        <v>1079</v>
      </c>
      <c r="AM52">
        <v>26</v>
      </c>
      <c r="AN52" t="str">
        <f>VLOOKUP(Transaction[[#This Row],[Model No.]],$AV$2:$BD$100,2,TRUE)</f>
        <v>Belhaven Scottish Stout - 4 Pack</v>
      </c>
      <c r="AO52" s="21">
        <f>VLOOKUP(Transaction[[#This Row],[Model No.]],$AV$2:$BD$100,6,TRUE)</f>
        <v>23.99</v>
      </c>
      <c r="AP52" s="9">
        <v>1</v>
      </c>
      <c r="AQ52" s="5">
        <f>Transaction[[#This Row],[Price]]*Transaction[[#This Row],[Qty]]</f>
        <v>23.99</v>
      </c>
      <c r="AR52" s="5">
        <f>VLOOKUP(Transaction[[#This Row],[Model No.]],$AV$2:$BD$100,7,TRUE)*Transaction[[#This Row],[Qty]]</f>
        <v>7.1969999999999992</v>
      </c>
      <c r="AS52">
        <v>1099</v>
      </c>
      <c r="AT52">
        <v>1002</v>
      </c>
      <c r="AV52">
        <v>50</v>
      </c>
      <c r="AW52" s="11" t="s">
        <v>81</v>
      </c>
      <c r="AX52" t="s">
        <v>80</v>
      </c>
      <c r="AY52" t="s">
        <v>70</v>
      </c>
      <c r="AZ52">
        <v>64</v>
      </c>
      <c r="BA52" s="5">
        <v>14.99</v>
      </c>
      <c r="BB52" s="5">
        <f>VLOOKUP(Inventory11[[#This Row],[Category]],$K$2:$L$23,2,TRUE)*Inventory11[[#This Row],[Price]]</f>
        <v>5.9960000000000004</v>
      </c>
      <c r="BC52" t="s">
        <v>1982</v>
      </c>
      <c r="BD52" t="str">
        <f ca="1">IF(AND(Inventory11[Category]= "BEER", Inventory11[[#This Row],[Price]]&lt;20),TODAY()+30, "")</f>
        <v/>
      </c>
    </row>
    <row r="53" spans="1:56" x14ac:dyDescent="0.3">
      <c r="A53" s="11" t="s">
        <v>178</v>
      </c>
      <c r="B53">
        <v>51</v>
      </c>
      <c r="C53" t="s">
        <v>87</v>
      </c>
      <c r="D53" t="s">
        <v>70</v>
      </c>
      <c r="E53">
        <v>84</v>
      </c>
      <c r="F53" s="5">
        <v>14.99</v>
      </c>
      <c r="G53" s="5">
        <f>VLOOKUP(Inventory[[#This Row],[Category]],$K$2:$L$23,2,TRUE)*Inventory[[#This Row],[Price]]</f>
        <v>1.4990000000000001</v>
      </c>
      <c r="H53" t="s">
        <v>1982</v>
      </c>
      <c r="I53" t="str">
        <f ca="1">IF(AND(Inventory[Category]= "BEER", Inventory[[#This Row],[Price]]&lt;20),TODAY()+30, "")</f>
        <v/>
      </c>
      <c r="AJ53">
        <v>53372</v>
      </c>
      <c r="AK53" s="30">
        <v>41783</v>
      </c>
      <c r="AL53" t="s">
        <v>1172</v>
      </c>
      <c r="AM53">
        <v>40</v>
      </c>
      <c r="AN53" t="str">
        <f>VLOOKUP(Transaction[[#This Row],[Model No.]],$AV$2:$BD$100,2,TRUE)</f>
        <v>Takara Can Chu Hi JPop Grapefruit - 6 Pack</v>
      </c>
      <c r="AO53" s="21">
        <f>VLOOKUP(Transaction[[#This Row],[Model No.]],$AV$2:$BD$100,6,TRUE)</f>
        <v>17.989999999999998</v>
      </c>
      <c r="AP53" s="9">
        <v>2</v>
      </c>
      <c r="AQ53" s="5">
        <f>Transaction[[#This Row],[Price]]*Transaction[[#This Row],[Qty]]</f>
        <v>35.979999999999997</v>
      </c>
      <c r="AR53" s="5">
        <f>VLOOKUP(Transaction[[#This Row],[Model No.]],$AV$2:$BD$100,7,TRUE)*Transaction[[#This Row],[Qty]]</f>
        <v>10.793999999999999</v>
      </c>
      <c r="AS53">
        <v>1103</v>
      </c>
      <c r="AT53">
        <v>1001</v>
      </c>
      <c r="AV53">
        <v>51</v>
      </c>
      <c r="AW53" s="11" t="s">
        <v>178</v>
      </c>
      <c r="AX53" t="s">
        <v>87</v>
      </c>
      <c r="AY53" t="s">
        <v>70</v>
      </c>
      <c r="AZ53">
        <v>84</v>
      </c>
      <c r="BA53" s="5">
        <v>14.99</v>
      </c>
      <c r="BB53" s="5">
        <f>VLOOKUP(Inventory11[[#This Row],[Category]],$K$2:$L$23,2,TRUE)*Inventory11[[#This Row],[Price]]</f>
        <v>1.4990000000000001</v>
      </c>
      <c r="BC53" t="s">
        <v>1982</v>
      </c>
      <c r="BD53" t="str">
        <f ca="1">IF(AND(Inventory11[Category]= "BEER", Inventory11[[#This Row],[Price]]&lt;20),TODAY()+30, "")</f>
        <v/>
      </c>
    </row>
    <row r="54" spans="1:56" x14ac:dyDescent="0.3">
      <c r="A54" s="11" t="s">
        <v>130</v>
      </c>
      <c r="B54">
        <v>52</v>
      </c>
      <c r="C54" t="s">
        <v>129</v>
      </c>
      <c r="D54" t="s">
        <v>70</v>
      </c>
      <c r="E54">
        <v>49</v>
      </c>
      <c r="F54" s="5">
        <v>14.99</v>
      </c>
      <c r="G54" s="5">
        <f>VLOOKUP(Inventory[[#This Row],[Category]],$K$2:$L$23,2,TRUE)*Inventory[[#This Row],[Price]]</f>
        <v>1.4990000000000001</v>
      </c>
      <c r="H54" t="s">
        <v>1982</v>
      </c>
      <c r="I54" t="str">
        <f ca="1">IF(AND(Inventory[Category]= "BEER", Inventory[[#This Row],[Price]]&lt;20),TODAY()+30, "")</f>
        <v/>
      </c>
      <c r="AJ54">
        <v>16309</v>
      </c>
      <c r="AK54" s="30">
        <v>41784</v>
      </c>
      <c r="AL54" t="s">
        <v>446</v>
      </c>
      <c r="AM54">
        <v>11</v>
      </c>
      <c r="AN54" t="str">
        <f>VLOOKUP(Transaction[[#This Row],[Model No.]],$AV$2:$BD$100,2,TRUE)</f>
        <v>Kurant 1852 Crystal Limited Edition Vodka</v>
      </c>
      <c r="AO54" s="21">
        <f>VLOOKUP(Transaction[[#This Row],[Model No.]],$AV$2:$BD$100,6,TRUE)</f>
        <v>40.99</v>
      </c>
      <c r="AP54" s="9">
        <v>4</v>
      </c>
      <c r="AQ54" s="5">
        <f>Transaction[[#This Row],[Price]]*Transaction[[#This Row],[Qty]]</f>
        <v>163.96</v>
      </c>
      <c r="AR54" s="5">
        <f>VLOOKUP(Transaction[[#This Row],[Model No.]],$AV$2:$BD$100,7,TRUE)*Transaction[[#This Row],[Qty]]</f>
        <v>49.188000000000002</v>
      </c>
      <c r="AS54">
        <v>1105</v>
      </c>
      <c r="AT54">
        <v>1020</v>
      </c>
      <c r="AV54">
        <v>52</v>
      </c>
      <c r="AW54" s="11" t="s">
        <v>130</v>
      </c>
      <c r="AX54" t="s">
        <v>129</v>
      </c>
      <c r="AY54" t="s">
        <v>70</v>
      </c>
      <c r="AZ54">
        <v>49</v>
      </c>
      <c r="BA54" s="5">
        <v>14.99</v>
      </c>
      <c r="BB54" s="5">
        <f>VLOOKUP(Inventory11[[#This Row],[Category]],$K$2:$L$23,2,TRUE)*Inventory11[[#This Row],[Price]]</f>
        <v>1.4990000000000001</v>
      </c>
      <c r="BC54" t="s">
        <v>1982</v>
      </c>
      <c r="BD54" t="str">
        <f ca="1">IF(AND(Inventory11[Category]= "BEER", Inventory11[[#This Row],[Price]]&lt;20),TODAY()+30, "")</f>
        <v/>
      </c>
    </row>
    <row r="55" spans="1:56" x14ac:dyDescent="0.3">
      <c r="A55" s="11" t="s">
        <v>194</v>
      </c>
      <c r="B55">
        <v>53</v>
      </c>
      <c r="C55" t="s">
        <v>74</v>
      </c>
      <c r="D55" t="s">
        <v>76</v>
      </c>
      <c r="E55">
        <v>52</v>
      </c>
      <c r="F55" s="5">
        <v>14.99</v>
      </c>
      <c r="G55" s="5">
        <f>VLOOKUP(Inventory[[#This Row],[Category]],$K$2:$L$23,2,TRUE)*Inventory[[#This Row],[Price]]</f>
        <v>4.4969999999999999</v>
      </c>
      <c r="H55">
        <v>11.992000000000001</v>
      </c>
      <c r="I55">
        <f ca="1">IF(AND(Inventory[Category]= "BEER", Inventory[[#This Row],[Price]]&lt;20),TODAY()+30, "")</f>
        <v>43646</v>
      </c>
      <c r="AJ55">
        <v>21832</v>
      </c>
      <c r="AK55" s="30">
        <v>41784</v>
      </c>
      <c r="AL55" t="s">
        <v>1694</v>
      </c>
      <c r="AM55">
        <v>21</v>
      </c>
      <c r="AN55" t="str">
        <f>VLOOKUP(Transaction[[#This Row],[Model No.]],$AV$2:$BD$100,2,TRUE)</f>
        <v>Adelsheim Ribbon Springs Auxerrois</v>
      </c>
      <c r="AO55" s="21">
        <f>VLOOKUP(Transaction[[#This Row],[Model No.]],$AV$2:$BD$100,6,TRUE)</f>
        <v>25.99</v>
      </c>
      <c r="AP55" s="9">
        <v>2</v>
      </c>
      <c r="AQ55" s="5">
        <f>Transaction[[#This Row],[Price]]*Transaction[[#This Row],[Qty]]</f>
        <v>51.98</v>
      </c>
      <c r="AR55" s="5">
        <f>VLOOKUP(Transaction[[#This Row],[Model No.]],$AV$2:$BD$100,7,TRUE)*Transaction[[#This Row],[Qty]]</f>
        <v>5.1980000000000004</v>
      </c>
      <c r="AS55">
        <v>1098</v>
      </c>
      <c r="AT55">
        <v>1010</v>
      </c>
      <c r="AV55">
        <v>53</v>
      </c>
      <c r="AW55" s="11" t="s">
        <v>194</v>
      </c>
      <c r="AX55" t="s">
        <v>74</v>
      </c>
      <c r="AY55" t="s">
        <v>76</v>
      </c>
      <c r="AZ55">
        <v>52</v>
      </c>
      <c r="BA55" s="5">
        <v>14.99</v>
      </c>
      <c r="BB55" s="5">
        <f>VLOOKUP(Inventory11[[#This Row],[Category]],$K$2:$L$23,2,TRUE)*Inventory11[[#This Row],[Price]]</f>
        <v>4.4969999999999999</v>
      </c>
      <c r="BC55">
        <v>11.992000000000001</v>
      </c>
      <c r="BD55">
        <f ca="1">IF(AND(Inventory11[Category]= "BEER", Inventory11[[#This Row],[Price]]&lt;20),TODAY()+30, "")</f>
        <v>43646</v>
      </c>
    </row>
    <row r="56" spans="1:56" x14ac:dyDescent="0.3">
      <c r="A56" s="11" t="s">
        <v>151</v>
      </c>
      <c r="B56">
        <v>54</v>
      </c>
      <c r="C56" t="s">
        <v>90</v>
      </c>
      <c r="D56" t="s">
        <v>70</v>
      </c>
      <c r="E56">
        <v>74</v>
      </c>
      <c r="F56" s="5">
        <v>14.99</v>
      </c>
      <c r="G56" s="5">
        <f>VLOOKUP(Inventory[[#This Row],[Category]],$K$2:$L$23,2,TRUE)*Inventory[[#This Row],[Price]]</f>
        <v>4.4969999999999999</v>
      </c>
      <c r="H56" t="s">
        <v>1982</v>
      </c>
      <c r="I56" t="str">
        <f ca="1">IF(AND(Inventory[Category]= "BEER", Inventory[[#This Row],[Price]]&lt;20),TODAY()+30, "")</f>
        <v/>
      </c>
      <c r="AJ56">
        <v>37302</v>
      </c>
      <c r="AK56" s="30">
        <v>41785</v>
      </c>
      <c r="AL56" t="s">
        <v>565</v>
      </c>
      <c r="AM56">
        <v>27</v>
      </c>
      <c r="AN56" t="str">
        <f>VLOOKUP(Transaction[[#This Row],[Model No.]],$AV$2:$BD$100,2,TRUE)</f>
        <v>Prairie Organic Gin</v>
      </c>
      <c r="AO56" s="21">
        <f>VLOOKUP(Transaction[[#This Row],[Model No.]],$AV$2:$BD$100,6,TRUE)</f>
        <v>23.99</v>
      </c>
      <c r="AP56" s="9">
        <v>2</v>
      </c>
      <c r="AQ56" s="5">
        <f>Transaction[[#This Row],[Price]]*Transaction[[#This Row],[Qty]]</f>
        <v>47.98</v>
      </c>
      <c r="AR56" s="5">
        <f>VLOOKUP(Transaction[[#This Row],[Model No.]],$AV$2:$BD$100,7,TRUE)*Transaction[[#This Row],[Qty]]</f>
        <v>19.192</v>
      </c>
      <c r="AS56">
        <v>1100</v>
      </c>
      <c r="AT56">
        <v>1011</v>
      </c>
      <c r="AV56">
        <v>54</v>
      </c>
      <c r="AW56" s="11" t="s">
        <v>151</v>
      </c>
      <c r="AX56" t="s">
        <v>90</v>
      </c>
      <c r="AY56" t="s">
        <v>70</v>
      </c>
      <c r="AZ56">
        <v>74</v>
      </c>
      <c r="BA56" s="5">
        <v>14.99</v>
      </c>
      <c r="BB56" s="5">
        <f>VLOOKUP(Inventory11[[#This Row],[Category]],$K$2:$L$23,2,TRUE)*Inventory11[[#This Row],[Price]]</f>
        <v>4.4969999999999999</v>
      </c>
      <c r="BC56" t="s">
        <v>1982</v>
      </c>
      <c r="BD56" t="str">
        <f ca="1">IF(AND(Inventory11[Category]= "BEER", Inventory11[[#This Row],[Price]]&lt;20),TODAY()+30, "")</f>
        <v/>
      </c>
    </row>
    <row r="57" spans="1:56" x14ac:dyDescent="0.3">
      <c r="A57" s="11" t="s">
        <v>88</v>
      </c>
      <c r="B57">
        <v>55</v>
      </c>
      <c r="C57" t="s">
        <v>87</v>
      </c>
      <c r="D57" t="s">
        <v>70</v>
      </c>
      <c r="E57">
        <v>84</v>
      </c>
      <c r="F57" s="5">
        <v>14.49</v>
      </c>
      <c r="G57" s="5">
        <f>VLOOKUP(Inventory[[#This Row],[Category]],$K$2:$L$23,2,TRUE)*Inventory[[#This Row],[Price]]</f>
        <v>1.4490000000000001</v>
      </c>
      <c r="H57" t="s">
        <v>1982</v>
      </c>
      <c r="I57" t="str">
        <f ca="1">IF(AND(Inventory[Category]= "BEER", Inventory[[#This Row],[Price]]&lt;20),TODAY()+30, "")</f>
        <v/>
      </c>
      <c r="AJ57">
        <v>63857</v>
      </c>
      <c r="AK57" s="30">
        <v>41785</v>
      </c>
      <c r="AL57" t="s">
        <v>402</v>
      </c>
      <c r="AM57">
        <v>26</v>
      </c>
      <c r="AN57" t="str">
        <f>VLOOKUP(Transaction[[#This Row],[Model No.]],$AV$2:$BD$100,2,TRUE)</f>
        <v>Belhaven Scottish Stout - 4 Pack</v>
      </c>
      <c r="AO57" s="21">
        <f>VLOOKUP(Transaction[[#This Row],[Model No.]],$AV$2:$BD$100,6,TRUE)</f>
        <v>23.99</v>
      </c>
      <c r="AP57" s="9">
        <v>5</v>
      </c>
      <c r="AQ57" s="5">
        <f>Transaction[[#This Row],[Price]]*Transaction[[#This Row],[Qty]]</f>
        <v>119.94999999999999</v>
      </c>
      <c r="AR57" s="5">
        <f>VLOOKUP(Transaction[[#This Row],[Model No.]],$AV$2:$BD$100,7,TRUE)*Transaction[[#This Row],[Qty]]</f>
        <v>35.984999999999999</v>
      </c>
      <c r="AS57">
        <v>1103</v>
      </c>
      <c r="AT57">
        <v>1020</v>
      </c>
      <c r="AV57">
        <v>55</v>
      </c>
      <c r="AW57" s="11" t="s">
        <v>88</v>
      </c>
      <c r="AX57" t="s">
        <v>87</v>
      </c>
      <c r="AY57" t="s">
        <v>70</v>
      </c>
      <c r="AZ57">
        <v>84</v>
      </c>
      <c r="BA57" s="5">
        <v>14.49</v>
      </c>
      <c r="BB57" s="5">
        <f>VLOOKUP(Inventory11[[#This Row],[Category]],$K$2:$L$23,2,TRUE)*Inventory11[[#This Row],[Price]]</f>
        <v>1.4490000000000001</v>
      </c>
      <c r="BC57" t="s">
        <v>1982</v>
      </c>
      <c r="BD57" t="str">
        <f ca="1">IF(AND(Inventory11[Category]= "BEER", Inventory11[[#This Row],[Price]]&lt;20),TODAY()+30, "")</f>
        <v/>
      </c>
    </row>
    <row r="58" spans="1:56" x14ac:dyDescent="0.3">
      <c r="A58" s="11" t="s">
        <v>133</v>
      </c>
      <c r="B58">
        <v>56</v>
      </c>
      <c r="C58" t="s">
        <v>74</v>
      </c>
      <c r="D58" t="s">
        <v>76</v>
      </c>
      <c r="E58">
        <v>48</v>
      </c>
      <c r="F58" s="5">
        <v>13.99</v>
      </c>
      <c r="G58" s="5">
        <f>VLOOKUP(Inventory[[#This Row],[Category]],$K$2:$L$23,2,TRUE)*Inventory[[#This Row],[Price]]</f>
        <v>4.1970000000000001</v>
      </c>
      <c r="H58">
        <v>11.192</v>
      </c>
      <c r="I58">
        <f ca="1">IF(AND(Inventory[Category]= "BEER", Inventory[[#This Row],[Price]]&lt;20),TODAY()+30, "")</f>
        <v>43646</v>
      </c>
      <c r="AJ58">
        <v>62107</v>
      </c>
      <c r="AK58" s="30">
        <v>41785</v>
      </c>
      <c r="AL58" t="s">
        <v>736</v>
      </c>
      <c r="AM58">
        <v>74</v>
      </c>
      <c r="AN58" t="str">
        <f>VLOOKUP(Transaction[[#This Row],[Model No.]],$AV$2:$BD$100,2,TRUE)</f>
        <v>UINTA PALE ALE NR - 6 Pack</v>
      </c>
      <c r="AO58" s="21">
        <f>VLOOKUP(Transaction[[#This Row],[Model No.]],$AV$2:$BD$100,6,TRUE)</f>
        <v>11.99</v>
      </c>
      <c r="AP58" s="9">
        <v>1</v>
      </c>
      <c r="AQ58" s="5">
        <f>Transaction[[#This Row],[Price]]*Transaction[[#This Row],[Qty]]</f>
        <v>11.99</v>
      </c>
      <c r="AR58" s="5">
        <f>VLOOKUP(Transaction[[#This Row],[Model No.]],$AV$2:$BD$100,7,TRUE)*Transaction[[#This Row],[Qty]]</f>
        <v>3.597</v>
      </c>
      <c r="AS58">
        <v>1102</v>
      </c>
      <c r="AT58">
        <v>1019</v>
      </c>
      <c r="AV58">
        <v>56</v>
      </c>
      <c r="AW58" s="11" t="s">
        <v>133</v>
      </c>
      <c r="AX58" t="s">
        <v>74</v>
      </c>
      <c r="AY58" t="s">
        <v>76</v>
      </c>
      <c r="AZ58">
        <v>48</v>
      </c>
      <c r="BA58" s="5">
        <v>13.99</v>
      </c>
      <c r="BB58" s="5">
        <f>VLOOKUP(Inventory11[[#This Row],[Category]],$K$2:$L$23,2,TRUE)*Inventory11[[#This Row],[Price]]</f>
        <v>4.1970000000000001</v>
      </c>
      <c r="BC58">
        <v>11.192</v>
      </c>
      <c r="BD58">
        <f ca="1">IF(AND(Inventory11[Category]= "BEER", Inventory11[[#This Row],[Price]]&lt;20),TODAY()+30, "")</f>
        <v>43646</v>
      </c>
    </row>
    <row r="59" spans="1:56" x14ac:dyDescent="0.3">
      <c r="A59" s="11" t="s">
        <v>162</v>
      </c>
      <c r="B59">
        <v>57</v>
      </c>
      <c r="C59" t="s">
        <v>82</v>
      </c>
      <c r="D59" t="s">
        <v>70</v>
      </c>
      <c r="E59">
        <v>77</v>
      </c>
      <c r="F59" s="5">
        <v>13.69</v>
      </c>
      <c r="G59" s="5">
        <f>VLOOKUP(Inventory[[#This Row],[Category]],$K$2:$L$23,2,TRUE)*Inventory[[#This Row],[Price]]</f>
        <v>1.369</v>
      </c>
      <c r="H59" t="s">
        <v>1982</v>
      </c>
      <c r="I59" t="str">
        <f ca="1">IF(AND(Inventory[Category]= "BEER", Inventory[[#This Row],[Price]]&lt;20),TODAY()+30, "")</f>
        <v/>
      </c>
      <c r="AJ59">
        <v>20739</v>
      </c>
      <c r="AK59" s="30">
        <v>41787</v>
      </c>
      <c r="AL59" t="s">
        <v>450</v>
      </c>
      <c r="AM59">
        <v>47</v>
      </c>
      <c r="AN59" t="str">
        <f>VLOOKUP(Transaction[[#This Row],[Model No.]],$AV$2:$BD$100,2,TRUE)</f>
        <v>IL Tramonto Amaretto Liqueur</v>
      </c>
      <c r="AO59" s="21">
        <f>VLOOKUP(Transaction[[#This Row],[Model No.]],$AV$2:$BD$100,6,TRUE)</f>
        <v>15.99</v>
      </c>
      <c r="AP59" s="9">
        <v>4</v>
      </c>
      <c r="AQ59" s="5">
        <f>Transaction[[#This Row],[Price]]*Transaction[[#This Row],[Qty]]</f>
        <v>63.96</v>
      </c>
      <c r="AR59" s="5">
        <f>VLOOKUP(Transaction[[#This Row],[Model No.]],$AV$2:$BD$100,7,TRUE)*Transaction[[#This Row],[Qty]]</f>
        <v>19.187999999999999</v>
      </c>
      <c r="AS59">
        <v>1107</v>
      </c>
      <c r="AT59">
        <v>1002</v>
      </c>
      <c r="AV59">
        <v>57</v>
      </c>
      <c r="AW59" s="11" t="s">
        <v>162</v>
      </c>
      <c r="AX59" t="s">
        <v>82</v>
      </c>
      <c r="AY59" t="s">
        <v>70</v>
      </c>
      <c r="AZ59">
        <v>77</v>
      </c>
      <c r="BA59" s="5">
        <v>13.69</v>
      </c>
      <c r="BB59" s="5">
        <f>VLOOKUP(Inventory11[[#This Row],[Category]],$K$2:$L$23,2,TRUE)*Inventory11[[#This Row],[Price]]</f>
        <v>1.369</v>
      </c>
      <c r="BC59" t="s">
        <v>1982</v>
      </c>
      <c r="BD59" t="str">
        <f ca="1">IF(AND(Inventory11[Category]= "BEER", Inventory11[[#This Row],[Price]]&lt;20),TODAY()+30, "")</f>
        <v/>
      </c>
    </row>
    <row r="60" spans="1:56" x14ac:dyDescent="0.3">
      <c r="A60" s="11" t="s">
        <v>91</v>
      </c>
      <c r="B60">
        <v>58</v>
      </c>
      <c r="C60" t="s">
        <v>90</v>
      </c>
      <c r="D60" t="s">
        <v>70</v>
      </c>
      <c r="E60">
        <v>45</v>
      </c>
      <c r="F60" s="5">
        <v>13.49</v>
      </c>
      <c r="G60" s="5">
        <f>VLOOKUP(Inventory[[#This Row],[Category]],$K$2:$L$23,2,TRUE)*Inventory[[#This Row],[Price]]</f>
        <v>4.0469999999999997</v>
      </c>
      <c r="H60" t="s">
        <v>1982</v>
      </c>
      <c r="I60" t="str">
        <f ca="1">IF(AND(Inventory[Category]= "BEER", Inventory[[#This Row],[Price]]&lt;20),TODAY()+30, "")</f>
        <v/>
      </c>
      <c r="AJ60">
        <v>38637</v>
      </c>
      <c r="AK60" s="30">
        <v>41789</v>
      </c>
      <c r="AL60" t="s">
        <v>1868</v>
      </c>
      <c r="AM60">
        <v>17</v>
      </c>
      <c r="AN60" t="str">
        <f>VLOOKUP(Transaction[[#This Row],[Model No.]],$AV$2:$BD$100,2,TRUE)</f>
        <v>Miller Lite Can - 24 Pack</v>
      </c>
      <c r="AO60" s="21">
        <f>VLOOKUP(Transaction[[#This Row],[Model No.]],$AV$2:$BD$100,6,TRUE)</f>
        <v>30.99</v>
      </c>
      <c r="AP60" s="9">
        <v>1</v>
      </c>
      <c r="AQ60" s="5">
        <f>Transaction[[#This Row],[Price]]*Transaction[[#This Row],[Qty]]</f>
        <v>30.99</v>
      </c>
      <c r="AR60" s="5">
        <f>VLOOKUP(Transaction[[#This Row],[Model No.]],$AV$2:$BD$100,7,TRUE)*Transaction[[#This Row],[Qty]]</f>
        <v>9.2969999999999988</v>
      </c>
      <c r="AS60">
        <v>1098</v>
      </c>
      <c r="AT60">
        <v>1008</v>
      </c>
      <c r="AV60">
        <v>58</v>
      </c>
      <c r="AW60" s="11" t="s">
        <v>91</v>
      </c>
      <c r="AX60" t="s">
        <v>90</v>
      </c>
      <c r="AY60" t="s">
        <v>70</v>
      </c>
      <c r="AZ60">
        <v>45</v>
      </c>
      <c r="BA60" s="5">
        <v>13.49</v>
      </c>
      <c r="BB60" s="5">
        <f>VLOOKUP(Inventory11[[#This Row],[Category]],$K$2:$L$23,2,TRUE)*Inventory11[[#This Row],[Price]]</f>
        <v>4.0469999999999997</v>
      </c>
      <c r="BC60" t="s">
        <v>1982</v>
      </c>
      <c r="BD60" t="str">
        <f ca="1">IF(AND(Inventory11[Category]= "BEER", Inventory11[[#This Row],[Price]]&lt;20),TODAY()+30, "")</f>
        <v/>
      </c>
    </row>
    <row r="61" spans="1:56" x14ac:dyDescent="0.3">
      <c r="A61" s="11" t="s">
        <v>184</v>
      </c>
      <c r="B61">
        <v>59</v>
      </c>
      <c r="C61" t="s">
        <v>90</v>
      </c>
      <c r="D61" t="s">
        <v>70</v>
      </c>
      <c r="E61">
        <v>83</v>
      </c>
      <c r="F61" s="5">
        <v>13.49</v>
      </c>
      <c r="G61" s="5">
        <f>VLOOKUP(Inventory[[#This Row],[Category]],$K$2:$L$23,2,TRUE)*Inventory[[#This Row],[Price]]</f>
        <v>4.0469999999999997</v>
      </c>
      <c r="H61" t="s">
        <v>1982</v>
      </c>
      <c r="I61" t="str">
        <f ca="1">IF(AND(Inventory[Category]= "BEER", Inventory[[#This Row],[Price]]&lt;20),TODAY()+30, "")</f>
        <v/>
      </c>
      <c r="AJ61">
        <v>16951</v>
      </c>
      <c r="AK61" s="30">
        <v>41792</v>
      </c>
      <c r="AL61" t="s">
        <v>1906</v>
      </c>
      <c r="AM61">
        <v>73</v>
      </c>
      <c r="AN61" t="str">
        <f>VLOOKUP(Transaction[[#This Row],[Model No.]],$AV$2:$BD$100,2,TRUE)</f>
        <v>Schlafly Oktoberfest - 6 Pack</v>
      </c>
      <c r="AO61" s="21">
        <f>VLOOKUP(Transaction[[#This Row],[Model No.]],$AV$2:$BD$100,6,TRUE)</f>
        <v>11.99</v>
      </c>
      <c r="AP61" s="9">
        <v>3</v>
      </c>
      <c r="AQ61" s="5">
        <f>Transaction[[#This Row],[Price]]*Transaction[[#This Row],[Qty]]</f>
        <v>35.97</v>
      </c>
      <c r="AR61" s="5">
        <f>VLOOKUP(Transaction[[#This Row],[Model No.]],$AV$2:$BD$100,7,TRUE)*Transaction[[#This Row],[Qty]]</f>
        <v>10.791</v>
      </c>
      <c r="AS61">
        <v>1099</v>
      </c>
      <c r="AT61">
        <v>1001</v>
      </c>
      <c r="AV61">
        <v>59</v>
      </c>
      <c r="AW61" s="11" t="s">
        <v>184</v>
      </c>
      <c r="AX61" t="s">
        <v>90</v>
      </c>
      <c r="AY61" t="s">
        <v>70</v>
      </c>
      <c r="AZ61">
        <v>83</v>
      </c>
      <c r="BA61" s="5">
        <v>13.49</v>
      </c>
      <c r="BB61" s="5">
        <f>VLOOKUP(Inventory11[[#This Row],[Category]],$K$2:$L$23,2,TRUE)*Inventory11[[#This Row],[Price]]</f>
        <v>4.0469999999999997</v>
      </c>
      <c r="BC61" t="s">
        <v>1982</v>
      </c>
      <c r="BD61" t="str">
        <f ca="1">IF(AND(Inventory11[Category]= "BEER", Inventory11[[#This Row],[Price]]&lt;20),TODAY()+30, "")</f>
        <v/>
      </c>
    </row>
    <row r="62" spans="1:56" x14ac:dyDescent="0.3">
      <c r="A62" s="11" t="s">
        <v>97</v>
      </c>
      <c r="B62">
        <v>60</v>
      </c>
      <c r="C62" t="s">
        <v>87</v>
      </c>
      <c r="D62" t="s">
        <v>70</v>
      </c>
      <c r="E62">
        <v>96</v>
      </c>
      <c r="F62" s="5">
        <v>12.99</v>
      </c>
      <c r="G62" s="5">
        <f>VLOOKUP(Inventory[[#This Row],[Category]],$K$2:$L$23,2,TRUE)*Inventory[[#This Row],[Price]]</f>
        <v>1.2990000000000002</v>
      </c>
      <c r="H62" t="s">
        <v>1982</v>
      </c>
      <c r="I62" t="str">
        <f ca="1">IF(AND(Inventory[Category]= "BEER", Inventory[[#This Row],[Price]]&lt;20),TODAY()+30, "")</f>
        <v/>
      </c>
      <c r="AJ62">
        <v>74607</v>
      </c>
      <c r="AK62" s="30">
        <v>41793</v>
      </c>
      <c r="AL62" t="s">
        <v>1487</v>
      </c>
      <c r="AM62">
        <v>71</v>
      </c>
      <c r="AN62" t="str">
        <f>VLOOKUP(Transaction[[#This Row],[Model No.]],$AV$2:$BD$100,2,TRUE)</f>
        <v>Flo Merlot</v>
      </c>
      <c r="AO62" s="21">
        <f>VLOOKUP(Transaction[[#This Row],[Model No.]],$AV$2:$BD$100,6,TRUE)</f>
        <v>12.49</v>
      </c>
      <c r="AP62" s="9">
        <v>3</v>
      </c>
      <c r="AQ62" s="5">
        <f>Transaction[[#This Row],[Price]]*Transaction[[#This Row],[Qty]]</f>
        <v>37.47</v>
      </c>
      <c r="AR62" s="5">
        <f>VLOOKUP(Transaction[[#This Row],[Model No.]],$AV$2:$BD$100,7,TRUE)*Transaction[[#This Row],[Qty]]</f>
        <v>3.7470000000000003</v>
      </c>
      <c r="AS62">
        <v>1107</v>
      </c>
      <c r="AT62">
        <v>1017</v>
      </c>
      <c r="AV62">
        <v>60</v>
      </c>
      <c r="AW62" s="11" t="s">
        <v>97</v>
      </c>
      <c r="AX62" t="s">
        <v>87</v>
      </c>
      <c r="AY62" t="s">
        <v>70</v>
      </c>
      <c r="AZ62">
        <v>96</v>
      </c>
      <c r="BA62" s="5">
        <v>12.99</v>
      </c>
      <c r="BB62" s="5">
        <f>VLOOKUP(Inventory11[[#This Row],[Category]],$K$2:$L$23,2,TRUE)*Inventory11[[#This Row],[Price]]</f>
        <v>1.2990000000000002</v>
      </c>
      <c r="BC62" t="s">
        <v>1982</v>
      </c>
      <c r="BD62" t="str">
        <f ca="1">IF(AND(Inventory11[Category]= "BEER", Inventory11[[#This Row],[Price]]&lt;20),TODAY()+30, "")</f>
        <v/>
      </c>
    </row>
    <row r="63" spans="1:56" x14ac:dyDescent="0.3">
      <c r="A63" s="11" t="s">
        <v>98</v>
      </c>
      <c r="B63">
        <v>61</v>
      </c>
      <c r="C63" t="s">
        <v>74</v>
      </c>
      <c r="D63" t="s">
        <v>76</v>
      </c>
      <c r="E63">
        <v>15</v>
      </c>
      <c r="F63" s="5">
        <v>12.99</v>
      </c>
      <c r="G63" s="5">
        <f>VLOOKUP(Inventory[[#This Row],[Category]],$K$2:$L$23,2,TRUE)*Inventory[[#This Row],[Price]]</f>
        <v>3.8969999999999998</v>
      </c>
      <c r="H63">
        <v>10.392000000000001</v>
      </c>
      <c r="I63">
        <f ca="1">IF(AND(Inventory[Category]= "BEER", Inventory[[#This Row],[Price]]&lt;20),TODAY()+30, "")</f>
        <v>43646</v>
      </c>
      <c r="AJ63">
        <v>50544</v>
      </c>
      <c r="AK63" s="30">
        <v>41794</v>
      </c>
      <c r="AL63" t="s">
        <v>1149</v>
      </c>
      <c r="AM63">
        <v>12</v>
      </c>
      <c r="AN63" t="str">
        <f>VLOOKUP(Transaction[[#This Row],[Model No.]],$AV$2:$BD$100,2,TRUE)</f>
        <v>Cuvaison Pinot Noir</v>
      </c>
      <c r="AO63" s="21">
        <f>VLOOKUP(Transaction[[#This Row],[Model No.]],$AV$2:$BD$100,6,TRUE)</f>
        <v>36.99</v>
      </c>
      <c r="AP63" s="9">
        <v>5</v>
      </c>
      <c r="AQ63" s="5">
        <f>Transaction[[#This Row],[Price]]*Transaction[[#This Row],[Qty]]</f>
        <v>184.95000000000002</v>
      </c>
      <c r="AR63" s="5">
        <f>VLOOKUP(Transaction[[#This Row],[Model No.]],$AV$2:$BD$100,7,TRUE)*Transaction[[#This Row],[Qty]]</f>
        <v>18.495000000000001</v>
      </c>
      <c r="AS63">
        <v>1099</v>
      </c>
      <c r="AT63">
        <v>1007</v>
      </c>
      <c r="AV63">
        <v>61</v>
      </c>
      <c r="AW63" s="11" t="s">
        <v>98</v>
      </c>
      <c r="AX63" t="s">
        <v>74</v>
      </c>
      <c r="AY63" t="s">
        <v>76</v>
      </c>
      <c r="AZ63">
        <v>15</v>
      </c>
      <c r="BA63" s="5">
        <v>12.99</v>
      </c>
      <c r="BB63" s="5">
        <f>VLOOKUP(Inventory11[[#This Row],[Category]],$K$2:$L$23,2,TRUE)*Inventory11[[#This Row],[Price]]</f>
        <v>3.8969999999999998</v>
      </c>
      <c r="BC63">
        <v>10.392000000000001</v>
      </c>
      <c r="BD63">
        <f ca="1">IF(AND(Inventory11[Category]= "BEER", Inventory11[[#This Row],[Price]]&lt;20),TODAY()+30, "")</f>
        <v>43646</v>
      </c>
    </row>
    <row r="64" spans="1:56" x14ac:dyDescent="0.3">
      <c r="A64" s="11" t="s">
        <v>100</v>
      </c>
      <c r="B64">
        <v>62</v>
      </c>
      <c r="C64" t="s">
        <v>74</v>
      </c>
      <c r="D64" t="s">
        <v>76</v>
      </c>
      <c r="E64">
        <v>83</v>
      </c>
      <c r="F64" s="5">
        <v>12.99</v>
      </c>
      <c r="G64" s="5">
        <f>VLOOKUP(Inventory[[#This Row],[Category]],$K$2:$L$23,2,TRUE)*Inventory[[#This Row],[Price]]</f>
        <v>3.8969999999999998</v>
      </c>
      <c r="H64">
        <v>10.392000000000001</v>
      </c>
      <c r="I64">
        <f ca="1">IF(AND(Inventory[Category]= "BEER", Inventory[[#This Row],[Price]]&lt;20),TODAY()+30, "")</f>
        <v>43646</v>
      </c>
      <c r="AJ64">
        <v>88573</v>
      </c>
      <c r="AK64" s="30">
        <v>41794</v>
      </c>
      <c r="AL64" t="s">
        <v>1751</v>
      </c>
      <c r="AM64">
        <v>30</v>
      </c>
      <c r="AN64" t="str">
        <f>VLOOKUP(Transaction[[#This Row],[Model No.]],$AV$2:$BD$100,2,TRUE)</f>
        <v>Kahlua Cinnamon Spice Liqueur</v>
      </c>
      <c r="AO64" s="21">
        <f>VLOOKUP(Transaction[[#This Row],[Model No.]],$AV$2:$BD$100,6,TRUE)</f>
        <v>22.99</v>
      </c>
      <c r="AP64" s="9">
        <v>1</v>
      </c>
      <c r="AQ64" s="5">
        <f>Transaction[[#This Row],[Price]]*Transaction[[#This Row],[Qty]]</f>
        <v>22.99</v>
      </c>
      <c r="AR64" s="5">
        <f>VLOOKUP(Transaction[[#This Row],[Model No.]],$AV$2:$BD$100,7,TRUE)*Transaction[[#This Row],[Qty]]</f>
        <v>6.8969999999999994</v>
      </c>
      <c r="AS64">
        <v>1103</v>
      </c>
      <c r="AT64">
        <v>1008</v>
      </c>
      <c r="AV64">
        <v>62</v>
      </c>
      <c r="AW64" s="11" t="s">
        <v>100</v>
      </c>
      <c r="AX64" t="s">
        <v>74</v>
      </c>
      <c r="AY64" t="s">
        <v>76</v>
      </c>
      <c r="AZ64">
        <v>83</v>
      </c>
      <c r="BA64" s="5">
        <v>12.99</v>
      </c>
      <c r="BB64" s="5">
        <f>VLOOKUP(Inventory11[[#This Row],[Category]],$K$2:$L$23,2,TRUE)*Inventory11[[#This Row],[Price]]</f>
        <v>3.8969999999999998</v>
      </c>
      <c r="BC64">
        <v>10.392000000000001</v>
      </c>
      <c r="BD64">
        <f ca="1">IF(AND(Inventory11[Category]= "BEER", Inventory11[[#This Row],[Price]]&lt;20),TODAY()+30, "")</f>
        <v>43646</v>
      </c>
    </row>
    <row r="65" spans="1:56" x14ac:dyDescent="0.3">
      <c r="A65" s="11" t="s">
        <v>104</v>
      </c>
      <c r="B65">
        <v>63</v>
      </c>
      <c r="C65" t="s">
        <v>74</v>
      </c>
      <c r="D65" t="s">
        <v>105</v>
      </c>
      <c r="E65">
        <v>86</v>
      </c>
      <c r="F65" s="5">
        <v>12.99</v>
      </c>
      <c r="G65" s="5">
        <f>VLOOKUP(Inventory[[#This Row],[Category]],$K$2:$L$23,2,TRUE)*Inventory[[#This Row],[Price]]</f>
        <v>3.8969999999999998</v>
      </c>
      <c r="H65">
        <v>10.392000000000001</v>
      </c>
      <c r="I65">
        <f ca="1">IF(AND(Inventory[Category]= "BEER", Inventory[[#This Row],[Price]]&lt;20),TODAY()+30, "")</f>
        <v>43646</v>
      </c>
      <c r="AJ65">
        <v>47647</v>
      </c>
      <c r="AK65" s="30">
        <v>41795</v>
      </c>
      <c r="AL65" t="s">
        <v>1083</v>
      </c>
      <c r="AM65">
        <v>11</v>
      </c>
      <c r="AN65" t="str">
        <f>VLOOKUP(Transaction[[#This Row],[Model No.]],$AV$2:$BD$100,2,TRUE)</f>
        <v>Kurant 1852 Crystal Limited Edition Vodka</v>
      </c>
      <c r="AO65" s="21">
        <f>VLOOKUP(Transaction[[#This Row],[Model No.]],$AV$2:$BD$100,6,TRUE)</f>
        <v>40.99</v>
      </c>
      <c r="AP65" s="9">
        <v>3</v>
      </c>
      <c r="AQ65" s="5">
        <f>Transaction[[#This Row],[Price]]*Transaction[[#This Row],[Qty]]</f>
        <v>122.97</v>
      </c>
      <c r="AR65" s="5">
        <f>VLOOKUP(Transaction[[#This Row],[Model No.]],$AV$2:$BD$100,7,TRUE)*Transaction[[#This Row],[Qty]]</f>
        <v>36.891000000000005</v>
      </c>
      <c r="AS65">
        <v>1106</v>
      </c>
      <c r="AT65">
        <v>1005</v>
      </c>
      <c r="AV65">
        <v>63</v>
      </c>
      <c r="AW65" s="11" t="s">
        <v>104</v>
      </c>
      <c r="AX65" t="s">
        <v>74</v>
      </c>
      <c r="AY65" t="s">
        <v>105</v>
      </c>
      <c r="AZ65">
        <v>86</v>
      </c>
      <c r="BA65" s="5">
        <v>12.99</v>
      </c>
      <c r="BB65" s="5">
        <f>VLOOKUP(Inventory11[[#This Row],[Category]],$K$2:$L$23,2,TRUE)*Inventory11[[#This Row],[Price]]</f>
        <v>3.8969999999999998</v>
      </c>
      <c r="BC65">
        <v>10.392000000000001</v>
      </c>
      <c r="BD65">
        <f ca="1">IF(AND(Inventory11[Category]= "BEER", Inventory11[[#This Row],[Price]]&lt;20),TODAY()+30, "")</f>
        <v>43646</v>
      </c>
    </row>
    <row r="66" spans="1:56" x14ac:dyDescent="0.3">
      <c r="A66" s="11" t="s">
        <v>123</v>
      </c>
      <c r="B66">
        <v>64</v>
      </c>
      <c r="C66" t="s">
        <v>74</v>
      </c>
      <c r="D66" t="s">
        <v>76</v>
      </c>
      <c r="E66">
        <v>12</v>
      </c>
      <c r="F66" s="5">
        <v>12.99</v>
      </c>
      <c r="G66" s="5">
        <f>VLOOKUP(Inventory[[#This Row],[Category]],$K$2:$L$23,2,TRUE)*Inventory[[#This Row],[Price]]</f>
        <v>3.8969999999999998</v>
      </c>
      <c r="H66">
        <v>10.392000000000001</v>
      </c>
      <c r="I66">
        <f ca="1">IF(AND(Inventory[Category]= "BEER", Inventory[[#This Row],[Price]]&lt;20),TODAY()+30, "")</f>
        <v>43646</v>
      </c>
      <c r="AJ66">
        <v>23397</v>
      </c>
      <c r="AK66" s="30">
        <v>41795</v>
      </c>
      <c r="AL66" t="s">
        <v>886</v>
      </c>
      <c r="AM66">
        <v>25</v>
      </c>
      <c r="AN66" t="str">
        <f>VLOOKUP(Transaction[[#This Row],[Model No.]],$AV$2:$BD$100,2,TRUE)</f>
        <v>ICEHOUSE 4/6 LNNR - 24 Pack</v>
      </c>
      <c r="AO66" s="21">
        <f>VLOOKUP(Transaction[[#This Row],[Model No.]],$AV$2:$BD$100,6,TRUE)</f>
        <v>23.99</v>
      </c>
      <c r="AP66" s="9">
        <v>1</v>
      </c>
      <c r="AQ66" s="5">
        <f>Transaction[[#This Row],[Price]]*Transaction[[#This Row],[Qty]]</f>
        <v>23.99</v>
      </c>
      <c r="AR66" s="5">
        <f>VLOOKUP(Transaction[[#This Row],[Model No.]],$AV$2:$BD$100,7,TRUE)*Transaction[[#This Row],[Qty]]</f>
        <v>7.1969999999999992</v>
      </c>
      <c r="AS66">
        <v>1103</v>
      </c>
      <c r="AT66">
        <v>1016</v>
      </c>
      <c r="AV66">
        <v>64</v>
      </c>
      <c r="AW66" s="11" t="s">
        <v>123</v>
      </c>
      <c r="AX66" t="s">
        <v>74</v>
      </c>
      <c r="AY66" t="s">
        <v>76</v>
      </c>
      <c r="AZ66">
        <v>12</v>
      </c>
      <c r="BA66" s="5">
        <v>12.99</v>
      </c>
      <c r="BB66" s="5">
        <f>VLOOKUP(Inventory11[[#This Row],[Category]],$K$2:$L$23,2,TRUE)*Inventory11[[#This Row],[Price]]</f>
        <v>3.8969999999999998</v>
      </c>
      <c r="BC66">
        <v>10.392000000000001</v>
      </c>
      <c r="BD66">
        <f ca="1">IF(AND(Inventory11[Category]= "BEER", Inventory11[[#This Row],[Price]]&lt;20),TODAY()+30, "")</f>
        <v>43646</v>
      </c>
    </row>
    <row r="67" spans="1:56" x14ac:dyDescent="0.3">
      <c r="A67" s="11" t="s">
        <v>144</v>
      </c>
      <c r="B67">
        <v>65</v>
      </c>
      <c r="C67" t="s">
        <v>74</v>
      </c>
      <c r="D67" t="s">
        <v>76</v>
      </c>
      <c r="E67">
        <v>52</v>
      </c>
      <c r="F67" s="5">
        <v>12.99</v>
      </c>
      <c r="G67" s="5">
        <f>VLOOKUP(Inventory[[#This Row],[Category]],$K$2:$L$23,2,TRUE)*Inventory[[#This Row],[Price]]</f>
        <v>3.8969999999999998</v>
      </c>
      <c r="H67">
        <v>10.392000000000001</v>
      </c>
      <c r="I67">
        <f ca="1">IF(AND(Inventory[Category]= "BEER", Inventory[[#This Row],[Price]]&lt;20),TODAY()+30, "")</f>
        <v>43646</v>
      </c>
      <c r="AJ67">
        <v>56824</v>
      </c>
      <c r="AK67" s="30">
        <v>41795</v>
      </c>
      <c r="AL67" t="s">
        <v>937</v>
      </c>
      <c r="AM67">
        <v>95</v>
      </c>
      <c r="AN67" t="str">
        <f>VLOOKUP(Transaction[[#This Row],[Model No.]],$AV$2:$BD$100,2,TRUE)</f>
        <v>Kuromatsu Hakushika Chokara Extra Dry Sake</v>
      </c>
      <c r="AO67" s="21">
        <f>VLOOKUP(Transaction[[#This Row],[Model No.]],$AV$2:$BD$100,6,TRUE)</f>
        <v>7.49</v>
      </c>
      <c r="AP67" s="9">
        <v>3</v>
      </c>
      <c r="AQ67" s="5">
        <f>Transaction[[#This Row],[Price]]*Transaction[[#This Row],[Qty]]</f>
        <v>22.47</v>
      </c>
      <c r="AR67" s="5">
        <f>VLOOKUP(Transaction[[#This Row],[Model No.]],$AV$2:$BD$100,7,TRUE)*Transaction[[#This Row],[Qty]]</f>
        <v>2.2470000000000003</v>
      </c>
      <c r="AS67">
        <v>1101</v>
      </c>
      <c r="AT67">
        <v>1002</v>
      </c>
      <c r="AV67">
        <v>65</v>
      </c>
      <c r="AW67" s="11" t="s">
        <v>144</v>
      </c>
      <c r="AX67" t="s">
        <v>74</v>
      </c>
      <c r="AY67" t="s">
        <v>76</v>
      </c>
      <c r="AZ67">
        <v>52</v>
      </c>
      <c r="BA67" s="5">
        <v>12.99</v>
      </c>
      <c r="BB67" s="5">
        <f>VLOOKUP(Inventory11[[#This Row],[Category]],$K$2:$L$23,2,TRUE)*Inventory11[[#This Row],[Price]]</f>
        <v>3.8969999999999998</v>
      </c>
      <c r="BC67">
        <v>10.392000000000001</v>
      </c>
      <c r="BD67">
        <f ca="1">IF(AND(Inventory11[Category]= "BEER", Inventory11[[#This Row],[Price]]&lt;20),TODAY()+30, "")</f>
        <v>43646</v>
      </c>
    </row>
    <row r="68" spans="1:56" x14ac:dyDescent="0.3">
      <c r="A68" s="11" t="s">
        <v>168</v>
      </c>
      <c r="B68">
        <v>66</v>
      </c>
      <c r="C68" t="s">
        <v>74</v>
      </c>
      <c r="D68" t="s">
        <v>76</v>
      </c>
      <c r="E68">
        <v>41</v>
      </c>
      <c r="F68" s="5">
        <v>12.99</v>
      </c>
      <c r="G68" s="5">
        <f>VLOOKUP(Inventory[[#This Row],[Category]],$K$2:$L$23,2,TRUE)*Inventory[[#This Row],[Price]]</f>
        <v>3.8969999999999998</v>
      </c>
      <c r="H68">
        <v>10.392000000000001</v>
      </c>
      <c r="I68">
        <f ca="1">IF(AND(Inventory[Category]= "BEER", Inventory[[#This Row],[Price]]&lt;20),TODAY()+30, "")</f>
        <v>43646</v>
      </c>
      <c r="AJ68">
        <v>47740</v>
      </c>
      <c r="AK68" s="30">
        <v>41796</v>
      </c>
      <c r="AL68" t="s">
        <v>1642</v>
      </c>
      <c r="AM68">
        <v>8</v>
      </c>
      <c r="AN68" t="str">
        <f>VLOOKUP(Transaction[[#This Row],[Model No.]],$AV$2:$BD$100,2,TRUE)</f>
        <v>Roco Marsh Estate Vineyard Pinot Noir</v>
      </c>
      <c r="AO68" s="21">
        <f>VLOOKUP(Transaction[[#This Row],[Model No.]],$AV$2:$BD$100,6,TRUE)</f>
        <v>44.99</v>
      </c>
      <c r="AP68" s="9">
        <v>5</v>
      </c>
      <c r="AQ68" s="5">
        <f>Transaction[[#This Row],[Price]]*Transaction[[#This Row],[Qty]]</f>
        <v>224.95000000000002</v>
      </c>
      <c r="AR68" s="5">
        <f>VLOOKUP(Transaction[[#This Row],[Model No.]],$AV$2:$BD$100,7,TRUE)*Transaction[[#This Row],[Qty]]</f>
        <v>22.495000000000005</v>
      </c>
      <c r="AS68">
        <v>1098</v>
      </c>
      <c r="AT68">
        <v>1011</v>
      </c>
      <c r="AV68">
        <v>66</v>
      </c>
      <c r="AW68" s="11" t="s">
        <v>168</v>
      </c>
      <c r="AX68" t="s">
        <v>74</v>
      </c>
      <c r="AY68" t="s">
        <v>76</v>
      </c>
      <c r="AZ68">
        <v>41</v>
      </c>
      <c r="BA68" s="5">
        <v>12.99</v>
      </c>
      <c r="BB68" s="5">
        <f>VLOOKUP(Inventory11[[#This Row],[Category]],$K$2:$L$23,2,TRUE)*Inventory11[[#This Row],[Price]]</f>
        <v>3.8969999999999998</v>
      </c>
      <c r="BC68">
        <v>10.392000000000001</v>
      </c>
      <c r="BD68">
        <f ca="1">IF(AND(Inventory11[Category]= "BEER", Inventory11[[#This Row],[Price]]&lt;20),TODAY()+30, "")</f>
        <v>43646</v>
      </c>
    </row>
    <row r="69" spans="1:56" x14ac:dyDescent="0.3">
      <c r="A69" s="11" t="s">
        <v>159</v>
      </c>
      <c r="B69">
        <v>67</v>
      </c>
      <c r="C69" t="s">
        <v>158</v>
      </c>
      <c r="D69" t="s">
        <v>70</v>
      </c>
      <c r="E69">
        <v>35</v>
      </c>
      <c r="F69" s="5">
        <v>12.99</v>
      </c>
      <c r="G69" s="5">
        <f>VLOOKUP(Inventory[[#This Row],[Category]],$K$2:$L$23,2,TRUE)*Inventory[[#This Row],[Price]]</f>
        <v>5.1960000000000006</v>
      </c>
      <c r="H69" t="s">
        <v>1982</v>
      </c>
      <c r="I69" t="str">
        <f ca="1">IF(AND(Inventory[Category]= "BEER", Inventory[[#This Row],[Price]]&lt;20),TODAY()+30, "")</f>
        <v/>
      </c>
      <c r="AJ69">
        <v>35203</v>
      </c>
      <c r="AK69" s="30">
        <v>41796</v>
      </c>
      <c r="AL69" t="s">
        <v>1560</v>
      </c>
      <c r="AM69">
        <v>40</v>
      </c>
      <c r="AN69" t="str">
        <f>VLOOKUP(Transaction[[#This Row],[Model No.]],$AV$2:$BD$100,2,TRUE)</f>
        <v>Takara Can Chu Hi JPop Grapefruit - 6 Pack</v>
      </c>
      <c r="AO69" s="21">
        <f>VLOOKUP(Transaction[[#This Row],[Model No.]],$AV$2:$BD$100,6,TRUE)</f>
        <v>17.989999999999998</v>
      </c>
      <c r="AP69" s="9">
        <v>4</v>
      </c>
      <c r="AQ69" s="5">
        <f>Transaction[[#This Row],[Price]]*Transaction[[#This Row],[Qty]]</f>
        <v>71.959999999999994</v>
      </c>
      <c r="AR69" s="5">
        <f>VLOOKUP(Transaction[[#This Row],[Model No.]],$AV$2:$BD$100,7,TRUE)*Transaction[[#This Row],[Qty]]</f>
        <v>21.587999999999997</v>
      </c>
      <c r="AS69">
        <v>1099</v>
      </c>
      <c r="AT69">
        <v>1009</v>
      </c>
      <c r="AV69">
        <v>67</v>
      </c>
      <c r="AW69" s="11" t="s">
        <v>159</v>
      </c>
      <c r="AX69" t="s">
        <v>158</v>
      </c>
      <c r="AY69" t="s">
        <v>70</v>
      </c>
      <c r="AZ69">
        <v>35</v>
      </c>
      <c r="BA69" s="5">
        <v>12.99</v>
      </c>
      <c r="BB69" s="5">
        <f>VLOOKUP(Inventory11[[#This Row],[Category]],$K$2:$L$23,2,TRUE)*Inventory11[[#This Row],[Price]]</f>
        <v>5.1960000000000006</v>
      </c>
      <c r="BC69" t="s">
        <v>1982</v>
      </c>
      <c r="BD69" t="str">
        <f ca="1">IF(AND(Inventory11[Category]= "BEER", Inventory11[[#This Row],[Price]]&lt;20),TODAY()+30, "")</f>
        <v/>
      </c>
    </row>
    <row r="70" spans="1:56" x14ac:dyDescent="0.3">
      <c r="A70" s="11" t="s">
        <v>83</v>
      </c>
      <c r="B70">
        <v>68</v>
      </c>
      <c r="C70" t="s">
        <v>82</v>
      </c>
      <c r="D70" t="s">
        <v>84</v>
      </c>
      <c r="E70">
        <v>46</v>
      </c>
      <c r="F70" s="5">
        <v>12.99</v>
      </c>
      <c r="G70" s="5">
        <f>VLOOKUP(Inventory[[#This Row],[Category]],$K$2:$L$23,2,TRUE)*Inventory[[#This Row],[Price]]</f>
        <v>1.2990000000000002</v>
      </c>
      <c r="H70" t="s">
        <v>1982</v>
      </c>
      <c r="I70" t="str">
        <f ca="1">IF(AND(Inventory[Category]= "BEER", Inventory[[#This Row],[Price]]&lt;20),TODAY()+30, "")</f>
        <v/>
      </c>
      <c r="AJ70">
        <v>51572</v>
      </c>
      <c r="AK70" s="30">
        <v>41796</v>
      </c>
      <c r="AL70" t="s">
        <v>1306</v>
      </c>
      <c r="AM70">
        <v>68</v>
      </c>
      <c r="AN70" t="str">
        <f>VLOOKUP(Transaction[[#This Row],[Model No.]],$AV$2:$BD$100,2,TRUE)</f>
        <v>Conti Beretta Estate Bottled Friuli Grave Pinot Grigio</v>
      </c>
      <c r="AO70" s="21">
        <f>VLOOKUP(Transaction[[#This Row],[Model No.]],$AV$2:$BD$100,6,TRUE)</f>
        <v>12.99</v>
      </c>
      <c r="AP70" s="9">
        <v>2</v>
      </c>
      <c r="AQ70" s="5">
        <f>Transaction[[#This Row],[Price]]*Transaction[[#This Row],[Qty]]</f>
        <v>25.98</v>
      </c>
      <c r="AR70" s="5">
        <f>VLOOKUP(Transaction[[#This Row],[Model No.]],$AV$2:$BD$100,7,TRUE)*Transaction[[#This Row],[Qty]]</f>
        <v>2.5980000000000003</v>
      </c>
      <c r="AS70">
        <v>1099</v>
      </c>
      <c r="AT70">
        <v>1009</v>
      </c>
      <c r="AV70">
        <v>68</v>
      </c>
      <c r="AW70" s="11" t="s">
        <v>83</v>
      </c>
      <c r="AX70" t="s">
        <v>82</v>
      </c>
      <c r="AY70" t="s">
        <v>84</v>
      </c>
      <c r="AZ70">
        <v>46</v>
      </c>
      <c r="BA70" s="5">
        <v>12.99</v>
      </c>
      <c r="BB70" s="5">
        <f>VLOOKUP(Inventory11[[#This Row],[Category]],$K$2:$L$23,2,TRUE)*Inventory11[[#This Row],[Price]]</f>
        <v>1.2990000000000002</v>
      </c>
      <c r="BC70" t="s">
        <v>1982</v>
      </c>
      <c r="BD70" t="str">
        <f ca="1">IF(AND(Inventory11[Category]= "BEER", Inventory11[[#This Row],[Price]]&lt;20),TODAY()+30, "")</f>
        <v/>
      </c>
    </row>
    <row r="71" spans="1:56" x14ac:dyDescent="0.3">
      <c r="A71" s="11" t="s">
        <v>109</v>
      </c>
      <c r="B71">
        <v>69</v>
      </c>
      <c r="C71" t="s">
        <v>108</v>
      </c>
      <c r="D71" t="s">
        <v>70</v>
      </c>
      <c r="E71">
        <v>3</v>
      </c>
      <c r="F71" s="5">
        <v>12.99</v>
      </c>
      <c r="G71" s="5">
        <f>VLOOKUP(Inventory[[#This Row],[Category]],$K$2:$L$23,2,TRUE)*Inventory[[#This Row],[Price]]</f>
        <v>5.1960000000000006</v>
      </c>
      <c r="H71" t="s">
        <v>1982</v>
      </c>
      <c r="I71" t="str">
        <f ca="1">IF(AND(Inventory[Category]= "BEER", Inventory[[#This Row],[Price]]&lt;20),TODAY()+30, "")</f>
        <v/>
      </c>
      <c r="AJ71">
        <v>34045</v>
      </c>
      <c r="AK71" s="30">
        <v>41797</v>
      </c>
      <c r="AL71" t="s">
        <v>1738</v>
      </c>
      <c r="AM71">
        <v>81</v>
      </c>
      <c r="AN71" t="str">
        <f>VLOOKUP(Transaction[[#This Row],[Model No.]],$AV$2:$BD$100,2,TRUE)</f>
        <v>TerraNoble Reserva La Higuera Vineyard Carmenere</v>
      </c>
      <c r="AO71" s="21">
        <f>VLOOKUP(Transaction[[#This Row],[Model No.]],$AV$2:$BD$100,6,TRUE)</f>
        <v>10.99</v>
      </c>
      <c r="AP71" s="9">
        <v>3</v>
      </c>
      <c r="AQ71" s="5">
        <f>Transaction[[#This Row],[Price]]*Transaction[[#This Row],[Qty]]</f>
        <v>32.97</v>
      </c>
      <c r="AR71" s="5">
        <f>VLOOKUP(Transaction[[#This Row],[Model No.]],$AV$2:$BD$100,7,TRUE)*Transaction[[#This Row],[Qty]]</f>
        <v>9.891</v>
      </c>
      <c r="AS71">
        <v>1107</v>
      </c>
      <c r="AT71">
        <v>1008</v>
      </c>
      <c r="AV71">
        <v>69</v>
      </c>
      <c r="AW71" s="11" t="s">
        <v>109</v>
      </c>
      <c r="AX71" t="s">
        <v>108</v>
      </c>
      <c r="AY71" t="s">
        <v>70</v>
      </c>
      <c r="AZ71">
        <v>3</v>
      </c>
      <c r="BA71" s="5">
        <v>12.99</v>
      </c>
      <c r="BB71" s="5">
        <f>VLOOKUP(Inventory11[[#This Row],[Category]],$K$2:$L$23,2,TRUE)*Inventory11[[#This Row],[Price]]</f>
        <v>5.1960000000000006</v>
      </c>
      <c r="BC71" t="s">
        <v>1982</v>
      </c>
      <c r="BD71" t="str">
        <f ca="1">IF(AND(Inventory11[Category]= "BEER", Inventory11[[#This Row],[Price]]&lt;20),TODAY()+30, "")</f>
        <v/>
      </c>
    </row>
    <row r="72" spans="1:56" x14ac:dyDescent="0.3">
      <c r="A72" s="11" t="s">
        <v>138</v>
      </c>
      <c r="B72">
        <v>70</v>
      </c>
      <c r="C72" t="s">
        <v>87</v>
      </c>
      <c r="D72" t="s">
        <v>70</v>
      </c>
      <c r="E72">
        <v>94</v>
      </c>
      <c r="F72" s="5">
        <v>12.69</v>
      </c>
      <c r="G72" s="5">
        <f>VLOOKUP(Inventory[[#This Row],[Category]],$K$2:$L$23,2,TRUE)*Inventory[[#This Row],[Price]]</f>
        <v>1.2690000000000001</v>
      </c>
      <c r="H72" t="s">
        <v>1982</v>
      </c>
      <c r="I72" t="str">
        <f ca="1">IF(AND(Inventory[Category]= "BEER", Inventory[[#This Row],[Price]]&lt;20),TODAY()+30, "")</f>
        <v/>
      </c>
      <c r="AJ72">
        <v>23164</v>
      </c>
      <c r="AK72" s="30">
        <v>41799</v>
      </c>
      <c r="AL72" t="s">
        <v>1735</v>
      </c>
      <c r="AM72">
        <v>3</v>
      </c>
      <c r="AN72" t="str">
        <f>VLOOKUP(Transaction[[#This Row],[Model No.]],$AV$2:$BD$100,2,TRUE)</f>
        <v>Compass Box Orangerie Scotch Whisky</v>
      </c>
      <c r="AO72" s="21">
        <f>VLOOKUP(Transaction[[#This Row],[Model No.]],$AV$2:$BD$100,6,TRUE)</f>
        <v>56.99</v>
      </c>
      <c r="AP72" s="9">
        <v>2</v>
      </c>
      <c r="AQ72" s="5">
        <f>Transaction[[#This Row],[Price]]*Transaction[[#This Row],[Qty]]</f>
        <v>113.98</v>
      </c>
      <c r="AR72" s="5">
        <f>VLOOKUP(Transaction[[#This Row],[Model No.]],$AV$2:$BD$100,7,TRUE)*Transaction[[#This Row],[Qty]]</f>
        <v>34.194000000000003</v>
      </c>
      <c r="AS72">
        <v>1101</v>
      </c>
      <c r="AT72">
        <v>1003</v>
      </c>
      <c r="AV72">
        <v>70</v>
      </c>
      <c r="AW72" s="11" t="s">
        <v>138</v>
      </c>
      <c r="AX72" t="s">
        <v>87</v>
      </c>
      <c r="AY72" t="s">
        <v>70</v>
      </c>
      <c r="AZ72">
        <v>94</v>
      </c>
      <c r="BA72" s="5">
        <v>12.69</v>
      </c>
      <c r="BB72" s="5">
        <f>VLOOKUP(Inventory11[[#This Row],[Category]],$K$2:$L$23,2,TRUE)*Inventory11[[#This Row],[Price]]</f>
        <v>1.2690000000000001</v>
      </c>
      <c r="BC72" t="s">
        <v>1982</v>
      </c>
      <c r="BD72" t="str">
        <f ca="1">IF(AND(Inventory11[Category]= "BEER", Inventory11[[#This Row],[Price]]&lt;20),TODAY()+30, "")</f>
        <v/>
      </c>
    </row>
    <row r="73" spans="1:56" x14ac:dyDescent="0.3">
      <c r="A73" s="11" t="s">
        <v>156</v>
      </c>
      <c r="B73">
        <v>71</v>
      </c>
      <c r="C73" t="s">
        <v>87</v>
      </c>
      <c r="D73" t="s">
        <v>70</v>
      </c>
      <c r="E73">
        <v>57</v>
      </c>
      <c r="F73" s="5">
        <v>12.49</v>
      </c>
      <c r="G73" s="5">
        <f>VLOOKUP(Inventory[[#This Row],[Category]],$K$2:$L$23,2,TRUE)*Inventory[[#This Row],[Price]]</f>
        <v>1.2490000000000001</v>
      </c>
      <c r="H73" t="s">
        <v>1982</v>
      </c>
      <c r="I73" t="str">
        <f ca="1">IF(AND(Inventory[Category]= "BEER", Inventory[[#This Row],[Price]]&lt;20),TODAY()+30, "")</f>
        <v/>
      </c>
      <c r="AJ73">
        <v>22250</v>
      </c>
      <c r="AK73" s="30">
        <v>41801</v>
      </c>
      <c r="AL73" t="s">
        <v>1523</v>
      </c>
      <c r="AM73">
        <v>7</v>
      </c>
      <c r="AN73" t="str">
        <f>VLOOKUP(Transaction[[#This Row],[Model No.]],$AV$2:$BD$100,2,TRUE)</f>
        <v>Glenkinchie Distillers Edition Single Malt Scotch Whisky</v>
      </c>
      <c r="AO73" s="21">
        <f>VLOOKUP(Transaction[[#This Row],[Model No.]],$AV$2:$BD$100,6,TRUE)</f>
        <v>45.99</v>
      </c>
      <c r="AP73" s="9">
        <v>3</v>
      </c>
      <c r="AQ73" s="5">
        <f>Transaction[[#This Row],[Price]]*Transaction[[#This Row],[Qty]]</f>
        <v>137.97</v>
      </c>
      <c r="AR73" s="5">
        <f>VLOOKUP(Transaction[[#This Row],[Model No.]],$AV$2:$BD$100,7,TRUE)*Transaction[[#This Row],[Qty]]</f>
        <v>41.391000000000005</v>
      </c>
      <c r="AS73">
        <v>1103</v>
      </c>
      <c r="AT73">
        <v>1007</v>
      </c>
      <c r="AV73">
        <v>71</v>
      </c>
      <c r="AW73" s="11" t="s">
        <v>156</v>
      </c>
      <c r="AX73" t="s">
        <v>87</v>
      </c>
      <c r="AY73" t="s">
        <v>70</v>
      </c>
      <c r="AZ73">
        <v>57</v>
      </c>
      <c r="BA73" s="5">
        <v>12.49</v>
      </c>
      <c r="BB73" s="5">
        <f>VLOOKUP(Inventory11[[#This Row],[Category]],$K$2:$L$23,2,TRUE)*Inventory11[[#This Row],[Price]]</f>
        <v>1.2490000000000001</v>
      </c>
      <c r="BC73" t="s">
        <v>1982</v>
      </c>
      <c r="BD73" t="str">
        <f ca="1">IF(AND(Inventory11[Category]= "BEER", Inventory11[[#This Row],[Price]]&lt;20),TODAY()+30, "")</f>
        <v/>
      </c>
    </row>
    <row r="74" spans="1:56" x14ac:dyDescent="0.3">
      <c r="A74" s="11" t="s">
        <v>176</v>
      </c>
      <c r="B74">
        <v>72</v>
      </c>
      <c r="C74" t="s">
        <v>90</v>
      </c>
      <c r="D74" t="s">
        <v>70</v>
      </c>
      <c r="E74">
        <v>62</v>
      </c>
      <c r="F74" s="5">
        <v>12.49</v>
      </c>
      <c r="G74" s="5">
        <f>VLOOKUP(Inventory[[#This Row],[Category]],$K$2:$L$23,2,TRUE)*Inventory[[#This Row],[Price]]</f>
        <v>3.7469999999999999</v>
      </c>
      <c r="H74" t="s">
        <v>1982</v>
      </c>
      <c r="I74" t="str">
        <f ca="1">IF(AND(Inventory[Category]= "BEER", Inventory[[#This Row],[Price]]&lt;20),TODAY()+30, "")</f>
        <v/>
      </c>
      <c r="AJ74">
        <v>42952</v>
      </c>
      <c r="AK74" s="30">
        <v>41801</v>
      </c>
      <c r="AL74" t="s">
        <v>1414</v>
      </c>
      <c r="AM74">
        <v>30</v>
      </c>
      <c r="AN74" t="str">
        <f>VLOOKUP(Transaction[[#This Row],[Model No.]],$AV$2:$BD$100,2,TRUE)</f>
        <v>Kahlua Cinnamon Spice Liqueur</v>
      </c>
      <c r="AO74" s="21">
        <f>VLOOKUP(Transaction[[#This Row],[Model No.]],$AV$2:$BD$100,6,TRUE)</f>
        <v>22.99</v>
      </c>
      <c r="AP74" s="9">
        <v>2</v>
      </c>
      <c r="AQ74" s="5">
        <f>Transaction[[#This Row],[Price]]*Transaction[[#This Row],[Qty]]</f>
        <v>45.98</v>
      </c>
      <c r="AR74" s="5">
        <f>VLOOKUP(Transaction[[#This Row],[Model No.]],$AV$2:$BD$100,7,TRUE)*Transaction[[#This Row],[Qty]]</f>
        <v>13.793999999999999</v>
      </c>
      <c r="AS74">
        <v>1104</v>
      </c>
      <c r="AT74">
        <v>1006</v>
      </c>
      <c r="AV74">
        <v>72</v>
      </c>
      <c r="AW74" s="11" t="s">
        <v>176</v>
      </c>
      <c r="AX74" t="s">
        <v>90</v>
      </c>
      <c r="AY74" t="s">
        <v>70</v>
      </c>
      <c r="AZ74">
        <v>62</v>
      </c>
      <c r="BA74" s="5">
        <v>12.49</v>
      </c>
      <c r="BB74" s="5">
        <f>VLOOKUP(Inventory11[[#This Row],[Category]],$K$2:$L$23,2,TRUE)*Inventory11[[#This Row],[Price]]</f>
        <v>3.7469999999999999</v>
      </c>
      <c r="BC74" t="s">
        <v>1982</v>
      </c>
      <c r="BD74" t="str">
        <f ca="1">IF(AND(Inventory11[Category]= "BEER", Inventory11[[#This Row],[Price]]&lt;20),TODAY()+30, "")</f>
        <v/>
      </c>
    </row>
    <row r="75" spans="1:56" x14ac:dyDescent="0.3">
      <c r="A75" s="11" t="s">
        <v>99</v>
      </c>
      <c r="B75">
        <v>73</v>
      </c>
      <c r="C75" t="s">
        <v>74</v>
      </c>
      <c r="D75" t="s">
        <v>76</v>
      </c>
      <c r="E75">
        <v>73</v>
      </c>
      <c r="F75" s="5">
        <v>11.99</v>
      </c>
      <c r="G75" s="5">
        <f>VLOOKUP(Inventory[[#This Row],[Category]],$K$2:$L$23,2,TRUE)*Inventory[[#This Row],[Price]]</f>
        <v>3.597</v>
      </c>
      <c r="H75">
        <v>9.5920000000000005</v>
      </c>
      <c r="I75">
        <f ca="1">IF(AND(Inventory[Category]= "BEER", Inventory[[#This Row],[Price]]&lt;20),TODAY()+30, "")</f>
        <v>43646</v>
      </c>
      <c r="AJ75">
        <v>26737</v>
      </c>
      <c r="AK75" s="30">
        <v>41803</v>
      </c>
      <c r="AL75" t="s">
        <v>1493</v>
      </c>
      <c r="AM75">
        <v>23</v>
      </c>
      <c r="AN75" t="str">
        <f>VLOOKUP(Transaction[[#This Row],[Model No.]],$AV$2:$BD$100,2,TRUE)</f>
        <v>Brinley Gold Shipwreck Mango Rum</v>
      </c>
      <c r="AO75" s="21">
        <f>VLOOKUP(Transaction[[#This Row],[Model No.]],$AV$2:$BD$100,6,TRUE)</f>
        <v>25.99</v>
      </c>
      <c r="AP75" s="9">
        <v>1</v>
      </c>
      <c r="AQ75" s="5">
        <f>Transaction[[#This Row],[Price]]*Transaction[[#This Row],[Qty]]</f>
        <v>25.99</v>
      </c>
      <c r="AR75" s="5">
        <f>VLOOKUP(Transaction[[#This Row],[Model No.]],$AV$2:$BD$100,7,TRUE)*Transaction[[#This Row],[Qty]]</f>
        <v>5.1980000000000004</v>
      </c>
      <c r="AS75">
        <v>1105</v>
      </c>
      <c r="AT75">
        <v>1011</v>
      </c>
      <c r="AV75">
        <v>73</v>
      </c>
      <c r="AW75" s="11" t="s">
        <v>99</v>
      </c>
      <c r="AX75" t="s">
        <v>74</v>
      </c>
      <c r="AY75" t="s">
        <v>76</v>
      </c>
      <c r="AZ75">
        <v>73</v>
      </c>
      <c r="BA75" s="5">
        <v>11.99</v>
      </c>
      <c r="BB75" s="5">
        <f>VLOOKUP(Inventory11[[#This Row],[Category]],$K$2:$L$23,2,TRUE)*Inventory11[[#This Row],[Price]]</f>
        <v>3.597</v>
      </c>
      <c r="BC75">
        <v>9.5920000000000005</v>
      </c>
      <c r="BD75">
        <f ca="1">IF(AND(Inventory11[Category]= "BEER", Inventory11[[#This Row],[Price]]&lt;20),TODAY()+30, "")</f>
        <v>43646</v>
      </c>
    </row>
    <row r="76" spans="1:56" x14ac:dyDescent="0.3">
      <c r="A76" s="11" t="s">
        <v>118</v>
      </c>
      <c r="B76">
        <v>74</v>
      </c>
      <c r="C76" t="s">
        <v>74</v>
      </c>
      <c r="D76" t="s">
        <v>76</v>
      </c>
      <c r="E76">
        <v>3</v>
      </c>
      <c r="F76" s="5">
        <v>11.99</v>
      </c>
      <c r="G76" s="5">
        <f>VLOOKUP(Inventory[[#This Row],[Category]],$K$2:$L$23,2,TRUE)*Inventory[[#This Row],[Price]]</f>
        <v>3.597</v>
      </c>
      <c r="H76">
        <v>9.5920000000000005</v>
      </c>
      <c r="I76">
        <f ca="1">IF(AND(Inventory[Category]= "BEER", Inventory[[#This Row],[Price]]&lt;20),TODAY()+30, "")</f>
        <v>43646</v>
      </c>
      <c r="AJ76">
        <v>16518</v>
      </c>
      <c r="AK76" s="30">
        <v>41803</v>
      </c>
      <c r="AL76" t="s">
        <v>1039</v>
      </c>
      <c r="AM76">
        <v>30</v>
      </c>
      <c r="AN76" t="str">
        <f>VLOOKUP(Transaction[[#This Row],[Model No.]],$AV$2:$BD$100,2,TRUE)</f>
        <v>Kahlua Cinnamon Spice Liqueur</v>
      </c>
      <c r="AO76" s="21">
        <f>VLOOKUP(Transaction[[#This Row],[Model No.]],$AV$2:$BD$100,6,TRUE)</f>
        <v>22.99</v>
      </c>
      <c r="AP76" s="9">
        <v>2</v>
      </c>
      <c r="AQ76" s="5">
        <f>Transaction[[#This Row],[Price]]*Transaction[[#This Row],[Qty]]</f>
        <v>45.98</v>
      </c>
      <c r="AR76" s="5">
        <f>VLOOKUP(Transaction[[#This Row],[Model No.]],$AV$2:$BD$100,7,TRUE)*Transaction[[#This Row],[Qty]]</f>
        <v>13.793999999999999</v>
      </c>
      <c r="AS76">
        <v>1108</v>
      </c>
      <c r="AT76">
        <v>1000</v>
      </c>
      <c r="AV76">
        <v>74</v>
      </c>
      <c r="AW76" s="11" t="s">
        <v>118</v>
      </c>
      <c r="AX76" t="s">
        <v>74</v>
      </c>
      <c r="AY76" t="s">
        <v>76</v>
      </c>
      <c r="AZ76">
        <v>3</v>
      </c>
      <c r="BA76" s="5">
        <v>11.99</v>
      </c>
      <c r="BB76" s="5">
        <f>VLOOKUP(Inventory11[[#This Row],[Category]],$K$2:$L$23,2,TRUE)*Inventory11[[#This Row],[Price]]</f>
        <v>3.597</v>
      </c>
      <c r="BC76">
        <v>9.5920000000000005</v>
      </c>
      <c r="BD76">
        <f ca="1">IF(AND(Inventory11[Category]= "BEER", Inventory11[[#This Row],[Price]]&lt;20),TODAY()+30, "")</f>
        <v>43646</v>
      </c>
    </row>
    <row r="77" spans="1:56" x14ac:dyDescent="0.3">
      <c r="A77" s="11" t="s">
        <v>163</v>
      </c>
      <c r="B77">
        <v>75</v>
      </c>
      <c r="C77" t="s">
        <v>74</v>
      </c>
      <c r="D77" t="s">
        <v>76</v>
      </c>
      <c r="E77">
        <v>80</v>
      </c>
      <c r="F77" s="5">
        <v>11.99</v>
      </c>
      <c r="G77" s="5">
        <f>VLOOKUP(Inventory[[#This Row],[Category]],$K$2:$L$23,2,TRUE)*Inventory[[#This Row],[Price]]</f>
        <v>3.597</v>
      </c>
      <c r="H77">
        <v>9.5920000000000005</v>
      </c>
      <c r="I77">
        <f ca="1">IF(AND(Inventory[Category]= "BEER", Inventory[[#This Row],[Price]]&lt;20),TODAY()+30, "")</f>
        <v>43646</v>
      </c>
      <c r="AJ77">
        <v>10491</v>
      </c>
      <c r="AK77" s="30">
        <v>41804</v>
      </c>
      <c r="AL77" t="s">
        <v>1645</v>
      </c>
      <c r="AM77">
        <v>14</v>
      </c>
      <c r="AN77" t="str">
        <f>VLOOKUP(Transaction[[#This Row],[Model No.]],$AV$2:$BD$100,2,TRUE)</f>
        <v>Walter Hansel Winery The Estate Vineyards Chardonnay</v>
      </c>
      <c r="AO77" s="21">
        <f>VLOOKUP(Transaction[[#This Row],[Model No.]],$AV$2:$BD$100,6,TRUE)</f>
        <v>34.99</v>
      </c>
      <c r="AP77" s="9">
        <v>3</v>
      </c>
      <c r="AQ77" s="5">
        <f>Transaction[[#This Row],[Price]]*Transaction[[#This Row],[Qty]]</f>
        <v>104.97</v>
      </c>
      <c r="AR77" s="5">
        <f>VLOOKUP(Transaction[[#This Row],[Model No.]],$AV$2:$BD$100,7,TRUE)*Transaction[[#This Row],[Qty]]</f>
        <v>20.994000000000003</v>
      </c>
      <c r="AS77">
        <v>1104</v>
      </c>
      <c r="AT77">
        <v>1019</v>
      </c>
      <c r="AV77">
        <v>75</v>
      </c>
      <c r="AW77" s="11" t="s">
        <v>163</v>
      </c>
      <c r="AX77" t="s">
        <v>74</v>
      </c>
      <c r="AY77" t="s">
        <v>76</v>
      </c>
      <c r="AZ77">
        <v>80</v>
      </c>
      <c r="BA77" s="5">
        <v>11.99</v>
      </c>
      <c r="BB77" s="5">
        <f>VLOOKUP(Inventory11[[#This Row],[Category]],$K$2:$L$23,2,TRUE)*Inventory11[[#This Row],[Price]]</f>
        <v>3.597</v>
      </c>
      <c r="BC77">
        <v>9.5920000000000005</v>
      </c>
      <c r="BD77">
        <f ca="1">IF(AND(Inventory11[Category]= "BEER", Inventory11[[#This Row],[Price]]&lt;20),TODAY()+30, "")</f>
        <v>43646</v>
      </c>
    </row>
    <row r="78" spans="1:56" x14ac:dyDescent="0.3">
      <c r="A78" s="11" t="s">
        <v>165</v>
      </c>
      <c r="B78">
        <v>76</v>
      </c>
      <c r="C78" t="s">
        <v>74</v>
      </c>
      <c r="D78" t="s">
        <v>76</v>
      </c>
      <c r="E78">
        <v>97</v>
      </c>
      <c r="F78" s="5">
        <v>11.99</v>
      </c>
      <c r="G78" s="5">
        <f>VLOOKUP(Inventory[[#This Row],[Category]],$K$2:$L$23,2,TRUE)*Inventory[[#This Row],[Price]]</f>
        <v>3.597</v>
      </c>
      <c r="H78">
        <v>9.5920000000000005</v>
      </c>
      <c r="I78">
        <f ca="1">IF(AND(Inventory[Category]= "BEER", Inventory[[#This Row],[Price]]&lt;20),TODAY()+30, "")</f>
        <v>43646</v>
      </c>
      <c r="AJ78">
        <v>25058</v>
      </c>
      <c r="AK78" s="30">
        <v>41806</v>
      </c>
      <c r="AL78" t="s">
        <v>471</v>
      </c>
      <c r="AM78">
        <v>6</v>
      </c>
      <c r="AN78" t="str">
        <f>VLOOKUP(Transaction[[#This Row],[Model No.]],$AV$2:$BD$100,2,TRUE)</f>
        <v>Agricola Punica Barrua Isola Dei Nuraghi IGT Carignan</v>
      </c>
      <c r="AO78" s="21">
        <f>VLOOKUP(Transaction[[#This Row],[Model No.]],$AV$2:$BD$100,6,TRUE)</f>
        <v>46.99</v>
      </c>
      <c r="AP78" s="9">
        <v>4</v>
      </c>
      <c r="AQ78" s="5">
        <f>Transaction[[#This Row],[Price]]*Transaction[[#This Row],[Qty]]</f>
        <v>187.96</v>
      </c>
      <c r="AR78" s="5">
        <f>VLOOKUP(Transaction[[#This Row],[Model No.]],$AV$2:$BD$100,7,TRUE)*Transaction[[#This Row],[Qty]]</f>
        <v>18.796000000000003</v>
      </c>
      <c r="AS78">
        <v>1100</v>
      </c>
      <c r="AT78">
        <v>1007</v>
      </c>
      <c r="AV78">
        <v>76</v>
      </c>
      <c r="AW78" s="11" t="s">
        <v>165</v>
      </c>
      <c r="AX78" t="s">
        <v>74</v>
      </c>
      <c r="AY78" t="s">
        <v>76</v>
      </c>
      <c r="AZ78">
        <v>97</v>
      </c>
      <c r="BA78" s="5">
        <v>11.99</v>
      </c>
      <c r="BB78" s="5">
        <f>VLOOKUP(Inventory11[[#This Row],[Category]],$K$2:$L$23,2,TRUE)*Inventory11[[#This Row],[Price]]</f>
        <v>3.597</v>
      </c>
      <c r="BC78">
        <v>9.5920000000000005</v>
      </c>
      <c r="BD78">
        <f ca="1">IF(AND(Inventory11[Category]= "BEER", Inventory11[[#This Row],[Price]]&lt;20),TODAY()+30, "")</f>
        <v>43646</v>
      </c>
    </row>
    <row r="79" spans="1:56" x14ac:dyDescent="0.3">
      <c r="A79" s="11" t="s">
        <v>135</v>
      </c>
      <c r="B79">
        <v>77</v>
      </c>
      <c r="C79" t="s">
        <v>134</v>
      </c>
      <c r="D79" t="s">
        <v>70</v>
      </c>
      <c r="E79">
        <v>67</v>
      </c>
      <c r="F79" s="5">
        <v>11.99</v>
      </c>
      <c r="G79" s="5">
        <f>VLOOKUP(Inventory[[#This Row],[Category]],$K$2:$L$23,2,TRUE)*Inventory[[#This Row],[Price]]</f>
        <v>4.7960000000000003</v>
      </c>
      <c r="H79" t="s">
        <v>1982</v>
      </c>
      <c r="I79" t="str">
        <f ca="1">IF(AND(Inventory[Category]= "BEER", Inventory[[#This Row],[Price]]&lt;20),TODAY()+30, "")</f>
        <v/>
      </c>
      <c r="AJ79">
        <v>21393</v>
      </c>
      <c r="AK79" s="30">
        <v>41806</v>
      </c>
      <c r="AL79" t="s">
        <v>893</v>
      </c>
      <c r="AM79">
        <v>68</v>
      </c>
      <c r="AN79" t="str">
        <f>VLOOKUP(Transaction[[#This Row],[Model No.]],$AV$2:$BD$100,2,TRUE)</f>
        <v>Conti Beretta Estate Bottled Friuli Grave Pinot Grigio</v>
      </c>
      <c r="AO79" s="21">
        <f>VLOOKUP(Transaction[[#This Row],[Model No.]],$AV$2:$BD$100,6,TRUE)</f>
        <v>12.99</v>
      </c>
      <c r="AP79" s="9">
        <v>3</v>
      </c>
      <c r="AQ79" s="5">
        <f>Transaction[[#This Row],[Price]]*Transaction[[#This Row],[Qty]]</f>
        <v>38.97</v>
      </c>
      <c r="AR79" s="5">
        <f>VLOOKUP(Transaction[[#This Row],[Model No.]],$AV$2:$BD$100,7,TRUE)*Transaction[[#This Row],[Qty]]</f>
        <v>3.8970000000000002</v>
      </c>
      <c r="AS79">
        <v>1107</v>
      </c>
      <c r="AT79">
        <v>1008</v>
      </c>
      <c r="AV79">
        <v>77</v>
      </c>
      <c r="AW79" s="11" t="s">
        <v>135</v>
      </c>
      <c r="AX79" t="s">
        <v>134</v>
      </c>
      <c r="AY79" t="s">
        <v>70</v>
      </c>
      <c r="AZ79">
        <v>67</v>
      </c>
      <c r="BA79" s="5">
        <v>11.99</v>
      </c>
      <c r="BB79" s="5">
        <f>VLOOKUP(Inventory11[[#This Row],[Category]],$K$2:$L$23,2,TRUE)*Inventory11[[#This Row],[Price]]</f>
        <v>4.7960000000000003</v>
      </c>
      <c r="BC79" t="s">
        <v>1982</v>
      </c>
      <c r="BD79" t="str">
        <f ca="1">IF(AND(Inventory11[Category]= "BEER", Inventory11[[#This Row],[Price]]&lt;20),TODAY()+30, "")</f>
        <v/>
      </c>
    </row>
    <row r="80" spans="1:56" x14ac:dyDescent="0.3">
      <c r="A80" s="11" t="s">
        <v>94</v>
      </c>
      <c r="B80">
        <v>78</v>
      </c>
      <c r="C80" t="s">
        <v>87</v>
      </c>
      <c r="D80" t="s">
        <v>95</v>
      </c>
      <c r="E80">
        <v>71</v>
      </c>
      <c r="F80" s="5">
        <v>11.49</v>
      </c>
      <c r="G80" s="5">
        <f>VLOOKUP(Inventory[[#This Row],[Category]],$K$2:$L$23,2,TRUE)*Inventory[[#This Row],[Price]]</f>
        <v>1.149</v>
      </c>
      <c r="H80" t="s">
        <v>1982</v>
      </c>
      <c r="I80" t="str">
        <f ca="1">IF(AND(Inventory[Category]= "BEER", Inventory[[#This Row],[Price]]&lt;20),TODAY()+30, "")</f>
        <v/>
      </c>
      <c r="AJ80">
        <v>88708</v>
      </c>
      <c r="AK80" s="30">
        <v>41806</v>
      </c>
      <c r="AL80" t="s">
        <v>435</v>
      </c>
      <c r="AM80">
        <v>72</v>
      </c>
      <c r="AN80" t="str">
        <f>VLOOKUP(Transaction[[#This Row],[Model No.]],$AV$2:$BD$100,2,TRUE)</f>
        <v>Pearl Wedding Cake Vodka</v>
      </c>
      <c r="AO80" s="21">
        <f>VLOOKUP(Transaction[[#This Row],[Model No.]],$AV$2:$BD$100,6,TRUE)</f>
        <v>12.49</v>
      </c>
      <c r="AP80" s="9">
        <v>2</v>
      </c>
      <c r="AQ80" s="5">
        <f>Transaction[[#This Row],[Price]]*Transaction[[#This Row],[Qty]]</f>
        <v>24.98</v>
      </c>
      <c r="AR80" s="5">
        <f>VLOOKUP(Transaction[[#This Row],[Model No.]],$AV$2:$BD$100,7,TRUE)*Transaction[[#This Row],[Qty]]</f>
        <v>7.4939999999999998</v>
      </c>
      <c r="AS80">
        <v>1107</v>
      </c>
      <c r="AT80">
        <v>1006</v>
      </c>
      <c r="AV80">
        <v>78</v>
      </c>
      <c r="AW80" s="11" t="s">
        <v>94</v>
      </c>
      <c r="AX80" t="s">
        <v>87</v>
      </c>
      <c r="AY80" t="s">
        <v>95</v>
      </c>
      <c r="AZ80">
        <v>71</v>
      </c>
      <c r="BA80" s="5">
        <v>11.49</v>
      </c>
      <c r="BB80" s="5">
        <f>VLOOKUP(Inventory11[[#This Row],[Category]],$K$2:$L$23,2,TRUE)*Inventory11[[#This Row],[Price]]</f>
        <v>1.149</v>
      </c>
      <c r="BC80" t="s">
        <v>1982</v>
      </c>
      <c r="BD80" t="str">
        <f ca="1">IF(AND(Inventory11[Category]= "BEER", Inventory11[[#This Row],[Price]]&lt;20),TODAY()+30, "")</f>
        <v/>
      </c>
    </row>
    <row r="81" spans="1:56" x14ac:dyDescent="0.3">
      <c r="A81" s="11" t="s">
        <v>155</v>
      </c>
      <c r="B81">
        <v>79</v>
      </c>
      <c r="C81" t="s">
        <v>154</v>
      </c>
      <c r="D81" t="s">
        <v>70</v>
      </c>
      <c r="E81">
        <v>50</v>
      </c>
      <c r="F81" s="5">
        <v>11.49</v>
      </c>
      <c r="G81" s="5">
        <f>VLOOKUP(Inventory[[#This Row],[Category]],$K$2:$L$23,2,TRUE)*Inventory[[#This Row],[Price]]</f>
        <v>2.298</v>
      </c>
      <c r="H81" t="s">
        <v>1982</v>
      </c>
      <c r="I81" t="str">
        <f ca="1">IF(AND(Inventory[Category]= "BEER", Inventory[[#This Row],[Price]]&lt;20),TODAY()+30, "")</f>
        <v/>
      </c>
      <c r="AJ81">
        <v>50865</v>
      </c>
      <c r="AK81" s="30">
        <v>41807</v>
      </c>
      <c r="AL81" t="s">
        <v>705</v>
      </c>
      <c r="AM81">
        <v>4</v>
      </c>
      <c r="AN81" t="str">
        <f>VLOOKUP(Transaction[[#This Row],[Model No.]],$AV$2:$BD$100,2,TRUE)</f>
        <v>Stags' Leap Winery Cabernet Sauvignon</v>
      </c>
      <c r="AO81" s="21">
        <f>VLOOKUP(Transaction[[#This Row],[Model No.]],$AV$2:$BD$100,6,TRUE)</f>
        <v>54.99</v>
      </c>
      <c r="AP81" s="9">
        <v>2</v>
      </c>
      <c r="AQ81" s="5">
        <f>Transaction[[#This Row],[Price]]*Transaction[[#This Row],[Qty]]</f>
        <v>109.98</v>
      </c>
      <c r="AR81" s="5">
        <f>VLOOKUP(Transaction[[#This Row],[Model No.]],$AV$2:$BD$100,7,TRUE)*Transaction[[#This Row],[Qty]]</f>
        <v>10.998000000000001</v>
      </c>
      <c r="AS81">
        <v>1100</v>
      </c>
      <c r="AT81">
        <v>1012</v>
      </c>
      <c r="AV81">
        <v>79</v>
      </c>
      <c r="AW81" s="11" t="s">
        <v>155</v>
      </c>
      <c r="AX81" t="s">
        <v>154</v>
      </c>
      <c r="AY81" t="s">
        <v>70</v>
      </c>
      <c r="AZ81">
        <v>50</v>
      </c>
      <c r="BA81" s="5">
        <v>11.49</v>
      </c>
      <c r="BB81" s="5">
        <f>VLOOKUP(Inventory11[[#This Row],[Category]],$K$2:$L$23,2,TRUE)*Inventory11[[#This Row],[Price]]</f>
        <v>2.298</v>
      </c>
      <c r="BC81" t="s">
        <v>1982</v>
      </c>
      <c r="BD81" t="str">
        <f ca="1">IF(AND(Inventory11[Category]= "BEER", Inventory11[[#This Row],[Price]]&lt;20),TODAY()+30, "")</f>
        <v/>
      </c>
    </row>
    <row r="82" spans="1:56" x14ac:dyDescent="0.3">
      <c r="A82" s="11" t="s">
        <v>192</v>
      </c>
      <c r="B82">
        <v>80</v>
      </c>
      <c r="C82" t="s">
        <v>74</v>
      </c>
      <c r="D82" t="s">
        <v>76</v>
      </c>
      <c r="E82">
        <v>24</v>
      </c>
      <c r="F82" s="5">
        <v>10.99</v>
      </c>
      <c r="G82" s="5">
        <f>VLOOKUP(Inventory[[#This Row],[Category]],$K$2:$L$23,2,TRUE)*Inventory[[#This Row],[Price]]</f>
        <v>3.2970000000000002</v>
      </c>
      <c r="H82">
        <v>8.7919999999999998</v>
      </c>
      <c r="I82">
        <f ca="1">IF(AND(Inventory[Category]= "BEER", Inventory[[#This Row],[Price]]&lt;20),TODAY()+30, "")</f>
        <v>43646</v>
      </c>
      <c r="AJ82">
        <v>13881</v>
      </c>
      <c r="AK82" s="30">
        <v>41807</v>
      </c>
      <c r="AL82" t="s">
        <v>1442</v>
      </c>
      <c r="AM82">
        <v>58</v>
      </c>
      <c r="AN82" t="str">
        <f>VLOOKUP(Transaction[[#This Row],[Model No.]],$AV$2:$BD$100,2,TRUE)</f>
        <v>Smirnoff Mango Vodka</v>
      </c>
      <c r="AO82" s="21">
        <f>VLOOKUP(Transaction[[#This Row],[Model No.]],$AV$2:$BD$100,6,TRUE)</f>
        <v>13.49</v>
      </c>
      <c r="AP82" s="9">
        <v>3</v>
      </c>
      <c r="AQ82" s="5">
        <f>Transaction[[#This Row],[Price]]*Transaction[[#This Row],[Qty]]</f>
        <v>40.47</v>
      </c>
      <c r="AR82" s="5">
        <f>VLOOKUP(Transaction[[#This Row],[Model No.]],$AV$2:$BD$100,7,TRUE)*Transaction[[#This Row],[Qty]]</f>
        <v>12.140999999999998</v>
      </c>
      <c r="AS82">
        <v>1100</v>
      </c>
      <c r="AT82">
        <v>1013</v>
      </c>
      <c r="AV82">
        <v>80</v>
      </c>
      <c r="AW82" s="11" t="s">
        <v>192</v>
      </c>
      <c r="AX82" t="s">
        <v>74</v>
      </c>
      <c r="AY82" t="s">
        <v>76</v>
      </c>
      <c r="AZ82">
        <v>24</v>
      </c>
      <c r="BA82" s="5">
        <v>10.99</v>
      </c>
      <c r="BB82" s="5">
        <f>VLOOKUP(Inventory11[[#This Row],[Category]],$K$2:$L$23,2,TRUE)*Inventory11[[#This Row],[Price]]</f>
        <v>3.2970000000000002</v>
      </c>
      <c r="BC82">
        <v>8.7919999999999998</v>
      </c>
      <c r="BD82">
        <f ca="1">IF(AND(Inventory11[Category]= "BEER", Inventory11[[#This Row],[Price]]&lt;20),TODAY()+30, "")</f>
        <v>43646</v>
      </c>
    </row>
    <row r="83" spans="1:56" x14ac:dyDescent="0.3">
      <c r="A83" s="11" t="s">
        <v>171</v>
      </c>
      <c r="B83">
        <v>81</v>
      </c>
      <c r="C83" t="s">
        <v>170</v>
      </c>
      <c r="D83" t="s">
        <v>70</v>
      </c>
      <c r="E83">
        <v>94</v>
      </c>
      <c r="F83" s="5">
        <v>10.99</v>
      </c>
      <c r="G83" s="5">
        <f>VLOOKUP(Inventory[[#This Row],[Category]],$K$2:$L$23,2,TRUE)*Inventory[[#This Row],[Price]]</f>
        <v>3.2970000000000002</v>
      </c>
      <c r="H83" t="s">
        <v>1982</v>
      </c>
      <c r="I83" t="str">
        <f ca="1">IF(AND(Inventory[Category]= "BEER", Inventory[[#This Row],[Price]]&lt;20),TODAY()+30, "")</f>
        <v/>
      </c>
      <c r="AJ83">
        <v>46153</v>
      </c>
      <c r="AK83" s="30">
        <v>41808</v>
      </c>
      <c r="AL83" t="s">
        <v>1135</v>
      </c>
      <c r="AM83">
        <v>32</v>
      </c>
      <c r="AN83" t="str">
        <f>VLOOKUP(Transaction[[#This Row],[Model No.]],$AV$2:$BD$100,2,TRUE)</f>
        <v>Sugar Island Spiced Rum</v>
      </c>
      <c r="AO83" s="21">
        <f>VLOOKUP(Transaction[[#This Row],[Model No.]],$AV$2:$BD$100,6,TRUE)</f>
        <v>21.99</v>
      </c>
      <c r="AP83" s="9">
        <v>4</v>
      </c>
      <c r="AQ83" s="5">
        <f>Transaction[[#This Row],[Price]]*Transaction[[#This Row],[Qty]]</f>
        <v>87.96</v>
      </c>
      <c r="AR83" s="5">
        <f>VLOOKUP(Transaction[[#This Row],[Model No.]],$AV$2:$BD$100,7,TRUE)*Transaction[[#This Row],[Qty]]</f>
        <v>17.591999999999999</v>
      </c>
      <c r="AS83">
        <v>1098</v>
      </c>
      <c r="AT83">
        <v>1016</v>
      </c>
      <c r="AV83">
        <v>81</v>
      </c>
      <c r="AW83" s="11" t="s">
        <v>171</v>
      </c>
      <c r="AX83" t="s">
        <v>170</v>
      </c>
      <c r="AY83" t="s">
        <v>70</v>
      </c>
      <c r="AZ83">
        <v>94</v>
      </c>
      <c r="BA83" s="5">
        <v>10.99</v>
      </c>
      <c r="BB83" s="5">
        <f>VLOOKUP(Inventory11[[#This Row],[Category]],$K$2:$L$23,2,TRUE)*Inventory11[[#This Row],[Price]]</f>
        <v>3.2970000000000002</v>
      </c>
      <c r="BC83" t="s">
        <v>1982</v>
      </c>
      <c r="BD83" t="str">
        <f ca="1">IF(AND(Inventory11[Category]= "BEER", Inventory11[[#This Row],[Price]]&lt;20),TODAY()+30, "")</f>
        <v/>
      </c>
    </row>
    <row r="84" spans="1:56" x14ac:dyDescent="0.3">
      <c r="A84" s="11" t="s">
        <v>150</v>
      </c>
      <c r="B84">
        <v>82</v>
      </c>
      <c r="C84" t="s">
        <v>90</v>
      </c>
      <c r="D84" t="s">
        <v>70</v>
      </c>
      <c r="E84">
        <v>28</v>
      </c>
      <c r="F84" s="5">
        <v>10.99</v>
      </c>
      <c r="G84" s="5">
        <f>VLOOKUP(Inventory[[#This Row],[Category]],$K$2:$L$23,2,TRUE)*Inventory[[#This Row],[Price]]</f>
        <v>3.2970000000000002</v>
      </c>
      <c r="H84" t="s">
        <v>1982</v>
      </c>
      <c r="I84" t="str">
        <f ca="1">IF(AND(Inventory[Category]= "BEER", Inventory[[#This Row],[Price]]&lt;20),TODAY()+30, "")</f>
        <v/>
      </c>
      <c r="AJ84">
        <v>35822</v>
      </c>
      <c r="AK84" s="30">
        <v>41808</v>
      </c>
      <c r="AL84" t="s">
        <v>1667</v>
      </c>
      <c r="AM84">
        <v>40</v>
      </c>
      <c r="AN84" t="str">
        <f>VLOOKUP(Transaction[[#This Row],[Model No.]],$AV$2:$BD$100,2,TRUE)</f>
        <v>Takara Can Chu Hi JPop Grapefruit - 6 Pack</v>
      </c>
      <c r="AO84" s="21">
        <f>VLOOKUP(Transaction[[#This Row],[Model No.]],$AV$2:$BD$100,6,TRUE)</f>
        <v>17.989999999999998</v>
      </c>
      <c r="AP84" s="9">
        <v>2</v>
      </c>
      <c r="AQ84" s="5">
        <f>Transaction[[#This Row],[Price]]*Transaction[[#This Row],[Qty]]</f>
        <v>35.979999999999997</v>
      </c>
      <c r="AR84" s="5">
        <f>VLOOKUP(Transaction[[#This Row],[Model No.]],$AV$2:$BD$100,7,TRUE)*Transaction[[#This Row],[Qty]]</f>
        <v>10.793999999999999</v>
      </c>
      <c r="AS84">
        <v>1099</v>
      </c>
      <c r="AT84">
        <v>1015</v>
      </c>
      <c r="AV84">
        <v>82</v>
      </c>
      <c r="AW84" s="11" t="s">
        <v>150</v>
      </c>
      <c r="AX84" t="s">
        <v>90</v>
      </c>
      <c r="AY84" t="s">
        <v>70</v>
      </c>
      <c r="AZ84">
        <v>28</v>
      </c>
      <c r="BA84" s="5">
        <v>10.99</v>
      </c>
      <c r="BB84" s="5">
        <f>VLOOKUP(Inventory11[[#This Row],[Category]],$K$2:$L$23,2,TRUE)*Inventory11[[#This Row],[Price]]</f>
        <v>3.2970000000000002</v>
      </c>
      <c r="BC84" t="s">
        <v>1982</v>
      </c>
      <c r="BD84" t="str">
        <f ca="1">IF(AND(Inventory11[Category]= "BEER", Inventory11[[#This Row],[Price]]&lt;20),TODAY()+30, "")</f>
        <v/>
      </c>
    </row>
    <row r="85" spans="1:56" x14ac:dyDescent="0.3">
      <c r="A85" s="11" t="s">
        <v>157</v>
      </c>
      <c r="B85">
        <v>83</v>
      </c>
      <c r="C85" t="s">
        <v>90</v>
      </c>
      <c r="D85" t="s">
        <v>70</v>
      </c>
      <c r="E85">
        <v>46</v>
      </c>
      <c r="F85" s="5">
        <v>10.99</v>
      </c>
      <c r="G85" s="5">
        <f>VLOOKUP(Inventory[[#This Row],[Category]],$K$2:$L$23,2,TRUE)*Inventory[[#This Row],[Price]]</f>
        <v>3.2970000000000002</v>
      </c>
      <c r="H85" t="s">
        <v>1982</v>
      </c>
      <c r="I85" t="str">
        <f ca="1">IF(AND(Inventory[Category]= "BEER", Inventory[[#This Row],[Price]]&lt;20),TODAY()+30, "")</f>
        <v/>
      </c>
      <c r="AJ85">
        <v>93995</v>
      </c>
      <c r="AK85" s="30">
        <v>41808</v>
      </c>
      <c r="AL85" t="s">
        <v>1017</v>
      </c>
      <c r="AM85">
        <v>71</v>
      </c>
      <c r="AN85" t="str">
        <f>VLOOKUP(Transaction[[#This Row],[Model No.]],$AV$2:$BD$100,2,TRUE)</f>
        <v>Flo Merlot</v>
      </c>
      <c r="AO85" s="21">
        <f>VLOOKUP(Transaction[[#This Row],[Model No.]],$AV$2:$BD$100,6,TRUE)</f>
        <v>12.49</v>
      </c>
      <c r="AP85" s="9">
        <v>3</v>
      </c>
      <c r="AQ85" s="5">
        <f>Transaction[[#This Row],[Price]]*Transaction[[#This Row],[Qty]]</f>
        <v>37.47</v>
      </c>
      <c r="AR85" s="5">
        <f>VLOOKUP(Transaction[[#This Row],[Model No.]],$AV$2:$BD$100,7,TRUE)*Transaction[[#This Row],[Qty]]</f>
        <v>3.7470000000000003</v>
      </c>
      <c r="AS85">
        <v>1106</v>
      </c>
      <c r="AT85">
        <v>1001</v>
      </c>
      <c r="AV85">
        <v>83</v>
      </c>
      <c r="AW85" s="11" t="s">
        <v>157</v>
      </c>
      <c r="AX85" t="s">
        <v>90</v>
      </c>
      <c r="AY85" t="s">
        <v>70</v>
      </c>
      <c r="AZ85">
        <v>46</v>
      </c>
      <c r="BA85" s="5">
        <v>10.99</v>
      </c>
      <c r="BB85" s="5">
        <f>VLOOKUP(Inventory11[[#This Row],[Category]],$K$2:$L$23,2,TRUE)*Inventory11[[#This Row],[Price]]</f>
        <v>3.2970000000000002</v>
      </c>
      <c r="BC85" t="s">
        <v>1982</v>
      </c>
      <c r="BD85" t="str">
        <f ca="1">IF(AND(Inventory11[Category]= "BEER", Inventory11[[#This Row],[Price]]&lt;20),TODAY()+30, "")</f>
        <v/>
      </c>
    </row>
    <row r="86" spans="1:56" x14ac:dyDescent="0.3">
      <c r="A86" s="11" t="s">
        <v>188</v>
      </c>
      <c r="B86">
        <v>84</v>
      </c>
      <c r="C86" t="s">
        <v>90</v>
      </c>
      <c r="D86" t="s">
        <v>70</v>
      </c>
      <c r="E86">
        <v>60</v>
      </c>
      <c r="F86" s="5">
        <v>10.49</v>
      </c>
      <c r="G86" s="5">
        <f>VLOOKUP(Inventory[[#This Row],[Category]],$K$2:$L$23,2,TRUE)*Inventory[[#This Row],[Price]]</f>
        <v>3.1469999999999998</v>
      </c>
      <c r="H86" t="s">
        <v>1982</v>
      </c>
      <c r="I86" t="str">
        <f ca="1">IF(AND(Inventory[Category]= "BEER", Inventory[[#This Row],[Price]]&lt;20),TODAY()+30, "")</f>
        <v/>
      </c>
      <c r="AJ86">
        <v>41918</v>
      </c>
      <c r="AK86" s="30">
        <v>41810</v>
      </c>
      <c r="AL86" t="s">
        <v>1898</v>
      </c>
      <c r="AM86">
        <v>10</v>
      </c>
      <c r="AN86" t="str">
        <f>VLOOKUP(Transaction[[#This Row],[Model No.]],$AV$2:$BD$100,2,TRUE)</f>
        <v>Hum Botanical Spirit Liqueur</v>
      </c>
      <c r="AO86" s="21">
        <f>VLOOKUP(Transaction[[#This Row],[Model No.]],$AV$2:$BD$100,6,TRUE)</f>
        <v>41.99</v>
      </c>
      <c r="AP86" s="9">
        <v>2</v>
      </c>
      <c r="AQ86" s="5">
        <f>Transaction[[#This Row],[Price]]*Transaction[[#This Row],[Qty]]</f>
        <v>83.98</v>
      </c>
      <c r="AR86" s="5">
        <f>VLOOKUP(Transaction[[#This Row],[Model No.]],$AV$2:$BD$100,7,TRUE)*Transaction[[#This Row],[Qty]]</f>
        <v>25.193999999999999</v>
      </c>
      <c r="AS86">
        <v>1102</v>
      </c>
      <c r="AT86">
        <v>1018</v>
      </c>
      <c r="AV86">
        <v>84</v>
      </c>
      <c r="AW86" s="11" t="s">
        <v>188</v>
      </c>
      <c r="AX86" t="s">
        <v>90</v>
      </c>
      <c r="AY86" t="s">
        <v>70</v>
      </c>
      <c r="AZ86">
        <v>60</v>
      </c>
      <c r="BA86" s="5">
        <v>10.49</v>
      </c>
      <c r="BB86" s="5">
        <f>VLOOKUP(Inventory11[[#This Row],[Category]],$K$2:$L$23,2,TRUE)*Inventory11[[#This Row],[Price]]</f>
        <v>3.1469999999999998</v>
      </c>
      <c r="BC86" t="s">
        <v>1982</v>
      </c>
      <c r="BD86" t="str">
        <f ca="1">IF(AND(Inventory11[Category]= "BEER", Inventory11[[#This Row],[Price]]&lt;20),TODAY()+30, "")</f>
        <v/>
      </c>
    </row>
    <row r="87" spans="1:56" x14ac:dyDescent="0.3">
      <c r="A87" s="11" t="s">
        <v>197</v>
      </c>
      <c r="B87">
        <v>85</v>
      </c>
      <c r="C87" t="s">
        <v>74</v>
      </c>
      <c r="D87" t="s">
        <v>76</v>
      </c>
      <c r="E87">
        <v>52</v>
      </c>
      <c r="F87" s="5">
        <v>9.99</v>
      </c>
      <c r="G87" s="5">
        <f>VLOOKUP(Inventory[[#This Row],[Category]],$K$2:$L$23,2,TRUE)*Inventory[[#This Row],[Price]]</f>
        <v>2.9969999999999999</v>
      </c>
      <c r="H87">
        <v>7.9920000000000009</v>
      </c>
      <c r="I87">
        <f ca="1">IF(AND(Inventory[Category]= "BEER", Inventory[[#This Row],[Price]]&lt;20),TODAY()+30, "")</f>
        <v>43646</v>
      </c>
      <c r="AJ87">
        <v>81545</v>
      </c>
      <c r="AK87" s="30">
        <v>41810</v>
      </c>
      <c r="AL87" t="s">
        <v>591</v>
      </c>
      <c r="AM87">
        <v>47</v>
      </c>
      <c r="AN87" t="str">
        <f>VLOOKUP(Transaction[[#This Row],[Model No.]],$AV$2:$BD$100,2,TRUE)</f>
        <v>IL Tramonto Amaretto Liqueur</v>
      </c>
      <c r="AO87" s="21">
        <f>VLOOKUP(Transaction[[#This Row],[Model No.]],$AV$2:$BD$100,6,TRUE)</f>
        <v>15.99</v>
      </c>
      <c r="AP87" s="9">
        <v>2</v>
      </c>
      <c r="AQ87" s="5">
        <f>Transaction[[#This Row],[Price]]*Transaction[[#This Row],[Qty]]</f>
        <v>31.98</v>
      </c>
      <c r="AR87" s="5">
        <f>VLOOKUP(Transaction[[#This Row],[Model No.]],$AV$2:$BD$100,7,TRUE)*Transaction[[#This Row],[Qty]]</f>
        <v>9.5939999999999994</v>
      </c>
      <c r="AS87">
        <v>1099</v>
      </c>
      <c r="AT87">
        <v>1018</v>
      </c>
      <c r="AV87">
        <v>85</v>
      </c>
      <c r="AW87" s="11" t="s">
        <v>197</v>
      </c>
      <c r="AX87" t="s">
        <v>74</v>
      </c>
      <c r="AY87" t="s">
        <v>76</v>
      </c>
      <c r="AZ87">
        <v>52</v>
      </c>
      <c r="BA87" s="5">
        <v>9.99</v>
      </c>
      <c r="BB87" s="5">
        <f>VLOOKUP(Inventory11[[#This Row],[Category]],$K$2:$L$23,2,TRUE)*Inventory11[[#This Row],[Price]]</f>
        <v>2.9969999999999999</v>
      </c>
      <c r="BC87">
        <v>7.9920000000000009</v>
      </c>
      <c r="BD87">
        <f ca="1">IF(AND(Inventory11[Category]= "BEER", Inventory11[[#This Row],[Price]]&lt;20),TODAY()+30, "")</f>
        <v>43646</v>
      </c>
    </row>
    <row r="88" spans="1:56" x14ac:dyDescent="0.3">
      <c r="A88" s="11" t="s">
        <v>169</v>
      </c>
      <c r="B88">
        <v>86</v>
      </c>
      <c r="C88" t="s">
        <v>87</v>
      </c>
      <c r="D88" t="s">
        <v>70</v>
      </c>
      <c r="E88">
        <v>47</v>
      </c>
      <c r="F88" s="5">
        <v>9.49</v>
      </c>
      <c r="G88" s="5">
        <f>VLOOKUP(Inventory[[#This Row],[Category]],$K$2:$L$23,2,TRUE)*Inventory[[#This Row],[Price]]</f>
        <v>0.94900000000000007</v>
      </c>
      <c r="H88" t="s">
        <v>1982</v>
      </c>
      <c r="I88" t="str">
        <f ca="1">IF(AND(Inventory[Category]= "BEER", Inventory[[#This Row],[Price]]&lt;20),TODAY()+30, "")</f>
        <v/>
      </c>
      <c r="AJ88">
        <v>65823</v>
      </c>
      <c r="AK88" s="30">
        <v>41816</v>
      </c>
      <c r="AL88" t="s">
        <v>1651</v>
      </c>
      <c r="AM88">
        <v>2</v>
      </c>
      <c r="AN88" t="str">
        <f>VLOOKUP(Transaction[[#This Row],[Model No.]],$AV$2:$BD$100,2,TRUE)</f>
        <v>Grand Marnier Cuvee 1880 Liqueur</v>
      </c>
      <c r="AO88" s="21">
        <f>VLOOKUP(Transaction[[#This Row],[Model No.]],$AV$2:$BD$100,6,TRUE)</f>
        <v>286.99</v>
      </c>
      <c r="AP88" s="9">
        <v>2</v>
      </c>
      <c r="AQ88" s="5">
        <f>Transaction[[#This Row],[Price]]*Transaction[[#This Row],[Qty]]</f>
        <v>573.98</v>
      </c>
      <c r="AR88" s="5">
        <f>VLOOKUP(Transaction[[#This Row],[Model No.]],$AV$2:$BD$100,7,TRUE)*Transaction[[#This Row],[Qty]]</f>
        <v>172.19399999999999</v>
      </c>
      <c r="AS88">
        <v>1105</v>
      </c>
      <c r="AT88">
        <v>1017</v>
      </c>
      <c r="AV88">
        <v>86</v>
      </c>
      <c r="AW88" s="11" t="s">
        <v>169</v>
      </c>
      <c r="AX88" t="s">
        <v>87</v>
      </c>
      <c r="AY88" t="s">
        <v>70</v>
      </c>
      <c r="AZ88">
        <v>47</v>
      </c>
      <c r="BA88" s="5">
        <v>9.49</v>
      </c>
      <c r="BB88" s="5">
        <f>VLOOKUP(Inventory11[[#This Row],[Category]],$K$2:$L$23,2,TRUE)*Inventory11[[#This Row],[Price]]</f>
        <v>0.94900000000000007</v>
      </c>
      <c r="BC88" t="s">
        <v>1982</v>
      </c>
      <c r="BD88" t="str">
        <f ca="1">IF(AND(Inventory11[Category]= "BEER", Inventory11[[#This Row],[Price]]&lt;20),TODAY()+30, "")</f>
        <v/>
      </c>
    </row>
    <row r="89" spans="1:56" x14ac:dyDescent="0.3">
      <c r="A89" s="11" t="s">
        <v>86</v>
      </c>
      <c r="B89">
        <v>87</v>
      </c>
      <c r="C89" t="s">
        <v>85</v>
      </c>
      <c r="D89" t="s">
        <v>70</v>
      </c>
      <c r="E89">
        <v>14</v>
      </c>
      <c r="F89" s="5">
        <v>9.49</v>
      </c>
      <c r="G89" s="5">
        <f>VLOOKUP(Inventory[[#This Row],[Category]],$K$2:$L$23,2,TRUE)*Inventory[[#This Row],[Price]]</f>
        <v>1.8980000000000001</v>
      </c>
      <c r="H89" t="s">
        <v>1982</v>
      </c>
      <c r="I89" t="str">
        <f ca="1">IF(AND(Inventory[Category]= "BEER", Inventory[[#This Row],[Price]]&lt;20),TODAY()+30, "")</f>
        <v/>
      </c>
      <c r="AJ89">
        <v>23556</v>
      </c>
      <c r="AK89" s="30">
        <v>41816</v>
      </c>
      <c r="AL89" t="s">
        <v>889</v>
      </c>
      <c r="AM89">
        <v>91</v>
      </c>
      <c r="AN89" t="str">
        <f>VLOOKUP(Transaction[[#This Row],[Model No.]],$AV$2:$BD$100,2,TRUE)</f>
        <v>Rex Goliath Free Range Giant 47 Pound Rooster Merlot</v>
      </c>
      <c r="AO89" s="21">
        <f>VLOOKUP(Transaction[[#This Row],[Model No.]],$AV$2:$BD$100,6,TRUE)</f>
        <v>7.79</v>
      </c>
      <c r="AP89" s="9">
        <v>3</v>
      </c>
      <c r="AQ89" s="5">
        <f>Transaction[[#This Row],[Price]]*Transaction[[#This Row],[Qty]]</f>
        <v>23.37</v>
      </c>
      <c r="AR89" s="5">
        <f>VLOOKUP(Transaction[[#This Row],[Model No.]],$AV$2:$BD$100,7,TRUE)*Transaction[[#This Row],[Qty]]</f>
        <v>2.3370000000000002</v>
      </c>
      <c r="AS89">
        <v>1103</v>
      </c>
      <c r="AT89">
        <v>1017</v>
      </c>
      <c r="AV89">
        <v>87</v>
      </c>
      <c r="AW89" s="11" t="s">
        <v>86</v>
      </c>
      <c r="AX89" t="s">
        <v>85</v>
      </c>
      <c r="AY89" t="s">
        <v>70</v>
      </c>
      <c r="AZ89">
        <v>14</v>
      </c>
      <c r="BA89" s="5">
        <v>9.49</v>
      </c>
      <c r="BB89" s="5">
        <f>VLOOKUP(Inventory11[[#This Row],[Category]],$K$2:$L$23,2,TRUE)*Inventory11[[#This Row],[Price]]</f>
        <v>1.8980000000000001</v>
      </c>
      <c r="BC89" t="s">
        <v>1982</v>
      </c>
      <c r="BD89" t="str">
        <f ca="1">IF(AND(Inventory11[Category]= "BEER", Inventory11[[#This Row],[Price]]&lt;20),TODAY()+30, "")</f>
        <v/>
      </c>
    </row>
    <row r="90" spans="1:56" x14ac:dyDescent="0.3">
      <c r="A90" s="11" t="s">
        <v>179</v>
      </c>
      <c r="B90">
        <v>88</v>
      </c>
      <c r="C90" t="s">
        <v>108</v>
      </c>
      <c r="D90" t="s">
        <v>70</v>
      </c>
      <c r="E90">
        <v>62</v>
      </c>
      <c r="F90" s="5">
        <v>8.99</v>
      </c>
      <c r="G90" s="5">
        <f>VLOOKUP(Inventory[[#This Row],[Category]],$K$2:$L$23,2,TRUE)*Inventory[[#This Row],[Price]]</f>
        <v>3.5960000000000001</v>
      </c>
      <c r="H90" t="s">
        <v>1982</v>
      </c>
      <c r="I90" t="str">
        <f ca="1">IF(AND(Inventory[Category]= "BEER", Inventory[[#This Row],[Price]]&lt;20),TODAY()+30, "")</f>
        <v/>
      </c>
      <c r="AJ90">
        <v>40631</v>
      </c>
      <c r="AK90" s="30">
        <v>41818</v>
      </c>
      <c r="AL90" t="s">
        <v>488</v>
      </c>
      <c r="AM90">
        <v>17</v>
      </c>
      <c r="AN90" t="str">
        <f>VLOOKUP(Transaction[[#This Row],[Model No.]],$AV$2:$BD$100,2,TRUE)</f>
        <v>Miller Lite Can - 24 Pack</v>
      </c>
      <c r="AO90" s="21">
        <f>VLOOKUP(Transaction[[#This Row],[Model No.]],$AV$2:$BD$100,6,TRUE)</f>
        <v>30.99</v>
      </c>
      <c r="AP90" s="9">
        <v>5</v>
      </c>
      <c r="AQ90" s="5">
        <f>Transaction[[#This Row],[Price]]*Transaction[[#This Row],[Qty]]</f>
        <v>154.94999999999999</v>
      </c>
      <c r="AR90" s="5">
        <f>VLOOKUP(Transaction[[#This Row],[Model No.]],$AV$2:$BD$100,7,TRUE)*Transaction[[#This Row],[Qty]]</f>
        <v>46.484999999999992</v>
      </c>
      <c r="AS90">
        <v>1098</v>
      </c>
      <c r="AT90">
        <v>1003</v>
      </c>
      <c r="AV90">
        <v>88</v>
      </c>
      <c r="AW90" s="11" t="s">
        <v>179</v>
      </c>
      <c r="AX90" t="s">
        <v>108</v>
      </c>
      <c r="AY90" t="s">
        <v>70</v>
      </c>
      <c r="AZ90">
        <v>62</v>
      </c>
      <c r="BA90" s="5">
        <v>8.99</v>
      </c>
      <c r="BB90" s="5">
        <f>VLOOKUP(Inventory11[[#This Row],[Category]],$K$2:$L$23,2,TRUE)*Inventory11[[#This Row],[Price]]</f>
        <v>3.5960000000000001</v>
      </c>
      <c r="BC90" t="s">
        <v>1982</v>
      </c>
      <c r="BD90" t="str">
        <f ca="1">IF(AND(Inventory11[Category]= "BEER", Inventory11[[#This Row],[Price]]&lt;20),TODAY()+30, "")</f>
        <v/>
      </c>
    </row>
    <row r="91" spans="1:56" x14ac:dyDescent="0.3">
      <c r="A91" s="11" t="s">
        <v>103</v>
      </c>
      <c r="B91">
        <v>89</v>
      </c>
      <c r="C91" t="s">
        <v>92</v>
      </c>
      <c r="D91" t="s">
        <v>70</v>
      </c>
      <c r="E91">
        <v>49</v>
      </c>
      <c r="F91" s="5">
        <v>8.49</v>
      </c>
      <c r="G91" s="5">
        <f>VLOOKUP(Inventory[[#This Row],[Category]],$K$2:$L$23,2,TRUE)*Inventory[[#This Row],[Price]]</f>
        <v>0.84900000000000009</v>
      </c>
      <c r="H91" t="s">
        <v>1982</v>
      </c>
      <c r="I91" t="str">
        <f ca="1">IF(AND(Inventory[Category]= "BEER", Inventory[[#This Row],[Price]]&lt;20),TODAY()+30, "")</f>
        <v/>
      </c>
      <c r="AJ91">
        <v>91183</v>
      </c>
      <c r="AK91" s="30">
        <v>41818</v>
      </c>
      <c r="AL91" t="s">
        <v>1117</v>
      </c>
      <c r="AM91">
        <v>43</v>
      </c>
      <c r="AN91" t="str">
        <f>VLOOKUP(Transaction[[#This Row],[Model No.]],$AV$2:$BD$100,2,TRUE)</f>
        <v>Green Flash Le Freak - 4 Pack</v>
      </c>
      <c r="AO91" s="21">
        <f>VLOOKUP(Transaction[[#This Row],[Model No.]],$AV$2:$BD$100,6,TRUE)</f>
        <v>16.989999999999998</v>
      </c>
      <c r="AP91" s="9">
        <v>4</v>
      </c>
      <c r="AQ91" s="5">
        <f>Transaction[[#This Row],[Price]]*Transaction[[#This Row],[Qty]]</f>
        <v>67.959999999999994</v>
      </c>
      <c r="AR91" s="5">
        <f>VLOOKUP(Transaction[[#This Row],[Model No.]],$AV$2:$BD$100,7,TRUE)*Transaction[[#This Row],[Qty]]</f>
        <v>20.387999999999998</v>
      </c>
      <c r="AS91">
        <v>1101</v>
      </c>
      <c r="AT91">
        <v>1020</v>
      </c>
      <c r="AV91">
        <v>89</v>
      </c>
      <c r="AW91" s="11" t="s">
        <v>103</v>
      </c>
      <c r="AX91" t="s">
        <v>92</v>
      </c>
      <c r="AY91" t="s">
        <v>70</v>
      </c>
      <c r="AZ91">
        <v>49</v>
      </c>
      <c r="BA91" s="5">
        <v>8.49</v>
      </c>
      <c r="BB91" s="5">
        <f>VLOOKUP(Inventory11[[#This Row],[Category]],$K$2:$L$23,2,TRUE)*Inventory11[[#This Row],[Price]]</f>
        <v>0.84900000000000009</v>
      </c>
      <c r="BC91" t="s">
        <v>1982</v>
      </c>
      <c r="BD91" t="str">
        <f ca="1">IF(AND(Inventory11[Category]= "BEER", Inventory11[[#This Row],[Price]]&lt;20),TODAY()+30, "")</f>
        <v/>
      </c>
    </row>
    <row r="92" spans="1:56" x14ac:dyDescent="0.3">
      <c r="A92" s="11" t="s">
        <v>189</v>
      </c>
      <c r="B92">
        <v>90</v>
      </c>
      <c r="C92" t="s">
        <v>114</v>
      </c>
      <c r="D92" t="s">
        <v>84</v>
      </c>
      <c r="E92">
        <v>96</v>
      </c>
      <c r="F92" s="5">
        <v>7.99</v>
      </c>
      <c r="G92" s="5">
        <f>VLOOKUP(Inventory[[#This Row],[Category]],$K$2:$L$23,2,TRUE)*Inventory[[#This Row],[Price]]</f>
        <v>1.5980000000000001</v>
      </c>
      <c r="H92" t="s">
        <v>1982</v>
      </c>
      <c r="I92" t="str">
        <f ca="1">IF(AND(Inventory[Category]= "BEER", Inventory[[#This Row],[Price]]&lt;20),TODAY()+30, "")</f>
        <v/>
      </c>
      <c r="AJ92">
        <v>64818</v>
      </c>
      <c r="AK92" s="30">
        <v>41819</v>
      </c>
      <c r="AL92" t="s">
        <v>1912</v>
      </c>
      <c r="AM92">
        <v>22</v>
      </c>
      <c r="AN92" t="str">
        <f>VLOOKUP(Transaction[[#This Row],[Model No.]],$AV$2:$BD$100,2,TRUE)</f>
        <v>Efe Raki Black Triple Distilled Liqueur</v>
      </c>
      <c r="AO92" s="21">
        <f>VLOOKUP(Transaction[[#This Row],[Model No.]],$AV$2:$BD$100,6,TRUE)</f>
        <v>25.99</v>
      </c>
      <c r="AP92" s="9">
        <v>5</v>
      </c>
      <c r="AQ92" s="5">
        <f>Transaction[[#This Row],[Price]]*Transaction[[#This Row],[Qty]]</f>
        <v>129.94999999999999</v>
      </c>
      <c r="AR92" s="5">
        <f>VLOOKUP(Transaction[[#This Row],[Model No.]],$AV$2:$BD$100,7,TRUE)*Transaction[[#This Row],[Qty]]</f>
        <v>38.984999999999992</v>
      </c>
      <c r="AS92">
        <v>1105</v>
      </c>
      <c r="AT92">
        <v>1021</v>
      </c>
      <c r="AV92">
        <v>90</v>
      </c>
      <c r="AW92" s="11" t="s">
        <v>189</v>
      </c>
      <c r="AX92" t="s">
        <v>114</v>
      </c>
      <c r="AY92" t="s">
        <v>84</v>
      </c>
      <c r="AZ92">
        <v>96</v>
      </c>
      <c r="BA92" s="5">
        <v>7.99</v>
      </c>
      <c r="BB92" s="5">
        <f>VLOOKUP(Inventory11[[#This Row],[Category]],$K$2:$L$23,2,TRUE)*Inventory11[[#This Row],[Price]]</f>
        <v>1.5980000000000001</v>
      </c>
      <c r="BC92" t="s">
        <v>1982</v>
      </c>
      <c r="BD92" t="str">
        <f ca="1">IF(AND(Inventory11[Category]= "BEER", Inventory11[[#This Row],[Price]]&lt;20),TODAY()+30, "")</f>
        <v/>
      </c>
    </row>
    <row r="93" spans="1:56" x14ac:dyDescent="0.3">
      <c r="A93" s="11" t="s">
        <v>106</v>
      </c>
      <c r="B93">
        <v>91</v>
      </c>
      <c r="C93" t="s">
        <v>87</v>
      </c>
      <c r="D93" t="s">
        <v>70</v>
      </c>
      <c r="E93">
        <v>72</v>
      </c>
      <c r="F93" s="5">
        <v>7.79</v>
      </c>
      <c r="G93" s="5">
        <f>VLOOKUP(Inventory[[#This Row],[Category]],$K$2:$L$23,2,TRUE)*Inventory[[#This Row],[Price]]</f>
        <v>0.77900000000000003</v>
      </c>
      <c r="H93" t="s">
        <v>1982</v>
      </c>
      <c r="I93" t="str">
        <f ca="1">IF(AND(Inventory[Category]= "BEER", Inventory[[#This Row],[Price]]&lt;20),TODAY()+30, "")</f>
        <v/>
      </c>
      <c r="AJ93">
        <v>27858</v>
      </c>
      <c r="AK93" s="30">
        <v>41820</v>
      </c>
      <c r="AL93" t="s">
        <v>959</v>
      </c>
      <c r="AM93">
        <v>55</v>
      </c>
      <c r="AN93" t="str">
        <f>VLOOKUP(Transaction[[#This Row],[Model No.]],$AV$2:$BD$100,2,TRUE)</f>
        <v>Clos du Bois Hand Selected Lots Shiraz</v>
      </c>
      <c r="AO93" s="21">
        <f>VLOOKUP(Transaction[[#This Row],[Model No.]],$AV$2:$BD$100,6,TRUE)</f>
        <v>14.49</v>
      </c>
      <c r="AP93" s="9">
        <v>2</v>
      </c>
      <c r="AQ93" s="5">
        <f>Transaction[[#This Row],[Price]]*Transaction[[#This Row],[Qty]]</f>
        <v>28.98</v>
      </c>
      <c r="AR93" s="5">
        <f>VLOOKUP(Transaction[[#This Row],[Model No.]],$AV$2:$BD$100,7,TRUE)*Transaction[[#This Row],[Qty]]</f>
        <v>2.8980000000000001</v>
      </c>
      <c r="AS93">
        <v>1107</v>
      </c>
      <c r="AT93">
        <v>1019</v>
      </c>
      <c r="AV93">
        <v>91</v>
      </c>
      <c r="AW93" s="11" t="s">
        <v>106</v>
      </c>
      <c r="AX93" t="s">
        <v>87</v>
      </c>
      <c r="AY93" t="s">
        <v>70</v>
      </c>
      <c r="AZ93">
        <v>72</v>
      </c>
      <c r="BA93" s="5">
        <v>7.79</v>
      </c>
      <c r="BB93" s="5">
        <f>VLOOKUP(Inventory11[[#This Row],[Category]],$K$2:$L$23,2,TRUE)*Inventory11[[#This Row],[Price]]</f>
        <v>0.77900000000000003</v>
      </c>
      <c r="BC93" t="s">
        <v>1982</v>
      </c>
      <c r="BD93" t="str">
        <f ca="1">IF(AND(Inventory11[Category]= "BEER", Inventory11[[#This Row],[Price]]&lt;20),TODAY()+30, "")</f>
        <v/>
      </c>
    </row>
    <row r="94" spans="1:56" x14ac:dyDescent="0.3">
      <c r="A94" s="11" t="s">
        <v>110</v>
      </c>
      <c r="B94">
        <v>92</v>
      </c>
      <c r="C94" t="s">
        <v>78</v>
      </c>
      <c r="D94" t="s">
        <v>95</v>
      </c>
      <c r="E94">
        <v>75</v>
      </c>
      <c r="F94" s="5">
        <v>7.69</v>
      </c>
      <c r="G94" s="5">
        <f>VLOOKUP(Inventory[[#This Row],[Category]],$K$2:$L$23,2,TRUE)*Inventory[[#This Row],[Price]]</f>
        <v>0.76900000000000013</v>
      </c>
      <c r="H94" t="s">
        <v>1982</v>
      </c>
      <c r="I94" t="str">
        <f ca="1">IF(AND(Inventory[Category]= "BEER", Inventory[[#This Row],[Price]]&lt;20),TODAY()+30, "")</f>
        <v/>
      </c>
      <c r="AJ94">
        <v>48896</v>
      </c>
      <c r="AK94" s="30">
        <v>41821</v>
      </c>
      <c r="AL94" t="s">
        <v>984</v>
      </c>
      <c r="AM94">
        <v>57</v>
      </c>
      <c r="AN94" t="str">
        <f>VLOOKUP(Transaction[[#This Row],[Model No.]],$AV$2:$BD$100,2,TRUE)</f>
        <v>Familia Dante Twelve Months Oak Aged Toscana IGT Sangiovese</v>
      </c>
      <c r="AO94" s="21">
        <f>VLOOKUP(Transaction[[#This Row],[Model No.]],$AV$2:$BD$100,6,TRUE)</f>
        <v>13.69</v>
      </c>
      <c r="AP94" s="9">
        <v>2</v>
      </c>
      <c r="AQ94" s="5">
        <f>Transaction[[#This Row],[Price]]*Transaction[[#This Row],[Qty]]</f>
        <v>27.38</v>
      </c>
      <c r="AR94" s="5">
        <f>VLOOKUP(Transaction[[#This Row],[Model No.]],$AV$2:$BD$100,7,TRUE)*Transaction[[#This Row],[Qty]]</f>
        <v>2.738</v>
      </c>
      <c r="AS94">
        <v>1099</v>
      </c>
      <c r="AT94">
        <v>1008</v>
      </c>
      <c r="AV94">
        <v>92</v>
      </c>
      <c r="AW94" s="11" t="s">
        <v>110</v>
      </c>
      <c r="AX94" t="s">
        <v>78</v>
      </c>
      <c r="AY94" t="s">
        <v>95</v>
      </c>
      <c r="AZ94">
        <v>75</v>
      </c>
      <c r="BA94" s="5">
        <v>7.69</v>
      </c>
      <c r="BB94" s="5">
        <f>VLOOKUP(Inventory11[[#This Row],[Category]],$K$2:$L$23,2,TRUE)*Inventory11[[#This Row],[Price]]</f>
        <v>0.76900000000000013</v>
      </c>
      <c r="BC94" t="s">
        <v>1982</v>
      </c>
      <c r="BD94" t="str">
        <f ca="1">IF(AND(Inventory11[Category]= "BEER", Inventory11[[#This Row],[Price]]&lt;20),TODAY()+30, "")</f>
        <v/>
      </c>
    </row>
    <row r="95" spans="1:56" x14ac:dyDescent="0.3">
      <c r="A95" s="11" t="s">
        <v>193</v>
      </c>
      <c r="B95">
        <v>93</v>
      </c>
      <c r="C95" t="s">
        <v>87</v>
      </c>
      <c r="D95" t="s">
        <v>70</v>
      </c>
      <c r="E95">
        <v>24</v>
      </c>
      <c r="F95" s="5">
        <v>7.49</v>
      </c>
      <c r="G95" s="5">
        <f>VLOOKUP(Inventory[[#This Row],[Category]],$K$2:$L$23,2,TRUE)*Inventory[[#This Row],[Price]]</f>
        <v>0.74900000000000011</v>
      </c>
      <c r="H95" t="s">
        <v>1982</v>
      </c>
      <c r="I95" t="str">
        <f ca="1">IF(AND(Inventory[Category]= "BEER", Inventory[[#This Row],[Price]]&lt;20),TODAY()+30, "")</f>
        <v/>
      </c>
      <c r="AJ95">
        <v>63142</v>
      </c>
      <c r="AK95" s="30">
        <v>41821</v>
      </c>
      <c r="AL95" t="s">
        <v>914</v>
      </c>
      <c r="AM95">
        <v>94</v>
      </c>
      <c r="AN95" t="str">
        <f>VLOOKUP(Transaction[[#This Row],[Model No.]],$AV$2:$BD$100,2,TRUE)</f>
        <v>Freixenet Blanc de Blancs Brut Cava Blend</v>
      </c>
      <c r="AO95" s="21">
        <f>VLOOKUP(Transaction[[#This Row],[Model No.]],$AV$2:$BD$100,6,TRUE)</f>
        <v>7.49</v>
      </c>
      <c r="AP95" s="9">
        <v>4</v>
      </c>
      <c r="AQ95" s="5">
        <f>Transaction[[#This Row],[Price]]*Transaction[[#This Row],[Qty]]</f>
        <v>29.96</v>
      </c>
      <c r="AR95" s="5">
        <f>VLOOKUP(Transaction[[#This Row],[Model No.]],$AV$2:$BD$100,7,TRUE)*Transaction[[#This Row],[Qty]]</f>
        <v>2.9960000000000004</v>
      </c>
      <c r="AS95">
        <v>1106</v>
      </c>
      <c r="AT95">
        <v>1021</v>
      </c>
      <c r="AV95">
        <v>93</v>
      </c>
      <c r="AW95" s="11" t="s">
        <v>193</v>
      </c>
      <c r="AX95" t="s">
        <v>87</v>
      </c>
      <c r="AY95" t="s">
        <v>70</v>
      </c>
      <c r="AZ95">
        <v>24</v>
      </c>
      <c r="BA95" s="5">
        <v>7.49</v>
      </c>
      <c r="BB95" s="5">
        <f>VLOOKUP(Inventory11[[#This Row],[Category]],$K$2:$L$23,2,TRUE)*Inventory11[[#This Row],[Price]]</f>
        <v>0.74900000000000011</v>
      </c>
      <c r="BC95" t="s">
        <v>1982</v>
      </c>
      <c r="BD95" t="str">
        <f ca="1">IF(AND(Inventory11[Category]= "BEER", Inventory11[[#This Row],[Price]]&lt;20),TODAY()+30, "")</f>
        <v/>
      </c>
    </row>
    <row r="96" spans="1:56" x14ac:dyDescent="0.3">
      <c r="A96" s="11" t="s">
        <v>93</v>
      </c>
      <c r="B96">
        <v>94</v>
      </c>
      <c r="C96" t="s">
        <v>92</v>
      </c>
      <c r="D96" t="s">
        <v>70</v>
      </c>
      <c r="E96">
        <v>97</v>
      </c>
      <c r="F96" s="5">
        <v>7.49</v>
      </c>
      <c r="G96" s="5">
        <f>VLOOKUP(Inventory[[#This Row],[Category]],$K$2:$L$23,2,TRUE)*Inventory[[#This Row],[Price]]</f>
        <v>0.74900000000000011</v>
      </c>
      <c r="H96" t="s">
        <v>1982</v>
      </c>
      <c r="I96" t="str">
        <f ca="1">IF(AND(Inventory[Category]= "BEER", Inventory[[#This Row],[Price]]&lt;20),TODAY()+30, "")</f>
        <v/>
      </c>
      <c r="AJ96">
        <v>29920</v>
      </c>
      <c r="AK96" s="30">
        <v>41823</v>
      </c>
      <c r="AL96" t="s">
        <v>1041</v>
      </c>
      <c r="AM96">
        <v>27</v>
      </c>
      <c r="AN96" t="str">
        <f>VLOOKUP(Transaction[[#This Row],[Model No.]],$AV$2:$BD$100,2,TRUE)</f>
        <v>Prairie Organic Gin</v>
      </c>
      <c r="AO96" s="21">
        <f>VLOOKUP(Transaction[[#This Row],[Model No.]],$AV$2:$BD$100,6,TRUE)</f>
        <v>23.99</v>
      </c>
      <c r="AP96" s="9">
        <v>4</v>
      </c>
      <c r="AQ96" s="5">
        <f>Transaction[[#This Row],[Price]]*Transaction[[#This Row],[Qty]]</f>
        <v>95.96</v>
      </c>
      <c r="AR96" s="5">
        <f>VLOOKUP(Transaction[[#This Row],[Model No.]],$AV$2:$BD$100,7,TRUE)*Transaction[[#This Row],[Qty]]</f>
        <v>38.384</v>
      </c>
      <c r="AS96">
        <v>1108</v>
      </c>
      <c r="AT96">
        <v>1010</v>
      </c>
      <c r="AV96">
        <v>94</v>
      </c>
      <c r="AW96" s="11" t="s">
        <v>93</v>
      </c>
      <c r="AX96" t="s">
        <v>92</v>
      </c>
      <c r="AY96" t="s">
        <v>70</v>
      </c>
      <c r="AZ96">
        <v>97</v>
      </c>
      <c r="BA96" s="5">
        <v>7.49</v>
      </c>
      <c r="BB96" s="5">
        <f>VLOOKUP(Inventory11[[#This Row],[Category]],$K$2:$L$23,2,TRUE)*Inventory11[[#This Row],[Price]]</f>
        <v>0.74900000000000011</v>
      </c>
      <c r="BC96" t="s">
        <v>1982</v>
      </c>
      <c r="BD96" t="str">
        <f ca="1">IF(AND(Inventory11[Category]= "BEER", Inventory11[[#This Row],[Price]]&lt;20),TODAY()+30, "")</f>
        <v/>
      </c>
    </row>
    <row r="97" spans="1:56" x14ac:dyDescent="0.3">
      <c r="A97" s="11" t="s">
        <v>190</v>
      </c>
      <c r="B97">
        <v>95</v>
      </c>
      <c r="C97" t="s">
        <v>78</v>
      </c>
      <c r="D97" t="s">
        <v>191</v>
      </c>
      <c r="E97">
        <v>85</v>
      </c>
      <c r="F97" s="5">
        <v>7.49</v>
      </c>
      <c r="G97" s="5">
        <f>VLOOKUP(Inventory[[#This Row],[Category]],$K$2:$L$23,2,TRUE)*Inventory[[#This Row],[Price]]</f>
        <v>0.74900000000000011</v>
      </c>
      <c r="H97" t="s">
        <v>1982</v>
      </c>
      <c r="I97" t="str">
        <f ca="1">IF(AND(Inventory[Category]= "BEER", Inventory[[#This Row],[Price]]&lt;20),TODAY()+30, "")</f>
        <v/>
      </c>
      <c r="AJ97">
        <v>53333</v>
      </c>
      <c r="AK97" s="30">
        <v>41823</v>
      </c>
      <c r="AL97" t="s">
        <v>1591</v>
      </c>
      <c r="AM97">
        <v>85</v>
      </c>
      <c r="AN97" t="str">
        <f>VLOOKUP(Transaction[[#This Row],[Model No.]],$AV$2:$BD$100,2,TRUE)</f>
        <v>Shiner Sea Salt &amp; Lime - 6 Pack</v>
      </c>
      <c r="AO97" s="21">
        <f>VLOOKUP(Transaction[[#This Row],[Model No.]],$AV$2:$BD$100,6,TRUE)</f>
        <v>9.99</v>
      </c>
      <c r="AP97" s="9">
        <v>4</v>
      </c>
      <c r="AQ97" s="5">
        <f>Transaction[[#This Row],[Price]]*Transaction[[#This Row],[Qty]]</f>
        <v>39.96</v>
      </c>
      <c r="AR97" s="5">
        <f>VLOOKUP(Transaction[[#This Row],[Model No.]],$AV$2:$BD$100,7,TRUE)*Transaction[[#This Row],[Qty]]</f>
        <v>11.988</v>
      </c>
      <c r="AS97">
        <v>1104</v>
      </c>
      <c r="AT97">
        <v>1005</v>
      </c>
      <c r="AV97">
        <v>95</v>
      </c>
      <c r="AW97" s="11" t="s">
        <v>190</v>
      </c>
      <c r="AX97" t="s">
        <v>78</v>
      </c>
      <c r="AY97" t="s">
        <v>191</v>
      </c>
      <c r="AZ97">
        <v>85</v>
      </c>
      <c r="BA97" s="5">
        <v>7.49</v>
      </c>
      <c r="BB97" s="5">
        <f>VLOOKUP(Inventory11[[#This Row],[Category]],$K$2:$L$23,2,TRUE)*Inventory11[[#This Row],[Price]]</f>
        <v>0.74900000000000011</v>
      </c>
      <c r="BC97" t="s">
        <v>1982</v>
      </c>
      <c r="BD97" t="str">
        <f ca="1">IF(AND(Inventory11[Category]= "BEER", Inventory11[[#This Row],[Price]]&lt;20),TODAY()+30, "")</f>
        <v/>
      </c>
    </row>
    <row r="98" spans="1:56" x14ac:dyDescent="0.3">
      <c r="A98" s="11" t="s">
        <v>164</v>
      </c>
      <c r="B98">
        <v>96</v>
      </c>
      <c r="C98" t="s">
        <v>140</v>
      </c>
      <c r="D98" t="s">
        <v>70</v>
      </c>
      <c r="E98">
        <v>69</v>
      </c>
      <c r="F98" s="5">
        <v>6.19</v>
      </c>
      <c r="G98" s="5">
        <f>VLOOKUP(Inventory[[#This Row],[Category]],$K$2:$L$23,2,TRUE)*Inventory[[#This Row],[Price]]</f>
        <v>0.61900000000000011</v>
      </c>
      <c r="H98" t="s">
        <v>1982</v>
      </c>
      <c r="I98" t="str">
        <f ca="1">IF(AND(Inventory[Category]= "BEER", Inventory[[#This Row],[Price]]&lt;20),TODAY()+30, "")</f>
        <v/>
      </c>
      <c r="AJ98">
        <v>56504</v>
      </c>
      <c r="AK98" s="30">
        <v>41825</v>
      </c>
      <c r="AL98" t="s">
        <v>1059</v>
      </c>
      <c r="AM98">
        <v>80</v>
      </c>
      <c r="AN98" t="str">
        <f>VLOOKUP(Transaction[[#This Row],[Model No.]],$AV$2:$BD$100,2,TRUE)</f>
        <v>Evolution Craft Stalker Hefeweizen - 6 Pack</v>
      </c>
      <c r="AO98" s="21">
        <f>VLOOKUP(Transaction[[#This Row],[Model No.]],$AV$2:$BD$100,6,TRUE)</f>
        <v>10.99</v>
      </c>
      <c r="AP98" s="9">
        <v>4</v>
      </c>
      <c r="AQ98" s="5">
        <f>Transaction[[#This Row],[Price]]*Transaction[[#This Row],[Qty]]</f>
        <v>43.96</v>
      </c>
      <c r="AR98" s="5">
        <f>VLOOKUP(Transaction[[#This Row],[Model No.]],$AV$2:$BD$100,7,TRUE)*Transaction[[#This Row],[Qty]]</f>
        <v>13.188000000000001</v>
      </c>
      <c r="AS98">
        <v>1098</v>
      </c>
      <c r="AT98">
        <v>1019</v>
      </c>
      <c r="AV98">
        <v>96</v>
      </c>
      <c r="AW98" s="11" t="s">
        <v>164</v>
      </c>
      <c r="AX98" t="s">
        <v>140</v>
      </c>
      <c r="AY98" t="s">
        <v>70</v>
      </c>
      <c r="AZ98">
        <v>69</v>
      </c>
      <c r="BA98" s="5">
        <v>6.19</v>
      </c>
      <c r="BB98" s="5">
        <f>VLOOKUP(Inventory11[[#This Row],[Category]],$K$2:$L$23,2,TRUE)*Inventory11[[#This Row],[Price]]</f>
        <v>0.61900000000000011</v>
      </c>
      <c r="BC98" t="s">
        <v>1982</v>
      </c>
      <c r="BD98" t="str">
        <f ca="1">IF(AND(Inventory11[Category]= "BEER", Inventory11[[#This Row],[Price]]&lt;20),TODAY()+30, "")</f>
        <v/>
      </c>
    </row>
    <row r="99" spans="1:56" x14ac:dyDescent="0.3">
      <c r="A99" s="11" t="s">
        <v>185</v>
      </c>
      <c r="B99">
        <v>97</v>
      </c>
      <c r="C99" t="s">
        <v>87</v>
      </c>
      <c r="D99" t="s">
        <v>70</v>
      </c>
      <c r="E99">
        <v>54</v>
      </c>
      <c r="F99" s="5">
        <v>5.99</v>
      </c>
      <c r="G99" s="5">
        <f>VLOOKUP(Inventory[[#This Row],[Category]],$K$2:$L$23,2,TRUE)*Inventory[[#This Row],[Price]]</f>
        <v>0.59900000000000009</v>
      </c>
      <c r="H99" t="s">
        <v>1982</v>
      </c>
      <c r="I99" t="str">
        <f ca="1">IF(AND(Inventory[Category]= "BEER", Inventory[[#This Row],[Price]]&lt;20),TODAY()+30, "")</f>
        <v/>
      </c>
      <c r="AJ99">
        <v>84471</v>
      </c>
      <c r="AK99" s="30">
        <v>41828</v>
      </c>
      <c r="AL99" t="s">
        <v>1073</v>
      </c>
      <c r="AM99">
        <v>9</v>
      </c>
      <c r="AN99" t="str">
        <f>VLOOKUP(Transaction[[#This Row],[Model No.]],$AV$2:$BD$100,2,TRUE)</f>
        <v>Ass Kisser Double IPA - 12 Pack</v>
      </c>
      <c r="AO99" s="21">
        <f>VLOOKUP(Transaction[[#This Row],[Model No.]],$AV$2:$BD$100,6,TRUE)</f>
        <v>43.99</v>
      </c>
      <c r="AP99" s="9">
        <v>2</v>
      </c>
      <c r="AQ99" s="5">
        <f>Transaction[[#This Row],[Price]]*Transaction[[#This Row],[Qty]]</f>
        <v>87.98</v>
      </c>
      <c r="AR99" s="5">
        <f>VLOOKUP(Transaction[[#This Row],[Model No.]],$AV$2:$BD$100,7,TRUE)*Transaction[[#This Row],[Qty]]</f>
        <v>26.394000000000002</v>
      </c>
      <c r="AS99">
        <v>1102</v>
      </c>
      <c r="AT99">
        <v>1008</v>
      </c>
      <c r="AV99">
        <v>97</v>
      </c>
      <c r="AW99" s="11" t="s">
        <v>185</v>
      </c>
      <c r="AX99" t="s">
        <v>87</v>
      </c>
      <c r="AY99" t="s">
        <v>70</v>
      </c>
      <c r="AZ99">
        <v>54</v>
      </c>
      <c r="BA99" s="5">
        <v>5.99</v>
      </c>
      <c r="BB99" s="5">
        <f>VLOOKUP(Inventory11[[#This Row],[Category]],$K$2:$L$23,2,TRUE)*Inventory11[[#This Row],[Price]]</f>
        <v>0.59900000000000009</v>
      </c>
      <c r="BC99" t="s">
        <v>1982</v>
      </c>
      <c r="BD99" t="str">
        <f ca="1">IF(AND(Inventory11[Category]= "BEER", Inventory11[[#This Row],[Price]]&lt;20),TODAY()+30, "")</f>
        <v/>
      </c>
    </row>
    <row r="100" spans="1:56" x14ac:dyDescent="0.3">
      <c r="A100" s="11" t="s">
        <v>195</v>
      </c>
      <c r="B100">
        <v>98</v>
      </c>
      <c r="C100" t="s">
        <v>74</v>
      </c>
      <c r="D100" t="s">
        <v>161</v>
      </c>
      <c r="E100">
        <v>69</v>
      </c>
      <c r="F100" s="5">
        <v>5.99</v>
      </c>
      <c r="G100" s="5">
        <f>VLOOKUP(Inventory[[#This Row],[Category]],$K$2:$L$23,2,TRUE)*Inventory[[#This Row],[Price]]</f>
        <v>1.7969999999999999</v>
      </c>
      <c r="H100">
        <v>4.7920000000000007</v>
      </c>
      <c r="I100">
        <f ca="1">IF(AND(Inventory[Category]= "BEER", Inventory[[#This Row],[Price]]&lt;20),TODAY()+30, "")</f>
        <v>43646</v>
      </c>
      <c r="AJ100">
        <v>78700</v>
      </c>
      <c r="AK100" s="30">
        <v>41829</v>
      </c>
      <c r="AL100" t="s">
        <v>1096</v>
      </c>
      <c r="AM100">
        <v>86</v>
      </c>
      <c r="AN100" t="str">
        <f>VLOOKUP(Transaction[[#This Row],[Model No.]],$AV$2:$BD$100,2,TRUE)</f>
        <v>Bully Hill Vineyards Love My Goat Baco Noir</v>
      </c>
      <c r="AO100" s="21">
        <f>VLOOKUP(Transaction[[#This Row],[Model No.]],$AV$2:$BD$100,6,TRUE)</f>
        <v>9.49</v>
      </c>
      <c r="AP100" s="9">
        <v>2</v>
      </c>
      <c r="AQ100" s="5">
        <f>Transaction[[#This Row],[Price]]*Transaction[[#This Row],[Qty]]</f>
        <v>18.98</v>
      </c>
      <c r="AR100" s="5">
        <f>VLOOKUP(Transaction[[#This Row],[Model No.]],$AV$2:$BD$100,7,TRUE)*Transaction[[#This Row],[Qty]]</f>
        <v>1.8980000000000001</v>
      </c>
      <c r="AS100">
        <v>1105</v>
      </c>
      <c r="AT100">
        <v>1021</v>
      </c>
      <c r="AV100">
        <v>98</v>
      </c>
      <c r="AW100" s="11" t="s">
        <v>195</v>
      </c>
      <c r="AX100" t="s">
        <v>74</v>
      </c>
      <c r="AY100" t="s">
        <v>161</v>
      </c>
      <c r="AZ100">
        <v>69</v>
      </c>
      <c r="BA100" s="5">
        <v>5.99</v>
      </c>
      <c r="BB100" s="5">
        <f>VLOOKUP(Inventory11[[#This Row],[Category]],$K$2:$L$23,2,TRUE)*Inventory11[[#This Row],[Price]]</f>
        <v>1.7969999999999999</v>
      </c>
      <c r="BC100">
        <v>4.7920000000000007</v>
      </c>
      <c r="BD100">
        <f ca="1">IF(AND(Inventory11[Category]= "BEER", Inventory11[[#This Row],[Price]]&lt;20),TODAY()+30, "")</f>
        <v>43646</v>
      </c>
    </row>
    <row r="101" spans="1:56" x14ac:dyDescent="0.3">
      <c r="AJ101">
        <v>16425</v>
      </c>
      <c r="AK101" s="30">
        <v>41830</v>
      </c>
      <c r="AL101" t="s">
        <v>1074</v>
      </c>
      <c r="AM101">
        <v>26</v>
      </c>
      <c r="AN101" t="str">
        <f>VLOOKUP(Transaction[[#This Row],[Model No.]],$AV$2:$BD$100,2,TRUE)</f>
        <v>Belhaven Scottish Stout - 4 Pack</v>
      </c>
      <c r="AO101" s="21">
        <f>VLOOKUP(Transaction[[#This Row],[Model No.]],$AV$2:$BD$100,6,TRUE)</f>
        <v>23.99</v>
      </c>
      <c r="AP101" s="9">
        <v>1</v>
      </c>
      <c r="AQ101" s="5">
        <f>Transaction[[#This Row],[Price]]*Transaction[[#This Row],[Qty]]</f>
        <v>23.99</v>
      </c>
      <c r="AR101" s="5">
        <f>VLOOKUP(Transaction[[#This Row],[Model No.]],$AV$2:$BD$100,7,TRUE)*Transaction[[#This Row],[Qty]]</f>
        <v>7.1969999999999992</v>
      </c>
      <c r="AS101">
        <v>1099</v>
      </c>
      <c r="AT101">
        <v>1008</v>
      </c>
    </row>
    <row r="102" spans="1:56" x14ac:dyDescent="0.3">
      <c r="AJ102">
        <v>86056</v>
      </c>
      <c r="AK102" s="30">
        <v>41831</v>
      </c>
      <c r="AL102" t="s">
        <v>342</v>
      </c>
      <c r="AM102">
        <v>94</v>
      </c>
      <c r="AN102" t="str">
        <f>VLOOKUP(Transaction[[#This Row],[Model No.]],$AV$2:$BD$100,2,TRUE)</f>
        <v>Freixenet Blanc de Blancs Brut Cava Blend</v>
      </c>
      <c r="AO102" s="21">
        <f>VLOOKUP(Transaction[[#This Row],[Model No.]],$AV$2:$BD$100,6,TRUE)</f>
        <v>7.49</v>
      </c>
      <c r="AP102" s="9">
        <v>1</v>
      </c>
      <c r="AQ102" s="5">
        <f>Transaction[[#This Row],[Price]]*Transaction[[#This Row],[Qty]]</f>
        <v>7.49</v>
      </c>
      <c r="AR102" s="5">
        <f>VLOOKUP(Transaction[[#This Row],[Model No.]],$AV$2:$BD$100,7,TRUE)*Transaction[[#This Row],[Qty]]</f>
        <v>0.74900000000000011</v>
      </c>
      <c r="AS102">
        <v>1103</v>
      </c>
      <c r="AT102">
        <v>1000</v>
      </c>
    </row>
    <row r="103" spans="1:56" x14ac:dyDescent="0.3">
      <c r="AJ103">
        <v>15305</v>
      </c>
      <c r="AK103" s="30">
        <v>41832</v>
      </c>
      <c r="AL103" t="s">
        <v>1557</v>
      </c>
      <c r="AM103">
        <v>82</v>
      </c>
      <c r="AN103" t="str">
        <f>VLOOKUP(Transaction[[#This Row],[Model No.]],$AV$2:$BD$100,2,TRUE)</f>
        <v>PInnacle Chocolate Whipped Vodka</v>
      </c>
      <c r="AO103" s="21">
        <f>VLOOKUP(Transaction[[#This Row],[Model No.]],$AV$2:$BD$100,6,TRUE)</f>
        <v>10.99</v>
      </c>
      <c r="AP103" s="9">
        <v>3</v>
      </c>
      <c r="AQ103" s="5">
        <f>Transaction[[#This Row],[Price]]*Transaction[[#This Row],[Qty]]</f>
        <v>32.97</v>
      </c>
      <c r="AR103" s="5">
        <f>VLOOKUP(Transaction[[#This Row],[Model No.]],$AV$2:$BD$100,7,TRUE)*Transaction[[#This Row],[Qty]]</f>
        <v>9.891</v>
      </c>
      <c r="AS103">
        <v>1105</v>
      </c>
      <c r="AT103">
        <v>1017</v>
      </c>
    </row>
    <row r="104" spans="1:56" x14ac:dyDescent="0.3">
      <c r="AJ104">
        <v>89354</v>
      </c>
      <c r="AK104" s="30">
        <v>41834</v>
      </c>
      <c r="AL104" t="s">
        <v>1578</v>
      </c>
      <c r="AM104">
        <v>97</v>
      </c>
      <c r="AN104" t="str">
        <f>VLOOKUP(Transaction[[#This Row],[Model No.]],$AV$2:$BD$100,2,TRUE)</f>
        <v>Sea Ridge Cabernet Sauvignon</v>
      </c>
      <c r="AO104" s="21">
        <f>VLOOKUP(Transaction[[#This Row],[Model No.]],$AV$2:$BD$100,6,TRUE)</f>
        <v>5.99</v>
      </c>
      <c r="AP104" s="9">
        <v>2</v>
      </c>
      <c r="AQ104" s="5">
        <f>Transaction[[#This Row],[Price]]*Transaction[[#This Row],[Qty]]</f>
        <v>11.98</v>
      </c>
      <c r="AR104" s="5">
        <f>VLOOKUP(Transaction[[#This Row],[Model No.]],$AV$2:$BD$100,7,TRUE)*Transaction[[#This Row],[Qty]]</f>
        <v>1.1980000000000002</v>
      </c>
      <c r="AS104">
        <v>1105</v>
      </c>
      <c r="AT104">
        <v>1014</v>
      </c>
    </row>
    <row r="105" spans="1:56" x14ac:dyDescent="0.3">
      <c r="AJ105">
        <v>89798</v>
      </c>
      <c r="AK105" s="30">
        <v>41835</v>
      </c>
      <c r="AL105" t="s">
        <v>382</v>
      </c>
      <c r="AM105">
        <v>72</v>
      </c>
      <c r="AN105" t="str">
        <f>VLOOKUP(Transaction[[#This Row],[Model No.]],$AV$2:$BD$100,2,TRUE)</f>
        <v>Pearl Wedding Cake Vodka</v>
      </c>
      <c r="AO105" s="21">
        <f>VLOOKUP(Transaction[[#This Row],[Model No.]],$AV$2:$BD$100,6,TRUE)</f>
        <v>12.49</v>
      </c>
      <c r="AP105" s="9">
        <v>3</v>
      </c>
      <c r="AQ105" s="5">
        <f>Transaction[[#This Row],[Price]]*Transaction[[#This Row],[Qty]]</f>
        <v>37.47</v>
      </c>
      <c r="AR105" s="5">
        <f>VLOOKUP(Transaction[[#This Row],[Model No.]],$AV$2:$BD$100,7,TRUE)*Transaction[[#This Row],[Qty]]</f>
        <v>11.241</v>
      </c>
      <c r="AS105">
        <v>1103</v>
      </c>
      <c r="AT105">
        <v>1003</v>
      </c>
    </row>
    <row r="106" spans="1:56" x14ac:dyDescent="0.3">
      <c r="AJ106">
        <v>14349</v>
      </c>
      <c r="AK106" s="30">
        <v>41836</v>
      </c>
      <c r="AL106" t="s">
        <v>669</v>
      </c>
      <c r="AM106">
        <v>7</v>
      </c>
      <c r="AN106" t="str">
        <f>VLOOKUP(Transaction[[#This Row],[Model No.]],$AV$2:$BD$100,2,TRUE)</f>
        <v>Glenkinchie Distillers Edition Single Malt Scotch Whisky</v>
      </c>
      <c r="AO106" s="21">
        <f>VLOOKUP(Transaction[[#This Row],[Model No.]],$AV$2:$BD$100,6,TRUE)</f>
        <v>45.99</v>
      </c>
      <c r="AP106" s="9">
        <v>5</v>
      </c>
      <c r="AQ106" s="5">
        <f>Transaction[[#This Row],[Price]]*Transaction[[#This Row],[Qty]]</f>
        <v>229.95000000000002</v>
      </c>
      <c r="AR106" s="5">
        <f>VLOOKUP(Transaction[[#This Row],[Model No.]],$AV$2:$BD$100,7,TRUE)*Transaction[[#This Row],[Qty]]</f>
        <v>68.984999999999999</v>
      </c>
      <c r="AS106">
        <v>1100</v>
      </c>
      <c r="AT106">
        <v>1004</v>
      </c>
    </row>
    <row r="107" spans="1:56" x14ac:dyDescent="0.3">
      <c r="AJ107">
        <v>40198</v>
      </c>
      <c r="AK107" s="30">
        <v>41837</v>
      </c>
      <c r="AL107" t="s">
        <v>556</v>
      </c>
      <c r="AM107">
        <v>49</v>
      </c>
      <c r="AN107" t="str">
        <f>VLOOKUP(Transaction[[#This Row],[Model No.]],$AV$2:$BD$100,2,TRUE)</f>
        <v>Marchesi di Barolo Ruvei Barbera d'Alba</v>
      </c>
      <c r="AO107" s="21">
        <f>VLOOKUP(Transaction[[#This Row],[Model No.]],$AV$2:$BD$100,6,TRUE)</f>
        <v>15.99</v>
      </c>
      <c r="AP107" s="9">
        <v>5</v>
      </c>
      <c r="AQ107" s="5">
        <f>Transaction[[#This Row],[Price]]*Transaction[[#This Row],[Qty]]</f>
        <v>79.95</v>
      </c>
      <c r="AR107" s="5">
        <f>VLOOKUP(Transaction[[#This Row],[Model No.]],$AV$2:$BD$100,7,TRUE)*Transaction[[#This Row],[Qty]]</f>
        <v>7.995000000000001</v>
      </c>
      <c r="AS107">
        <v>1106</v>
      </c>
      <c r="AT107">
        <v>1010</v>
      </c>
    </row>
    <row r="108" spans="1:56" x14ac:dyDescent="0.3">
      <c r="AJ108">
        <v>10976</v>
      </c>
      <c r="AK108" s="30">
        <v>41837</v>
      </c>
      <c r="AL108" t="s">
        <v>1515</v>
      </c>
      <c r="AM108">
        <v>67</v>
      </c>
      <c r="AN108" t="str">
        <f>VLOOKUP(Transaction[[#This Row],[Model No.]],$AV$2:$BD$100,2,TRUE)</f>
        <v>Oh Be Joyful Sweet Deutscher Qualitatswein Dornfelder</v>
      </c>
      <c r="AO108" s="21">
        <f>VLOOKUP(Transaction[[#This Row],[Model No.]],$AV$2:$BD$100,6,TRUE)</f>
        <v>12.99</v>
      </c>
      <c r="AP108" s="9">
        <v>1</v>
      </c>
      <c r="AQ108" s="5">
        <f>Transaction[[#This Row],[Price]]*Transaction[[#This Row],[Qty]]</f>
        <v>12.99</v>
      </c>
      <c r="AR108" s="5">
        <f>VLOOKUP(Transaction[[#This Row],[Model No.]],$AV$2:$BD$100,7,TRUE)*Transaction[[#This Row],[Qty]]</f>
        <v>5.1960000000000006</v>
      </c>
      <c r="AS108">
        <v>1107</v>
      </c>
      <c r="AT108">
        <v>1003</v>
      </c>
    </row>
    <row r="109" spans="1:56" x14ac:dyDescent="0.3">
      <c r="AJ109">
        <v>40804</v>
      </c>
      <c r="AK109" s="30">
        <v>41837</v>
      </c>
      <c r="AL109" t="s">
        <v>968</v>
      </c>
      <c r="AM109">
        <v>76</v>
      </c>
      <c r="AN109" t="str">
        <f>VLOOKUP(Transaction[[#This Row],[Model No.]],$AV$2:$BD$100,2,TRUE)</f>
        <v>Lagunitas Super Cluster Can - 6 Pack</v>
      </c>
      <c r="AO109" s="21">
        <f>VLOOKUP(Transaction[[#This Row],[Model No.]],$AV$2:$BD$100,6,TRUE)</f>
        <v>11.99</v>
      </c>
      <c r="AP109" s="9">
        <v>3</v>
      </c>
      <c r="AQ109" s="5">
        <f>Transaction[[#This Row],[Price]]*Transaction[[#This Row],[Qty]]</f>
        <v>35.97</v>
      </c>
      <c r="AR109" s="5">
        <f>VLOOKUP(Transaction[[#This Row],[Model No.]],$AV$2:$BD$100,7,TRUE)*Transaction[[#This Row],[Qty]]</f>
        <v>10.791</v>
      </c>
      <c r="AS109">
        <v>1104</v>
      </c>
      <c r="AT109">
        <v>1004</v>
      </c>
    </row>
    <row r="110" spans="1:56" x14ac:dyDescent="0.3">
      <c r="AJ110">
        <v>59323</v>
      </c>
      <c r="AK110" s="30">
        <v>41838</v>
      </c>
      <c r="AL110" t="s">
        <v>1772</v>
      </c>
      <c r="AM110">
        <v>14</v>
      </c>
      <c r="AN110" t="str">
        <f>VLOOKUP(Transaction[[#This Row],[Model No.]],$AV$2:$BD$100,2,TRUE)</f>
        <v>Walter Hansel Winery The Estate Vineyards Chardonnay</v>
      </c>
      <c r="AO110" s="21">
        <f>VLOOKUP(Transaction[[#This Row],[Model No.]],$AV$2:$BD$100,6,TRUE)</f>
        <v>34.99</v>
      </c>
      <c r="AP110" s="9">
        <v>3</v>
      </c>
      <c r="AQ110" s="5">
        <f>Transaction[[#This Row],[Price]]*Transaction[[#This Row],[Qty]]</f>
        <v>104.97</v>
      </c>
      <c r="AR110" s="5">
        <f>VLOOKUP(Transaction[[#This Row],[Model No.]],$AV$2:$BD$100,7,TRUE)*Transaction[[#This Row],[Qty]]</f>
        <v>20.994000000000003</v>
      </c>
      <c r="AS110">
        <v>1098</v>
      </c>
      <c r="AT110">
        <v>1007</v>
      </c>
    </row>
    <row r="111" spans="1:56" x14ac:dyDescent="0.3">
      <c r="AJ111">
        <v>79740</v>
      </c>
      <c r="AK111" s="30">
        <v>41841</v>
      </c>
      <c r="AL111" t="s">
        <v>913</v>
      </c>
      <c r="AM111">
        <v>35</v>
      </c>
      <c r="AN111" t="str">
        <f>VLOOKUP(Transaction[[#This Row],[Model No.]],$AV$2:$BD$100,2,TRUE)</f>
        <v>Troegenator Double Bock Can - 12 Pack</v>
      </c>
      <c r="AO111" s="21">
        <f>VLOOKUP(Transaction[[#This Row],[Model No.]],$AV$2:$BD$100,6,TRUE)</f>
        <v>20.99</v>
      </c>
      <c r="AP111" s="9">
        <v>5</v>
      </c>
      <c r="AQ111" s="5">
        <f>Transaction[[#This Row],[Price]]*Transaction[[#This Row],[Qty]]</f>
        <v>104.94999999999999</v>
      </c>
      <c r="AR111" s="5">
        <f>VLOOKUP(Transaction[[#This Row],[Model No.]],$AV$2:$BD$100,7,TRUE)*Transaction[[#This Row],[Qty]]</f>
        <v>31.484999999999999</v>
      </c>
      <c r="AS111">
        <v>1098</v>
      </c>
      <c r="AT111">
        <v>1005</v>
      </c>
    </row>
    <row r="112" spans="1:56" x14ac:dyDescent="0.3">
      <c r="AJ112">
        <v>40342</v>
      </c>
      <c r="AK112" s="30">
        <v>41842</v>
      </c>
      <c r="AL112" t="s">
        <v>1451</v>
      </c>
      <c r="AM112">
        <v>57</v>
      </c>
      <c r="AN112" t="str">
        <f>VLOOKUP(Transaction[[#This Row],[Model No.]],$AV$2:$BD$100,2,TRUE)</f>
        <v>Familia Dante Twelve Months Oak Aged Toscana IGT Sangiovese</v>
      </c>
      <c r="AO112" s="21">
        <f>VLOOKUP(Transaction[[#This Row],[Model No.]],$AV$2:$BD$100,6,TRUE)</f>
        <v>13.69</v>
      </c>
      <c r="AP112" s="9">
        <v>2</v>
      </c>
      <c r="AQ112" s="5">
        <f>Transaction[[#This Row],[Price]]*Transaction[[#This Row],[Qty]]</f>
        <v>27.38</v>
      </c>
      <c r="AR112" s="5">
        <f>VLOOKUP(Transaction[[#This Row],[Model No.]],$AV$2:$BD$100,7,TRUE)*Transaction[[#This Row],[Qty]]</f>
        <v>2.738</v>
      </c>
      <c r="AS112">
        <v>1101</v>
      </c>
      <c r="AT112">
        <v>1003</v>
      </c>
    </row>
    <row r="113" spans="36:46" x14ac:dyDescent="0.3">
      <c r="AJ113">
        <v>70445</v>
      </c>
      <c r="AK113" s="30">
        <v>41843</v>
      </c>
      <c r="AL113" t="s">
        <v>1696</v>
      </c>
      <c r="AM113">
        <v>74</v>
      </c>
      <c r="AN113" t="str">
        <f>VLOOKUP(Transaction[[#This Row],[Model No.]],$AV$2:$BD$100,2,TRUE)</f>
        <v>UINTA PALE ALE NR - 6 Pack</v>
      </c>
      <c r="AO113" s="21">
        <f>VLOOKUP(Transaction[[#This Row],[Model No.]],$AV$2:$BD$100,6,TRUE)</f>
        <v>11.99</v>
      </c>
      <c r="AP113" s="9">
        <v>4</v>
      </c>
      <c r="AQ113" s="5">
        <f>Transaction[[#This Row],[Price]]*Transaction[[#This Row],[Qty]]</f>
        <v>47.96</v>
      </c>
      <c r="AR113" s="5">
        <f>VLOOKUP(Transaction[[#This Row],[Model No.]],$AV$2:$BD$100,7,TRUE)*Transaction[[#This Row],[Qty]]</f>
        <v>14.388</v>
      </c>
      <c r="AS113">
        <v>1099</v>
      </c>
      <c r="AT113">
        <v>1006</v>
      </c>
    </row>
    <row r="114" spans="36:46" x14ac:dyDescent="0.3">
      <c r="AJ114">
        <v>87042</v>
      </c>
      <c r="AK114" s="30">
        <v>41846</v>
      </c>
      <c r="AL114" t="s">
        <v>597</v>
      </c>
      <c r="AM114">
        <v>14</v>
      </c>
      <c r="AN114" t="str">
        <f>VLOOKUP(Transaction[[#This Row],[Model No.]],$AV$2:$BD$100,2,TRUE)</f>
        <v>Walter Hansel Winery The Estate Vineyards Chardonnay</v>
      </c>
      <c r="AO114" s="21">
        <f>VLOOKUP(Transaction[[#This Row],[Model No.]],$AV$2:$BD$100,6,TRUE)</f>
        <v>34.99</v>
      </c>
      <c r="AP114" s="9">
        <v>2</v>
      </c>
      <c r="AQ114" s="5">
        <f>Transaction[[#This Row],[Price]]*Transaction[[#This Row],[Qty]]</f>
        <v>69.98</v>
      </c>
      <c r="AR114" s="5">
        <f>VLOOKUP(Transaction[[#This Row],[Model No.]],$AV$2:$BD$100,7,TRUE)*Transaction[[#This Row],[Qty]]</f>
        <v>13.996000000000002</v>
      </c>
      <c r="AS114">
        <v>1099</v>
      </c>
      <c r="AT114">
        <v>1001</v>
      </c>
    </row>
    <row r="115" spans="36:46" x14ac:dyDescent="0.3">
      <c r="AJ115">
        <v>76895</v>
      </c>
      <c r="AK115" s="30">
        <v>41847</v>
      </c>
      <c r="AL115" t="s">
        <v>1053</v>
      </c>
      <c r="AM115">
        <v>3</v>
      </c>
      <c r="AN115" t="str">
        <f>VLOOKUP(Transaction[[#This Row],[Model No.]],$AV$2:$BD$100,2,TRUE)</f>
        <v>Compass Box Orangerie Scotch Whisky</v>
      </c>
      <c r="AO115" s="21">
        <f>VLOOKUP(Transaction[[#This Row],[Model No.]],$AV$2:$BD$100,6,TRUE)</f>
        <v>56.99</v>
      </c>
      <c r="AP115" s="9">
        <v>4</v>
      </c>
      <c r="AQ115" s="5">
        <f>Transaction[[#This Row],[Price]]*Transaction[[#This Row],[Qty]]</f>
        <v>227.96</v>
      </c>
      <c r="AR115" s="5">
        <f>VLOOKUP(Transaction[[#This Row],[Model No.]],$AV$2:$BD$100,7,TRUE)*Transaction[[#This Row],[Qty]]</f>
        <v>68.388000000000005</v>
      </c>
      <c r="AS115">
        <v>1099</v>
      </c>
      <c r="AT115">
        <v>1020</v>
      </c>
    </row>
    <row r="116" spans="36:46" x14ac:dyDescent="0.3">
      <c r="AJ116">
        <v>96805</v>
      </c>
      <c r="AK116" s="30">
        <v>41847</v>
      </c>
      <c r="AL116" t="s">
        <v>729</v>
      </c>
      <c r="AM116">
        <v>98</v>
      </c>
      <c r="AN116" t="str">
        <f>VLOOKUP(Transaction[[#This Row],[Model No.]],$AV$2:$BD$100,2,TRUE)</f>
        <v>Wychwood Hobgoblin</v>
      </c>
      <c r="AO116" s="21">
        <f>VLOOKUP(Transaction[[#This Row],[Model No.]],$AV$2:$BD$100,6,TRUE)</f>
        <v>5.99</v>
      </c>
      <c r="AP116" s="9">
        <v>3</v>
      </c>
      <c r="AQ116" s="5">
        <f>Transaction[[#This Row],[Price]]*Transaction[[#This Row],[Qty]]</f>
        <v>17.97</v>
      </c>
      <c r="AR116" s="5">
        <f>VLOOKUP(Transaction[[#This Row],[Model No.]],$AV$2:$BD$100,7,TRUE)*Transaction[[#This Row],[Qty]]</f>
        <v>5.391</v>
      </c>
      <c r="AS116">
        <v>1106</v>
      </c>
      <c r="AT116">
        <v>1021</v>
      </c>
    </row>
    <row r="117" spans="36:46" x14ac:dyDescent="0.3">
      <c r="AJ117">
        <v>64234</v>
      </c>
      <c r="AK117" s="30">
        <v>41849</v>
      </c>
      <c r="AL117" t="s">
        <v>1697</v>
      </c>
      <c r="AM117">
        <v>14</v>
      </c>
      <c r="AN117" t="str">
        <f>VLOOKUP(Transaction[[#This Row],[Model No.]],$AV$2:$BD$100,2,TRUE)</f>
        <v>Walter Hansel Winery The Estate Vineyards Chardonnay</v>
      </c>
      <c r="AO117" s="21">
        <f>VLOOKUP(Transaction[[#This Row],[Model No.]],$AV$2:$BD$100,6,TRUE)</f>
        <v>34.99</v>
      </c>
      <c r="AP117" s="9">
        <v>2</v>
      </c>
      <c r="AQ117" s="5">
        <f>Transaction[[#This Row],[Price]]*Transaction[[#This Row],[Qty]]</f>
        <v>69.98</v>
      </c>
      <c r="AR117" s="5">
        <f>VLOOKUP(Transaction[[#This Row],[Model No.]],$AV$2:$BD$100,7,TRUE)*Transaction[[#This Row],[Qty]]</f>
        <v>13.996000000000002</v>
      </c>
      <c r="AS117">
        <v>1099</v>
      </c>
      <c r="AT117">
        <v>1007</v>
      </c>
    </row>
    <row r="118" spans="36:46" x14ac:dyDescent="0.3">
      <c r="AJ118">
        <v>96892</v>
      </c>
      <c r="AK118" s="30">
        <v>41851</v>
      </c>
      <c r="AL118" t="s">
        <v>1564</v>
      </c>
      <c r="AM118">
        <v>40</v>
      </c>
      <c r="AN118" t="str">
        <f>VLOOKUP(Transaction[[#This Row],[Model No.]],$AV$2:$BD$100,2,TRUE)</f>
        <v>Takara Can Chu Hi JPop Grapefruit - 6 Pack</v>
      </c>
      <c r="AO118" s="21">
        <f>VLOOKUP(Transaction[[#This Row],[Model No.]],$AV$2:$BD$100,6,TRUE)</f>
        <v>17.989999999999998</v>
      </c>
      <c r="AP118" s="9">
        <v>3</v>
      </c>
      <c r="AQ118" s="5">
        <f>Transaction[[#This Row],[Price]]*Transaction[[#This Row],[Qty]]</f>
        <v>53.97</v>
      </c>
      <c r="AR118" s="5">
        <f>VLOOKUP(Transaction[[#This Row],[Model No.]],$AV$2:$BD$100,7,TRUE)*Transaction[[#This Row],[Qty]]</f>
        <v>16.190999999999999</v>
      </c>
      <c r="AS118">
        <v>1100</v>
      </c>
      <c r="AT118">
        <v>1019</v>
      </c>
    </row>
    <row r="119" spans="36:46" x14ac:dyDescent="0.3">
      <c r="AJ119">
        <v>29727</v>
      </c>
      <c r="AK119" s="30">
        <v>41851</v>
      </c>
      <c r="AL119" t="s">
        <v>1894</v>
      </c>
      <c r="AM119">
        <v>60</v>
      </c>
      <c r="AN119" t="str">
        <f>VLOOKUP(Transaction[[#This Row],[Model No.]],$AV$2:$BD$100,2,TRUE)</f>
        <v>La Catrina Cabernet Sauvignon</v>
      </c>
      <c r="AO119" s="21">
        <f>VLOOKUP(Transaction[[#This Row],[Model No.]],$AV$2:$BD$100,6,TRUE)</f>
        <v>12.99</v>
      </c>
      <c r="AP119" s="9">
        <v>1</v>
      </c>
      <c r="AQ119" s="5">
        <f>Transaction[[#This Row],[Price]]*Transaction[[#This Row],[Qty]]</f>
        <v>12.99</v>
      </c>
      <c r="AR119" s="5">
        <f>VLOOKUP(Transaction[[#This Row],[Model No.]],$AV$2:$BD$100,7,TRUE)*Transaction[[#This Row],[Qty]]</f>
        <v>1.2990000000000002</v>
      </c>
      <c r="AS119">
        <v>1107</v>
      </c>
      <c r="AT119">
        <v>1017</v>
      </c>
    </row>
    <row r="120" spans="36:46" x14ac:dyDescent="0.3">
      <c r="AJ120">
        <v>24984</v>
      </c>
      <c r="AK120" s="30">
        <v>41854</v>
      </c>
      <c r="AL120" t="s">
        <v>429</v>
      </c>
      <c r="AM120">
        <v>34</v>
      </c>
      <c r="AN120" t="str">
        <f>VLOOKUP(Transaction[[#This Row],[Model No.]],$AV$2:$BD$100,2,TRUE)</f>
        <v>The Eyrie Vineyards Pinot Gris</v>
      </c>
      <c r="AO120" s="21">
        <f>VLOOKUP(Transaction[[#This Row],[Model No.]],$AV$2:$BD$100,6,TRUE)</f>
        <v>20.99</v>
      </c>
      <c r="AP120" s="9">
        <v>2</v>
      </c>
      <c r="AQ120" s="5">
        <f>Transaction[[#This Row],[Price]]*Transaction[[#This Row],[Qty]]</f>
        <v>41.98</v>
      </c>
      <c r="AR120" s="5">
        <f>VLOOKUP(Transaction[[#This Row],[Model No.]],$AV$2:$BD$100,7,TRUE)*Transaction[[#This Row],[Qty]]</f>
        <v>8.395999999999999</v>
      </c>
      <c r="AS120">
        <v>1100</v>
      </c>
      <c r="AT120">
        <v>1017</v>
      </c>
    </row>
    <row r="121" spans="36:46" x14ac:dyDescent="0.3">
      <c r="AJ121">
        <v>63883</v>
      </c>
      <c r="AK121" s="30">
        <v>41855</v>
      </c>
      <c r="AL121" t="s">
        <v>1459</v>
      </c>
      <c r="AM121">
        <v>40</v>
      </c>
      <c r="AN121" t="str">
        <f>VLOOKUP(Transaction[[#This Row],[Model No.]],$AV$2:$BD$100,2,TRUE)</f>
        <v>Takara Can Chu Hi JPop Grapefruit - 6 Pack</v>
      </c>
      <c r="AO121" s="21">
        <f>VLOOKUP(Transaction[[#This Row],[Model No.]],$AV$2:$BD$100,6,TRUE)</f>
        <v>17.989999999999998</v>
      </c>
      <c r="AP121" s="9">
        <v>3</v>
      </c>
      <c r="AQ121" s="5">
        <f>Transaction[[#This Row],[Price]]*Transaction[[#This Row],[Qty]]</f>
        <v>53.97</v>
      </c>
      <c r="AR121" s="5">
        <f>VLOOKUP(Transaction[[#This Row],[Model No.]],$AV$2:$BD$100,7,TRUE)*Transaction[[#This Row],[Qty]]</f>
        <v>16.190999999999999</v>
      </c>
      <c r="AS121">
        <v>1107</v>
      </c>
      <c r="AT121">
        <v>1012</v>
      </c>
    </row>
    <row r="122" spans="36:46" x14ac:dyDescent="0.3">
      <c r="AJ122">
        <v>48326</v>
      </c>
      <c r="AK122" s="30">
        <v>41856</v>
      </c>
      <c r="AL122" t="s">
        <v>1831</v>
      </c>
      <c r="AM122">
        <v>3</v>
      </c>
      <c r="AN122" t="str">
        <f>VLOOKUP(Transaction[[#This Row],[Model No.]],$AV$2:$BD$100,2,TRUE)</f>
        <v>Compass Box Orangerie Scotch Whisky</v>
      </c>
      <c r="AO122" s="21">
        <f>VLOOKUP(Transaction[[#This Row],[Model No.]],$AV$2:$BD$100,6,TRUE)</f>
        <v>56.99</v>
      </c>
      <c r="AP122" s="9">
        <v>1</v>
      </c>
      <c r="AQ122" s="5">
        <f>Transaction[[#This Row],[Price]]*Transaction[[#This Row],[Qty]]</f>
        <v>56.99</v>
      </c>
      <c r="AR122" s="5">
        <f>VLOOKUP(Transaction[[#This Row],[Model No.]],$AV$2:$BD$100,7,TRUE)*Transaction[[#This Row],[Qty]]</f>
        <v>17.097000000000001</v>
      </c>
      <c r="AS122">
        <v>1102</v>
      </c>
      <c r="AT122">
        <v>1005</v>
      </c>
    </row>
    <row r="123" spans="36:46" x14ac:dyDescent="0.3">
      <c r="AJ123">
        <v>81780</v>
      </c>
      <c r="AK123" s="30">
        <v>41857</v>
      </c>
      <c r="AL123" t="s">
        <v>1228</v>
      </c>
      <c r="AM123">
        <v>85</v>
      </c>
      <c r="AN123" t="str">
        <f>VLOOKUP(Transaction[[#This Row],[Model No.]],$AV$2:$BD$100,2,TRUE)</f>
        <v>Shiner Sea Salt &amp; Lime - 6 Pack</v>
      </c>
      <c r="AO123" s="21">
        <f>VLOOKUP(Transaction[[#This Row],[Model No.]],$AV$2:$BD$100,6,TRUE)</f>
        <v>9.99</v>
      </c>
      <c r="AP123" s="9">
        <v>3</v>
      </c>
      <c r="AQ123" s="5">
        <f>Transaction[[#This Row],[Price]]*Transaction[[#This Row],[Qty]]</f>
        <v>29.97</v>
      </c>
      <c r="AR123" s="5">
        <f>VLOOKUP(Transaction[[#This Row],[Model No.]],$AV$2:$BD$100,7,TRUE)*Transaction[[#This Row],[Qty]]</f>
        <v>8.9909999999999997</v>
      </c>
      <c r="AS123">
        <v>1106</v>
      </c>
      <c r="AT123">
        <v>1002</v>
      </c>
    </row>
    <row r="124" spans="36:46" x14ac:dyDescent="0.3">
      <c r="AJ124">
        <v>48248</v>
      </c>
      <c r="AK124" s="30">
        <v>41859</v>
      </c>
      <c r="AL124" t="s">
        <v>1741</v>
      </c>
      <c r="AM124">
        <v>35</v>
      </c>
      <c r="AN124" t="str">
        <f>VLOOKUP(Transaction[[#This Row],[Model No.]],$AV$2:$BD$100,2,TRUE)</f>
        <v>Troegenator Double Bock Can - 12 Pack</v>
      </c>
      <c r="AO124" s="21">
        <f>VLOOKUP(Transaction[[#This Row],[Model No.]],$AV$2:$BD$100,6,TRUE)</f>
        <v>20.99</v>
      </c>
      <c r="AP124" s="9">
        <v>2</v>
      </c>
      <c r="AQ124" s="5">
        <f>Transaction[[#This Row],[Price]]*Transaction[[#This Row],[Qty]]</f>
        <v>41.98</v>
      </c>
      <c r="AR124" s="5">
        <f>VLOOKUP(Transaction[[#This Row],[Model No.]],$AV$2:$BD$100,7,TRUE)*Transaction[[#This Row],[Qty]]</f>
        <v>12.593999999999999</v>
      </c>
      <c r="AS124">
        <v>1100</v>
      </c>
      <c r="AT124">
        <v>1012</v>
      </c>
    </row>
    <row r="125" spans="36:46" x14ac:dyDescent="0.3">
      <c r="AJ125">
        <v>26591</v>
      </c>
      <c r="AK125" s="30">
        <v>41860</v>
      </c>
      <c r="AL125" t="s">
        <v>716</v>
      </c>
      <c r="AM125">
        <v>24</v>
      </c>
      <c r="AN125" t="str">
        <f>VLOOKUP(Transaction[[#This Row],[Model No.]],$AV$2:$BD$100,2,TRUE)</f>
        <v>Matchbook The Arsonist Bordeaux Blend</v>
      </c>
      <c r="AO125" s="21">
        <f>VLOOKUP(Transaction[[#This Row],[Model No.]],$AV$2:$BD$100,6,TRUE)</f>
        <v>24.99</v>
      </c>
      <c r="AP125" s="9">
        <v>5</v>
      </c>
      <c r="AQ125" s="5">
        <f>Transaction[[#This Row],[Price]]*Transaction[[#This Row],[Qty]]</f>
        <v>124.94999999999999</v>
      </c>
      <c r="AR125" s="5">
        <f>VLOOKUP(Transaction[[#This Row],[Model No.]],$AV$2:$BD$100,7,TRUE)*Transaction[[#This Row],[Qty]]</f>
        <v>12.495000000000001</v>
      </c>
      <c r="AS125">
        <v>1101</v>
      </c>
      <c r="AT125">
        <v>1003</v>
      </c>
    </row>
    <row r="126" spans="36:46" x14ac:dyDescent="0.3">
      <c r="AJ126">
        <v>83444</v>
      </c>
      <c r="AK126" s="30">
        <v>41860</v>
      </c>
      <c r="AL126" t="s">
        <v>432</v>
      </c>
      <c r="AM126">
        <v>34</v>
      </c>
      <c r="AN126" t="str">
        <f>VLOOKUP(Transaction[[#This Row],[Model No.]],$AV$2:$BD$100,2,TRUE)</f>
        <v>The Eyrie Vineyards Pinot Gris</v>
      </c>
      <c r="AO126" s="21">
        <f>VLOOKUP(Transaction[[#This Row],[Model No.]],$AV$2:$BD$100,6,TRUE)</f>
        <v>20.99</v>
      </c>
      <c r="AP126" s="9">
        <v>5</v>
      </c>
      <c r="AQ126" s="5">
        <f>Transaction[[#This Row],[Price]]*Transaction[[#This Row],[Qty]]</f>
        <v>104.94999999999999</v>
      </c>
      <c r="AR126" s="5">
        <f>VLOOKUP(Transaction[[#This Row],[Model No.]],$AV$2:$BD$100,7,TRUE)*Transaction[[#This Row],[Qty]]</f>
        <v>20.99</v>
      </c>
      <c r="AS126">
        <v>1101</v>
      </c>
      <c r="AT126">
        <v>1000</v>
      </c>
    </row>
    <row r="127" spans="36:46" x14ac:dyDescent="0.3">
      <c r="AJ127">
        <v>37886</v>
      </c>
      <c r="AK127" s="30">
        <v>41862</v>
      </c>
      <c r="AL127" t="s">
        <v>392</v>
      </c>
      <c r="AM127">
        <v>49</v>
      </c>
      <c r="AN127" t="str">
        <f>VLOOKUP(Transaction[[#This Row],[Model No.]],$AV$2:$BD$100,2,TRUE)</f>
        <v>Marchesi di Barolo Ruvei Barbera d'Alba</v>
      </c>
      <c r="AO127" s="21">
        <f>VLOOKUP(Transaction[[#This Row],[Model No.]],$AV$2:$BD$100,6,TRUE)</f>
        <v>15.99</v>
      </c>
      <c r="AP127" s="9">
        <v>5</v>
      </c>
      <c r="AQ127" s="5">
        <f>Transaction[[#This Row],[Price]]*Transaction[[#This Row],[Qty]]</f>
        <v>79.95</v>
      </c>
      <c r="AR127" s="5">
        <f>VLOOKUP(Transaction[[#This Row],[Model No.]],$AV$2:$BD$100,7,TRUE)*Transaction[[#This Row],[Qty]]</f>
        <v>7.995000000000001</v>
      </c>
      <c r="AS127">
        <v>1099</v>
      </c>
      <c r="AT127">
        <v>1003</v>
      </c>
    </row>
    <row r="128" spans="36:46" x14ac:dyDescent="0.3">
      <c r="AJ128">
        <v>11917</v>
      </c>
      <c r="AK128" s="30">
        <v>41863</v>
      </c>
      <c r="AL128" t="s">
        <v>919</v>
      </c>
      <c r="AM128">
        <v>56</v>
      </c>
      <c r="AN128" t="str">
        <f>VLOOKUP(Transaction[[#This Row],[Model No.]],$AV$2:$BD$100,2,TRUE)</f>
        <v>Roy Pitz Sour Hound - 6 Pack</v>
      </c>
      <c r="AO128" s="21">
        <f>VLOOKUP(Transaction[[#This Row],[Model No.]],$AV$2:$BD$100,6,TRUE)</f>
        <v>13.99</v>
      </c>
      <c r="AP128" s="9">
        <v>3</v>
      </c>
      <c r="AQ128" s="5">
        <f>Transaction[[#This Row],[Price]]*Transaction[[#This Row],[Qty]]</f>
        <v>41.97</v>
      </c>
      <c r="AR128" s="5">
        <f>VLOOKUP(Transaction[[#This Row],[Model No.]],$AV$2:$BD$100,7,TRUE)*Transaction[[#This Row],[Qty]]</f>
        <v>12.591000000000001</v>
      </c>
      <c r="AS128">
        <v>1100</v>
      </c>
      <c r="AT128">
        <v>1011</v>
      </c>
    </row>
    <row r="129" spans="36:46" x14ac:dyDescent="0.3">
      <c r="AJ129">
        <v>66547</v>
      </c>
      <c r="AK129" s="30">
        <v>41863</v>
      </c>
      <c r="AL129" t="s">
        <v>560</v>
      </c>
      <c r="AM129">
        <v>94</v>
      </c>
      <c r="AN129" t="str">
        <f>VLOOKUP(Transaction[[#This Row],[Model No.]],$AV$2:$BD$100,2,TRUE)</f>
        <v>Freixenet Blanc de Blancs Brut Cava Blend</v>
      </c>
      <c r="AO129" s="21">
        <f>VLOOKUP(Transaction[[#This Row],[Model No.]],$AV$2:$BD$100,6,TRUE)</f>
        <v>7.49</v>
      </c>
      <c r="AP129" s="9">
        <v>3</v>
      </c>
      <c r="AQ129" s="5">
        <f>Transaction[[#This Row],[Price]]*Transaction[[#This Row],[Qty]]</f>
        <v>22.47</v>
      </c>
      <c r="AR129" s="5">
        <f>VLOOKUP(Transaction[[#This Row],[Model No.]],$AV$2:$BD$100,7,TRUE)*Transaction[[#This Row],[Qty]]</f>
        <v>2.2470000000000003</v>
      </c>
      <c r="AS129">
        <v>1100</v>
      </c>
      <c r="AT129">
        <v>1020</v>
      </c>
    </row>
    <row r="130" spans="36:46" x14ac:dyDescent="0.3">
      <c r="AJ130">
        <v>30346</v>
      </c>
      <c r="AK130" s="30">
        <v>41864</v>
      </c>
      <c r="AL130" t="s">
        <v>1537</v>
      </c>
      <c r="AM130">
        <v>1</v>
      </c>
      <c r="AN130" t="str">
        <f>VLOOKUP(Transaction[[#This Row],[Model No.]],$AV$2:$BD$100,2,TRUE)</f>
        <v>Forager's Keep 26 Year Old Single Malt Scotch Whisky</v>
      </c>
      <c r="AO130" s="21">
        <f>VLOOKUP(Transaction[[#This Row],[Model No.]],$AV$2:$BD$100,6,TRUE)</f>
        <v>325.99</v>
      </c>
      <c r="AP130" s="9">
        <v>1</v>
      </c>
      <c r="AQ130" s="5">
        <f>Transaction[[#This Row],[Price]]*Transaction[[#This Row],[Qty]]</f>
        <v>325.99</v>
      </c>
      <c r="AR130" s="5">
        <f>VLOOKUP(Transaction[[#This Row],[Model No.]],$AV$2:$BD$100,7,TRUE)*Transaction[[#This Row],[Qty]]</f>
        <v>97.796999999999997</v>
      </c>
      <c r="AS130">
        <v>1098</v>
      </c>
      <c r="AT130">
        <v>1013</v>
      </c>
    </row>
    <row r="131" spans="36:46" x14ac:dyDescent="0.3">
      <c r="AJ131">
        <v>59159</v>
      </c>
      <c r="AK131" s="30">
        <v>41866</v>
      </c>
      <c r="AL131" t="s">
        <v>325</v>
      </c>
      <c r="AM131">
        <v>24</v>
      </c>
      <c r="AN131" t="str">
        <f>VLOOKUP(Transaction[[#This Row],[Model No.]],$AV$2:$BD$100,2,TRUE)</f>
        <v>Matchbook The Arsonist Bordeaux Blend</v>
      </c>
      <c r="AO131" s="21">
        <f>VLOOKUP(Transaction[[#This Row],[Model No.]],$AV$2:$BD$100,6,TRUE)</f>
        <v>24.99</v>
      </c>
      <c r="AP131" s="9">
        <v>4</v>
      </c>
      <c r="AQ131" s="5">
        <f>Transaction[[#This Row],[Price]]*Transaction[[#This Row],[Qty]]</f>
        <v>99.96</v>
      </c>
      <c r="AR131" s="5">
        <f>VLOOKUP(Transaction[[#This Row],[Model No.]],$AV$2:$BD$100,7,TRUE)*Transaction[[#This Row],[Qty]]</f>
        <v>9.9960000000000004</v>
      </c>
      <c r="AS131">
        <v>1102</v>
      </c>
      <c r="AT131">
        <v>1007</v>
      </c>
    </row>
    <row r="132" spans="36:46" x14ac:dyDescent="0.3">
      <c r="AJ132">
        <v>94617</v>
      </c>
      <c r="AK132" s="30">
        <v>41866</v>
      </c>
      <c r="AL132" t="s">
        <v>1575</v>
      </c>
      <c r="AM132">
        <v>92</v>
      </c>
      <c r="AN132" t="str">
        <f>VLOOKUP(Transaction[[#This Row],[Model No.]],$AV$2:$BD$100,2,TRUE)</f>
        <v>Four Seasons Collection Late Harvest White Moscato Dessert Muscat</v>
      </c>
      <c r="AO132" s="21">
        <f>VLOOKUP(Transaction[[#This Row],[Model No.]],$AV$2:$BD$100,6,TRUE)</f>
        <v>7.69</v>
      </c>
      <c r="AP132" s="9">
        <v>5</v>
      </c>
      <c r="AQ132" s="5">
        <f>Transaction[[#This Row],[Price]]*Transaction[[#This Row],[Qty]]</f>
        <v>38.450000000000003</v>
      </c>
      <c r="AR132" s="5">
        <f>VLOOKUP(Transaction[[#This Row],[Model No.]],$AV$2:$BD$100,7,TRUE)*Transaction[[#This Row],[Qty]]</f>
        <v>3.8450000000000006</v>
      </c>
      <c r="AS132">
        <v>1108</v>
      </c>
      <c r="AT132">
        <v>1013</v>
      </c>
    </row>
    <row r="133" spans="36:46" x14ac:dyDescent="0.3">
      <c r="AJ133">
        <v>23941</v>
      </c>
      <c r="AK133" s="30">
        <v>41867</v>
      </c>
      <c r="AL133" t="s">
        <v>1881</v>
      </c>
      <c r="AM133">
        <v>77</v>
      </c>
      <c r="AN133" t="str">
        <f>VLOOKUP(Transaction[[#This Row],[Model No.]],$AV$2:$BD$100,2,TRUE)</f>
        <v>LA CHASSE PRETIGE CDR</v>
      </c>
      <c r="AO133" s="21">
        <f>VLOOKUP(Transaction[[#This Row],[Model No.]],$AV$2:$BD$100,6,TRUE)</f>
        <v>11.99</v>
      </c>
      <c r="AP133" s="9">
        <v>1</v>
      </c>
      <c r="AQ133" s="5">
        <f>Transaction[[#This Row],[Price]]*Transaction[[#This Row],[Qty]]</f>
        <v>11.99</v>
      </c>
      <c r="AR133" s="5">
        <f>VLOOKUP(Transaction[[#This Row],[Model No.]],$AV$2:$BD$100,7,TRUE)*Transaction[[#This Row],[Qty]]</f>
        <v>4.7960000000000003</v>
      </c>
      <c r="AS133">
        <v>1102</v>
      </c>
      <c r="AT133">
        <v>1004</v>
      </c>
    </row>
    <row r="134" spans="36:46" x14ac:dyDescent="0.3">
      <c r="AJ134">
        <v>59909</v>
      </c>
      <c r="AK134" s="30">
        <v>41867</v>
      </c>
      <c r="AL134" t="s">
        <v>1263</v>
      </c>
      <c r="AM134">
        <v>81</v>
      </c>
      <c r="AN134" t="str">
        <f>VLOOKUP(Transaction[[#This Row],[Model No.]],$AV$2:$BD$100,2,TRUE)</f>
        <v>TerraNoble Reserva La Higuera Vineyard Carmenere</v>
      </c>
      <c r="AO134" s="21">
        <f>VLOOKUP(Transaction[[#This Row],[Model No.]],$AV$2:$BD$100,6,TRUE)</f>
        <v>10.99</v>
      </c>
      <c r="AP134" s="9">
        <v>2</v>
      </c>
      <c r="AQ134" s="5">
        <f>Transaction[[#This Row],[Price]]*Transaction[[#This Row],[Qty]]</f>
        <v>21.98</v>
      </c>
      <c r="AR134" s="5">
        <f>VLOOKUP(Transaction[[#This Row],[Model No.]],$AV$2:$BD$100,7,TRUE)*Transaction[[#This Row],[Qty]]</f>
        <v>6.5940000000000003</v>
      </c>
      <c r="AS134">
        <v>1106</v>
      </c>
      <c r="AT134">
        <v>1021</v>
      </c>
    </row>
    <row r="135" spans="36:46" x14ac:dyDescent="0.3">
      <c r="AJ135">
        <v>69678</v>
      </c>
      <c r="AK135" s="30">
        <v>41869</v>
      </c>
      <c r="AL135" t="s">
        <v>1027</v>
      </c>
      <c r="AM135">
        <v>57</v>
      </c>
      <c r="AN135" t="str">
        <f>VLOOKUP(Transaction[[#This Row],[Model No.]],$AV$2:$BD$100,2,TRUE)</f>
        <v>Familia Dante Twelve Months Oak Aged Toscana IGT Sangiovese</v>
      </c>
      <c r="AO135" s="21">
        <f>VLOOKUP(Transaction[[#This Row],[Model No.]],$AV$2:$BD$100,6,TRUE)</f>
        <v>13.69</v>
      </c>
      <c r="AP135" s="9">
        <v>5</v>
      </c>
      <c r="AQ135" s="5">
        <f>Transaction[[#This Row],[Price]]*Transaction[[#This Row],[Qty]]</f>
        <v>68.45</v>
      </c>
      <c r="AR135" s="5">
        <f>VLOOKUP(Transaction[[#This Row],[Model No.]],$AV$2:$BD$100,7,TRUE)*Transaction[[#This Row],[Qty]]</f>
        <v>6.8449999999999998</v>
      </c>
      <c r="AS135">
        <v>1108</v>
      </c>
      <c r="AT135">
        <v>1002</v>
      </c>
    </row>
    <row r="136" spans="36:46" x14ac:dyDescent="0.3">
      <c r="AJ136">
        <v>17813</v>
      </c>
      <c r="AK136" s="30">
        <v>41869</v>
      </c>
      <c r="AL136" t="s">
        <v>783</v>
      </c>
      <c r="AM136">
        <v>58</v>
      </c>
      <c r="AN136" t="str">
        <f>VLOOKUP(Transaction[[#This Row],[Model No.]],$AV$2:$BD$100,2,TRUE)</f>
        <v>Smirnoff Mango Vodka</v>
      </c>
      <c r="AO136" s="21">
        <f>VLOOKUP(Transaction[[#This Row],[Model No.]],$AV$2:$BD$100,6,TRUE)</f>
        <v>13.49</v>
      </c>
      <c r="AP136" s="9">
        <v>1</v>
      </c>
      <c r="AQ136" s="5">
        <f>Transaction[[#This Row],[Price]]*Transaction[[#This Row],[Qty]]</f>
        <v>13.49</v>
      </c>
      <c r="AR136" s="5">
        <f>VLOOKUP(Transaction[[#This Row],[Model No.]],$AV$2:$BD$100,7,TRUE)*Transaction[[#This Row],[Qty]]</f>
        <v>4.0469999999999997</v>
      </c>
      <c r="AS136">
        <v>1107</v>
      </c>
      <c r="AT136">
        <v>1017</v>
      </c>
    </row>
    <row r="137" spans="36:46" x14ac:dyDescent="0.3">
      <c r="AJ137">
        <v>14810</v>
      </c>
      <c r="AK137" s="30">
        <v>41870</v>
      </c>
      <c r="AL137" t="s">
        <v>763</v>
      </c>
      <c r="AM137">
        <v>36</v>
      </c>
      <c r="AN137" t="str">
        <f>VLOOKUP(Transaction[[#This Row],[Model No.]],$AV$2:$BD$100,2,TRUE)</f>
        <v>Patricius Reserve Dry Furmint</v>
      </c>
      <c r="AO137" s="21">
        <f>VLOOKUP(Transaction[[#This Row],[Model No.]],$AV$2:$BD$100,6,TRUE)</f>
        <v>20.99</v>
      </c>
      <c r="AP137" s="9">
        <v>3</v>
      </c>
      <c r="AQ137" s="5">
        <f>Transaction[[#This Row],[Price]]*Transaction[[#This Row],[Qty]]</f>
        <v>62.97</v>
      </c>
      <c r="AR137" s="5">
        <f>VLOOKUP(Transaction[[#This Row],[Model No.]],$AV$2:$BD$100,7,TRUE)*Transaction[[#This Row],[Qty]]</f>
        <v>6.2969999999999988</v>
      </c>
      <c r="AS137">
        <v>1105</v>
      </c>
      <c r="AT137">
        <v>1013</v>
      </c>
    </row>
    <row r="138" spans="36:46" x14ac:dyDescent="0.3">
      <c r="AJ138">
        <v>81563</v>
      </c>
      <c r="AK138" s="30">
        <v>41872</v>
      </c>
      <c r="AL138" t="s">
        <v>1830</v>
      </c>
      <c r="AM138">
        <v>29</v>
      </c>
      <c r="AN138" t="str">
        <f>VLOOKUP(Transaction[[#This Row],[Model No.]],$AV$2:$BD$100,2,TRUE)</f>
        <v>SCHLAFLY STOUT BOUT SAMPLER   2/12 - 12 Pack</v>
      </c>
      <c r="AO138" s="21">
        <f>VLOOKUP(Transaction[[#This Row],[Model No.]],$AV$2:$BD$100,6,TRUE)</f>
        <v>22.99</v>
      </c>
      <c r="AP138" s="9">
        <v>4</v>
      </c>
      <c r="AQ138" s="5">
        <f>Transaction[[#This Row],[Price]]*Transaction[[#This Row],[Qty]]</f>
        <v>91.96</v>
      </c>
      <c r="AR138" s="5">
        <f>VLOOKUP(Transaction[[#This Row],[Model No.]],$AV$2:$BD$100,7,TRUE)*Transaction[[#This Row],[Qty]]</f>
        <v>27.587999999999997</v>
      </c>
      <c r="AS138">
        <v>1103</v>
      </c>
      <c r="AT138">
        <v>1013</v>
      </c>
    </row>
    <row r="139" spans="36:46" x14ac:dyDescent="0.3">
      <c r="AJ139">
        <v>63239</v>
      </c>
      <c r="AK139" s="30">
        <v>41872</v>
      </c>
      <c r="AL139" t="s">
        <v>1621</v>
      </c>
      <c r="AM139">
        <v>31</v>
      </c>
      <c r="AN139" t="str">
        <f>VLOOKUP(Transaction[[#This Row],[Model No.]],$AV$2:$BD$100,2,TRUE)</f>
        <v>Gulden Draak 9000 Quadruple - 4 Pack</v>
      </c>
      <c r="AO139" s="21">
        <f>VLOOKUP(Transaction[[#This Row],[Model No.]],$AV$2:$BD$100,6,TRUE)</f>
        <v>21.99</v>
      </c>
      <c r="AP139" s="9">
        <v>5</v>
      </c>
      <c r="AQ139" s="5">
        <f>Transaction[[#This Row],[Price]]*Transaction[[#This Row],[Qty]]</f>
        <v>109.94999999999999</v>
      </c>
      <c r="AR139" s="5">
        <f>VLOOKUP(Transaction[[#This Row],[Model No.]],$AV$2:$BD$100,7,TRUE)*Transaction[[#This Row],[Qty]]</f>
        <v>32.984999999999999</v>
      </c>
      <c r="AS139">
        <v>1107</v>
      </c>
      <c r="AT139">
        <v>1017</v>
      </c>
    </row>
    <row r="140" spans="36:46" x14ac:dyDescent="0.3">
      <c r="AJ140">
        <v>39551</v>
      </c>
      <c r="AK140" s="30">
        <v>41872</v>
      </c>
      <c r="AL140" t="s">
        <v>1664</v>
      </c>
      <c r="AM140">
        <v>61</v>
      </c>
      <c r="AN140" t="str">
        <f>VLOOKUP(Transaction[[#This Row],[Model No.]],$AV$2:$BD$100,2,TRUE)</f>
        <v>He'Brew Genesis Dry Hopped Session Ale - 6 Pack</v>
      </c>
      <c r="AO140" s="21">
        <f>VLOOKUP(Transaction[[#This Row],[Model No.]],$AV$2:$BD$100,6,TRUE)</f>
        <v>12.99</v>
      </c>
      <c r="AP140" s="9">
        <v>3</v>
      </c>
      <c r="AQ140" s="5">
        <f>Transaction[[#This Row],[Price]]*Transaction[[#This Row],[Qty]]</f>
        <v>38.97</v>
      </c>
      <c r="AR140" s="5">
        <f>VLOOKUP(Transaction[[#This Row],[Model No.]],$AV$2:$BD$100,7,TRUE)*Transaction[[#This Row],[Qty]]</f>
        <v>11.690999999999999</v>
      </c>
      <c r="AS140">
        <v>1108</v>
      </c>
      <c r="AT140">
        <v>1004</v>
      </c>
    </row>
    <row r="141" spans="36:46" x14ac:dyDescent="0.3">
      <c r="AJ141">
        <v>19525</v>
      </c>
      <c r="AK141" s="30">
        <v>41874</v>
      </c>
      <c r="AL141" t="s">
        <v>836</v>
      </c>
      <c r="AM141">
        <v>77</v>
      </c>
      <c r="AN141" t="str">
        <f>VLOOKUP(Transaction[[#This Row],[Model No.]],$AV$2:$BD$100,2,TRUE)</f>
        <v>LA CHASSE PRETIGE CDR</v>
      </c>
      <c r="AO141" s="21">
        <f>VLOOKUP(Transaction[[#This Row],[Model No.]],$AV$2:$BD$100,6,TRUE)</f>
        <v>11.99</v>
      </c>
      <c r="AP141" s="9">
        <v>2</v>
      </c>
      <c r="AQ141" s="5">
        <f>Transaction[[#This Row],[Price]]*Transaction[[#This Row],[Qty]]</f>
        <v>23.98</v>
      </c>
      <c r="AR141" s="5">
        <f>VLOOKUP(Transaction[[#This Row],[Model No.]],$AV$2:$BD$100,7,TRUE)*Transaction[[#This Row],[Qty]]</f>
        <v>9.5920000000000005</v>
      </c>
      <c r="AS141">
        <v>1103</v>
      </c>
      <c r="AT141">
        <v>1020</v>
      </c>
    </row>
    <row r="142" spans="36:46" x14ac:dyDescent="0.3">
      <c r="AJ142">
        <v>91408</v>
      </c>
      <c r="AK142" s="30">
        <v>41875</v>
      </c>
      <c r="AL142" t="s">
        <v>855</v>
      </c>
      <c r="AM142">
        <v>89</v>
      </c>
      <c r="AN142" t="str">
        <f>VLOOKUP(Transaction[[#This Row],[Model No.]],$AV$2:$BD$100,2,TRUE)</f>
        <v>Piera Martellozzo Blu Giovello Moscato Puglia IGT Muscat</v>
      </c>
      <c r="AO142" s="21">
        <f>VLOOKUP(Transaction[[#This Row],[Model No.]],$AV$2:$BD$100,6,TRUE)</f>
        <v>8.49</v>
      </c>
      <c r="AP142" s="9">
        <v>3</v>
      </c>
      <c r="AQ142" s="5">
        <f>Transaction[[#This Row],[Price]]*Transaction[[#This Row],[Qty]]</f>
        <v>25.47</v>
      </c>
      <c r="AR142" s="5">
        <f>VLOOKUP(Transaction[[#This Row],[Model No.]],$AV$2:$BD$100,7,TRUE)*Transaction[[#This Row],[Qty]]</f>
        <v>2.5470000000000002</v>
      </c>
      <c r="AS142">
        <v>1101</v>
      </c>
      <c r="AT142">
        <v>1009</v>
      </c>
    </row>
    <row r="143" spans="36:46" x14ac:dyDescent="0.3">
      <c r="AJ143">
        <v>29846</v>
      </c>
      <c r="AK143" s="30">
        <v>41876</v>
      </c>
      <c r="AL143" t="s">
        <v>821</v>
      </c>
      <c r="AM143">
        <v>10</v>
      </c>
      <c r="AN143" t="str">
        <f>VLOOKUP(Transaction[[#This Row],[Model No.]],$AV$2:$BD$100,2,TRUE)</f>
        <v>Hum Botanical Spirit Liqueur</v>
      </c>
      <c r="AO143" s="21">
        <f>VLOOKUP(Transaction[[#This Row],[Model No.]],$AV$2:$BD$100,6,TRUE)</f>
        <v>41.99</v>
      </c>
      <c r="AP143" s="9">
        <v>5</v>
      </c>
      <c r="AQ143" s="5">
        <f>Transaction[[#This Row],[Price]]*Transaction[[#This Row],[Qty]]</f>
        <v>209.95000000000002</v>
      </c>
      <c r="AR143" s="5">
        <f>VLOOKUP(Transaction[[#This Row],[Model No.]],$AV$2:$BD$100,7,TRUE)*Transaction[[#This Row],[Qty]]</f>
        <v>62.984999999999999</v>
      </c>
      <c r="AS143">
        <v>1108</v>
      </c>
      <c r="AT143">
        <v>1019</v>
      </c>
    </row>
    <row r="144" spans="36:46" x14ac:dyDescent="0.3">
      <c r="AJ144">
        <v>30958</v>
      </c>
      <c r="AK144" s="30">
        <v>41876</v>
      </c>
      <c r="AL144" t="s">
        <v>563</v>
      </c>
      <c r="AM144">
        <v>80</v>
      </c>
      <c r="AN144" t="str">
        <f>VLOOKUP(Transaction[[#This Row],[Model No.]],$AV$2:$BD$100,2,TRUE)</f>
        <v>Evolution Craft Stalker Hefeweizen - 6 Pack</v>
      </c>
      <c r="AO144" s="21">
        <f>VLOOKUP(Transaction[[#This Row],[Model No.]],$AV$2:$BD$100,6,TRUE)</f>
        <v>10.99</v>
      </c>
      <c r="AP144" s="9">
        <v>2</v>
      </c>
      <c r="AQ144" s="5">
        <f>Transaction[[#This Row],[Price]]*Transaction[[#This Row],[Qty]]</f>
        <v>21.98</v>
      </c>
      <c r="AR144" s="5">
        <f>VLOOKUP(Transaction[[#This Row],[Model No.]],$AV$2:$BD$100,7,TRUE)*Transaction[[#This Row],[Qty]]</f>
        <v>6.5940000000000003</v>
      </c>
      <c r="AS144">
        <v>1106</v>
      </c>
      <c r="AT144">
        <v>1001</v>
      </c>
    </row>
    <row r="145" spans="36:46" x14ac:dyDescent="0.3">
      <c r="AJ145">
        <v>96983</v>
      </c>
      <c r="AK145" s="30">
        <v>41877</v>
      </c>
      <c r="AL145" t="s">
        <v>1112</v>
      </c>
      <c r="AM145">
        <v>61</v>
      </c>
      <c r="AN145" t="str">
        <f>VLOOKUP(Transaction[[#This Row],[Model No.]],$AV$2:$BD$100,2,TRUE)</f>
        <v>He'Brew Genesis Dry Hopped Session Ale - 6 Pack</v>
      </c>
      <c r="AO145" s="21">
        <f>VLOOKUP(Transaction[[#This Row],[Model No.]],$AV$2:$BD$100,6,TRUE)</f>
        <v>12.99</v>
      </c>
      <c r="AP145" s="9">
        <v>5</v>
      </c>
      <c r="AQ145" s="5">
        <f>Transaction[[#This Row],[Price]]*Transaction[[#This Row],[Qty]]</f>
        <v>64.95</v>
      </c>
      <c r="AR145" s="5">
        <f>VLOOKUP(Transaction[[#This Row],[Model No.]],$AV$2:$BD$100,7,TRUE)*Transaction[[#This Row],[Qty]]</f>
        <v>19.484999999999999</v>
      </c>
      <c r="AS145">
        <v>1108</v>
      </c>
      <c r="AT145">
        <v>1012</v>
      </c>
    </row>
    <row r="146" spans="36:46" x14ac:dyDescent="0.3">
      <c r="AJ146">
        <v>33874</v>
      </c>
      <c r="AK146" s="30">
        <v>41877</v>
      </c>
      <c r="AL146" t="s">
        <v>1908</v>
      </c>
      <c r="AM146">
        <v>73</v>
      </c>
      <c r="AN146" t="str">
        <f>VLOOKUP(Transaction[[#This Row],[Model No.]],$AV$2:$BD$100,2,TRUE)</f>
        <v>Schlafly Oktoberfest - 6 Pack</v>
      </c>
      <c r="AO146" s="21">
        <f>VLOOKUP(Transaction[[#This Row],[Model No.]],$AV$2:$BD$100,6,TRUE)</f>
        <v>11.99</v>
      </c>
      <c r="AP146" s="9">
        <v>3</v>
      </c>
      <c r="AQ146" s="5">
        <f>Transaction[[#This Row],[Price]]*Transaction[[#This Row],[Qty]]</f>
        <v>35.97</v>
      </c>
      <c r="AR146" s="5">
        <f>VLOOKUP(Transaction[[#This Row],[Model No.]],$AV$2:$BD$100,7,TRUE)*Transaction[[#This Row],[Qty]]</f>
        <v>10.791</v>
      </c>
      <c r="AS146">
        <v>1106</v>
      </c>
      <c r="AT146">
        <v>1001</v>
      </c>
    </row>
    <row r="147" spans="36:46" x14ac:dyDescent="0.3">
      <c r="AJ147">
        <v>34592</v>
      </c>
      <c r="AK147" s="30">
        <v>41880</v>
      </c>
      <c r="AL147" t="s">
        <v>434</v>
      </c>
      <c r="AM147">
        <v>26</v>
      </c>
      <c r="AN147" t="str">
        <f>VLOOKUP(Transaction[[#This Row],[Model No.]],$AV$2:$BD$100,2,TRUE)</f>
        <v>Belhaven Scottish Stout - 4 Pack</v>
      </c>
      <c r="AO147" s="21">
        <f>VLOOKUP(Transaction[[#This Row],[Model No.]],$AV$2:$BD$100,6,TRUE)</f>
        <v>23.99</v>
      </c>
      <c r="AP147" s="9">
        <v>1</v>
      </c>
      <c r="AQ147" s="5">
        <f>Transaction[[#This Row],[Price]]*Transaction[[#This Row],[Qty]]</f>
        <v>23.99</v>
      </c>
      <c r="AR147" s="5">
        <f>VLOOKUP(Transaction[[#This Row],[Model No.]],$AV$2:$BD$100,7,TRUE)*Transaction[[#This Row],[Qty]]</f>
        <v>7.1969999999999992</v>
      </c>
      <c r="AS147">
        <v>1098</v>
      </c>
      <c r="AT147">
        <v>1008</v>
      </c>
    </row>
    <row r="148" spans="36:46" x14ac:dyDescent="0.3">
      <c r="AJ148">
        <v>17649</v>
      </c>
      <c r="AK148" s="30">
        <v>41881</v>
      </c>
      <c r="AL148" t="s">
        <v>943</v>
      </c>
      <c r="AM148">
        <v>15</v>
      </c>
      <c r="AN148" t="str">
        <f>VLOOKUP(Transaction[[#This Row],[Model No.]],$AV$2:$BD$100,2,TRUE)</f>
        <v>Wild Turkey 101 Kentucky Straight Bourbon Whiskey</v>
      </c>
      <c r="AO148" s="21">
        <f>VLOOKUP(Transaction[[#This Row],[Model No.]],$AV$2:$BD$100,6,TRUE)</f>
        <v>32.99</v>
      </c>
      <c r="AP148" s="9">
        <v>5</v>
      </c>
      <c r="AQ148" s="5">
        <f>Transaction[[#This Row],[Price]]*Transaction[[#This Row],[Qty]]</f>
        <v>164.95000000000002</v>
      </c>
      <c r="AR148" s="5">
        <f>VLOOKUP(Transaction[[#This Row],[Model No.]],$AV$2:$BD$100,7,TRUE)*Transaction[[#This Row],[Qty]]</f>
        <v>32.99</v>
      </c>
      <c r="AS148">
        <v>1102</v>
      </c>
      <c r="AT148">
        <v>1013</v>
      </c>
    </row>
    <row r="149" spans="36:46" x14ac:dyDescent="0.3">
      <c r="AJ149">
        <v>50973</v>
      </c>
      <c r="AK149" s="30">
        <v>41882</v>
      </c>
      <c r="AL149" t="s">
        <v>1646</v>
      </c>
      <c r="AM149">
        <v>21</v>
      </c>
      <c r="AN149" t="str">
        <f>VLOOKUP(Transaction[[#This Row],[Model No.]],$AV$2:$BD$100,2,TRUE)</f>
        <v>Adelsheim Ribbon Springs Auxerrois</v>
      </c>
      <c r="AO149" s="21">
        <f>VLOOKUP(Transaction[[#This Row],[Model No.]],$AV$2:$BD$100,6,TRUE)</f>
        <v>25.99</v>
      </c>
      <c r="AP149" s="9">
        <v>2</v>
      </c>
      <c r="AQ149" s="5">
        <f>Transaction[[#This Row],[Price]]*Transaction[[#This Row],[Qty]]</f>
        <v>51.98</v>
      </c>
      <c r="AR149" s="5">
        <f>VLOOKUP(Transaction[[#This Row],[Model No.]],$AV$2:$BD$100,7,TRUE)*Transaction[[#This Row],[Qty]]</f>
        <v>5.1980000000000004</v>
      </c>
      <c r="AS149">
        <v>1104</v>
      </c>
      <c r="AT149">
        <v>1021</v>
      </c>
    </row>
    <row r="150" spans="36:46" x14ac:dyDescent="0.3">
      <c r="AJ150">
        <v>55732</v>
      </c>
      <c r="AK150" s="30">
        <v>41882</v>
      </c>
      <c r="AL150" t="s">
        <v>1199</v>
      </c>
      <c r="AM150">
        <v>71</v>
      </c>
      <c r="AN150" t="str">
        <f>VLOOKUP(Transaction[[#This Row],[Model No.]],$AV$2:$BD$100,2,TRUE)</f>
        <v>Flo Merlot</v>
      </c>
      <c r="AO150" s="21">
        <f>VLOOKUP(Transaction[[#This Row],[Model No.]],$AV$2:$BD$100,6,TRUE)</f>
        <v>12.49</v>
      </c>
      <c r="AP150" s="9">
        <v>1</v>
      </c>
      <c r="AQ150" s="5">
        <f>Transaction[[#This Row],[Price]]*Transaction[[#This Row],[Qty]]</f>
        <v>12.49</v>
      </c>
      <c r="AR150" s="5">
        <f>VLOOKUP(Transaction[[#This Row],[Model No.]],$AV$2:$BD$100,7,TRUE)*Transaction[[#This Row],[Qty]]</f>
        <v>1.2490000000000001</v>
      </c>
      <c r="AS150">
        <v>1107</v>
      </c>
      <c r="AT150">
        <v>1009</v>
      </c>
    </row>
    <row r="151" spans="36:46" x14ac:dyDescent="0.3">
      <c r="AJ151">
        <v>18384</v>
      </c>
      <c r="AK151" s="30">
        <v>41886</v>
      </c>
      <c r="AL151" t="s">
        <v>685</v>
      </c>
      <c r="AM151">
        <v>12</v>
      </c>
      <c r="AN151" t="str">
        <f>VLOOKUP(Transaction[[#This Row],[Model No.]],$AV$2:$BD$100,2,TRUE)</f>
        <v>Cuvaison Pinot Noir</v>
      </c>
      <c r="AO151" s="21">
        <f>VLOOKUP(Transaction[[#This Row],[Model No.]],$AV$2:$BD$100,6,TRUE)</f>
        <v>36.99</v>
      </c>
      <c r="AP151" s="9">
        <v>3</v>
      </c>
      <c r="AQ151" s="5">
        <f>Transaction[[#This Row],[Price]]*Transaction[[#This Row],[Qty]]</f>
        <v>110.97</v>
      </c>
      <c r="AR151" s="5">
        <f>VLOOKUP(Transaction[[#This Row],[Model No.]],$AV$2:$BD$100,7,TRUE)*Transaction[[#This Row],[Qty]]</f>
        <v>11.097000000000001</v>
      </c>
      <c r="AS151">
        <v>1100</v>
      </c>
      <c r="AT151">
        <v>1008</v>
      </c>
    </row>
    <row r="152" spans="36:46" x14ac:dyDescent="0.3">
      <c r="AJ152">
        <v>51584</v>
      </c>
      <c r="AK152" s="30">
        <v>41886</v>
      </c>
      <c r="AL152" t="s">
        <v>1786</v>
      </c>
      <c r="AM152">
        <v>35</v>
      </c>
      <c r="AN152" t="str">
        <f>VLOOKUP(Transaction[[#This Row],[Model No.]],$AV$2:$BD$100,2,TRUE)</f>
        <v>Troegenator Double Bock Can - 12 Pack</v>
      </c>
      <c r="AO152" s="21">
        <f>VLOOKUP(Transaction[[#This Row],[Model No.]],$AV$2:$BD$100,6,TRUE)</f>
        <v>20.99</v>
      </c>
      <c r="AP152" s="9">
        <v>5</v>
      </c>
      <c r="AQ152" s="5">
        <f>Transaction[[#This Row],[Price]]*Transaction[[#This Row],[Qty]]</f>
        <v>104.94999999999999</v>
      </c>
      <c r="AR152" s="5">
        <f>VLOOKUP(Transaction[[#This Row],[Model No.]],$AV$2:$BD$100,7,TRUE)*Transaction[[#This Row],[Qty]]</f>
        <v>31.484999999999999</v>
      </c>
      <c r="AS152">
        <v>1104</v>
      </c>
      <c r="AT152">
        <v>1004</v>
      </c>
    </row>
    <row r="153" spans="36:46" x14ac:dyDescent="0.3">
      <c r="AJ153">
        <v>11138</v>
      </c>
      <c r="AK153" s="30">
        <v>41887</v>
      </c>
      <c r="AL153" t="s">
        <v>1851</v>
      </c>
      <c r="AM153">
        <v>11</v>
      </c>
      <c r="AN153" t="str">
        <f>VLOOKUP(Transaction[[#This Row],[Model No.]],$AV$2:$BD$100,2,TRUE)</f>
        <v>Kurant 1852 Crystal Limited Edition Vodka</v>
      </c>
      <c r="AO153" s="21">
        <f>VLOOKUP(Transaction[[#This Row],[Model No.]],$AV$2:$BD$100,6,TRUE)</f>
        <v>40.99</v>
      </c>
      <c r="AP153" s="9">
        <v>4</v>
      </c>
      <c r="AQ153" s="5">
        <f>Transaction[[#This Row],[Price]]*Transaction[[#This Row],[Qty]]</f>
        <v>163.96</v>
      </c>
      <c r="AR153" s="5">
        <f>VLOOKUP(Transaction[[#This Row],[Model No.]],$AV$2:$BD$100,7,TRUE)*Transaction[[#This Row],[Qty]]</f>
        <v>49.188000000000002</v>
      </c>
      <c r="AS153">
        <v>1104</v>
      </c>
      <c r="AT153">
        <v>1014</v>
      </c>
    </row>
    <row r="154" spans="36:46" x14ac:dyDescent="0.3">
      <c r="AJ154">
        <v>20068</v>
      </c>
      <c r="AK154" s="30">
        <v>41887</v>
      </c>
      <c r="AL154" t="s">
        <v>474</v>
      </c>
      <c r="AM154">
        <v>96</v>
      </c>
      <c r="AN154" t="str">
        <f>VLOOKUP(Transaction[[#This Row],[Model No.]],$AV$2:$BD$100,2,TRUE)</f>
        <v>Arbor Mist Blackberry Merlot</v>
      </c>
      <c r="AO154" s="21">
        <f>VLOOKUP(Transaction[[#This Row],[Model No.]],$AV$2:$BD$100,6,TRUE)</f>
        <v>6.19</v>
      </c>
      <c r="AP154" s="9">
        <v>3</v>
      </c>
      <c r="AQ154" s="5">
        <f>Transaction[[#This Row],[Price]]*Transaction[[#This Row],[Qty]]</f>
        <v>18.57</v>
      </c>
      <c r="AR154" s="5">
        <f>VLOOKUP(Transaction[[#This Row],[Model No.]],$AV$2:$BD$100,7,TRUE)*Transaction[[#This Row],[Qty]]</f>
        <v>1.8570000000000002</v>
      </c>
      <c r="AS154">
        <v>1098</v>
      </c>
      <c r="AT154">
        <v>1016</v>
      </c>
    </row>
    <row r="155" spans="36:46" x14ac:dyDescent="0.3">
      <c r="AJ155">
        <v>65275</v>
      </c>
      <c r="AK155" s="30">
        <v>41888</v>
      </c>
      <c r="AL155" t="s">
        <v>795</v>
      </c>
      <c r="AM155">
        <v>81</v>
      </c>
      <c r="AN155" t="str">
        <f>VLOOKUP(Transaction[[#This Row],[Model No.]],$AV$2:$BD$100,2,TRUE)</f>
        <v>TerraNoble Reserva La Higuera Vineyard Carmenere</v>
      </c>
      <c r="AO155" s="21">
        <f>VLOOKUP(Transaction[[#This Row],[Model No.]],$AV$2:$BD$100,6,TRUE)</f>
        <v>10.99</v>
      </c>
      <c r="AP155" s="9">
        <v>4</v>
      </c>
      <c r="AQ155" s="5">
        <f>Transaction[[#This Row],[Price]]*Transaction[[#This Row],[Qty]]</f>
        <v>43.96</v>
      </c>
      <c r="AR155" s="5">
        <f>VLOOKUP(Transaction[[#This Row],[Model No.]],$AV$2:$BD$100,7,TRUE)*Transaction[[#This Row],[Qty]]</f>
        <v>13.188000000000001</v>
      </c>
      <c r="AS155">
        <v>1105</v>
      </c>
      <c r="AT155">
        <v>1007</v>
      </c>
    </row>
    <row r="156" spans="36:46" x14ac:dyDescent="0.3">
      <c r="AJ156">
        <v>81745</v>
      </c>
      <c r="AK156" s="30">
        <v>41889</v>
      </c>
      <c r="AL156" t="s">
        <v>1880</v>
      </c>
      <c r="AM156">
        <v>9</v>
      </c>
      <c r="AN156" t="str">
        <f>VLOOKUP(Transaction[[#This Row],[Model No.]],$AV$2:$BD$100,2,TRUE)</f>
        <v>Ass Kisser Double IPA - 12 Pack</v>
      </c>
      <c r="AO156" s="21">
        <f>VLOOKUP(Transaction[[#This Row],[Model No.]],$AV$2:$BD$100,6,TRUE)</f>
        <v>43.99</v>
      </c>
      <c r="AP156" s="9">
        <v>1</v>
      </c>
      <c r="AQ156" s="5">
        <f>Transaction[[#This Row],[Price]]*Transaction[[#This Row],[Qty]]</f>
        <v>43.99</v>
      </c>
      <c r="AR156" s="5">
        <f>VLOOKUP(Transaction[[#This Row],[Model No.]],$AV$2:$BD$100,7,TRUE)*Transaction[[#This Row],[Qty]]</f>
        <v>13.197000000000001</v>
      </c>
      <c r="AS156">
        <v>1098</v>
      </c>
      <c r="AT156">
        <v>1000</v>
      </c>
    </row>
    <row r="157" spans="36:46" x14ac:dyDescent="0.3">
      <c r="AJ157">
        <v>73560</v>
      </c>
      <c r="AK157" s="30">
        <v>41889</v>
      </c>
      <c r="AL157" t="s">
        <v>1031</v>
      </c>
      <c r="AM157">
        <v>18</v>
      </c>
      <c r="AN157" t="str">
        <f>VLOOKUP(Transaction[[#This Row],[Model No.]],$AV$2:$BD$100,2,TRUE)</f>
        <v>Twenty Grand Peach Vodka</v>
      </c>
      <c r="AO157" s="21">
        <f>VLOOKUP(Transaction[[#This Row],[Model No.]],$AV$2:$BD$100,6,TRUE)</f>
        <v>30.99</v>
      </c>
      <c r="AP157" s="9">
        <v>1</v>
      </c>
      <c r="AQ157" s="5">
        <f>Transaction[[#This Row],[Price]]*Transaction[[#This Row],[Qty]]</f>
        <v>30.99</v>
      </c>
      <c r="AR157" s="5">
        <f>VLOOKUP(Transaction[[#This Row],[Model No.]],$AV$2:$BD$100,7,TRUE)*Transaction[[#This Row],[Qty]]</f>
        <v>9.2969999999999988</v>
      </c>
      <c r="AS157">
        <v>1103</v>
      </c>
      <c r="AT157">
        <v>1017</v>
      </c>
    </row>
    <row r="158" spans="36:46" x14ac:dyDescent="0.3">
      <c r="AJ158">
        <v>67130</v>
      </c>
      <c r="AK158" s="30">
        <v>41892</v>
      </c>
      <c r="AL158" t="s">
        <v>1351</v>
      </c>
      <c r="AM158">
        <v>90</v>
      </c>
      <c r="AN158" t="str">
        <f>VLOOKUP(Transaction[[#This Row],[Model No.]],$AV$2:$BD$100,2,TRUE)</f>
        <v>Carlo Rossi Moscato Sangria Muscat Blanc a Petits Grains</v>
      </c>
      <c r="AO158" s="21">
        <f>VLOOKUP(Transaction[[#This Row],[Model No.]],$AV$2:$BD$100,6,TRUE)</f>
        <v>7.99</v>
      </c>
      <c r="AP158" s="9">
        <v>5</v>
      </c>
      <c r="AQ158" s="5">
        <f>Transaction[[#This Row],[Price]]*Transaction[[#This Row],[Qty]]</f>
        <v>39.950000000000003</v>
      </c>
      <c r="AR158" s="5">
        <f>VLOOKUP(Transaction[[#This Row],[Model No.]],$AV$2:$BD$100,7,TRUE)*Transaction[[#This Row],[Qty]]</f>
        <v>7.99</v>
      </c>
      <c r="AS158">
        <v>1105</v>
      </c>
      <c r="AT158">
        <v>1014</v>
      </c>
    </row>
    <row r="159" spans="36:46" x14ac:dyDescent="0.3">
      <c r="AJ159">
        <v>77664</v>
      </c>
      <c r="AK159" s="30">
        <v>41892</v>
      </c>
      <c r="AL159" t="s">
        <v>1817</v>
      </c>
      <c r="AM159">
        <v>92</v>
      </c>
      <c r="AN159" t="str">
        <f>VLOOKUP(Transaction[[#This Row],[Model No.]],$AV$2:$BD$100,2,TRUE)</f>
        <v>Four Seasons Collection Late Harvest White Moscato Dessert Muscat</v>
      </c>
      <c r="AO159" s="21">
        <f>VLOOKUP(Transaction[[#This Row],[Model No.]],$AV$2:$BD$100,6,TRUE)</f>
        <v>7.69</v>
      </c>
      <c r="AP159" s="9">
        <v>4</v>
      </c>
      <c r="AQ159" s="5">
        <f>Transaction[[#This Row],[Price]]*Transaction[[#This Row],[Qty]]</f>
        <v>30.76</v>
      </c>
      <c r="AR159" s="5">
        <f>VLOOKUP(Transaction[[#This Row],[Model No.]],$AV$2:$BD$100,7,TRUE)*Transaction[[#This Row],[Qty]]</f>
        <v>3.0760000000000005</v>
      </c>
      <c r="AS159">
        <v>1101</v>
      </c>
      <c r="AT159">
        <v>1006</v>
      </c>
    </row>
    <row r="160" spans="36:46" x14ac:dyDescent="0.3">
      <c r="AJ160">
        <v>14319</v>
      </c>
      <c r="AK160" s="30">
        <v>41893</v>
      </c>
      <c r="AL160" t="s">
        <v>1282</v>
      </c>
      <c r="AM160">
        <v>87</v>
      </c>
      <c r="AN160" t="str">
        <f>VLOOKUP(Transaction[[#This Row],[Model No.]],$AV$2:$BD$100,2,TRUE)</f>
        <v>Cruzan 9 Spiced Rum</v>
      </c>
      <c r="AO160" s="21">
        <f>VLOOKUP(Transaction[[#This Row],[Model No.]],$AV$2:$BD$100,6,TRUE)</f>
        <v>9.49</v>
      </c>
      <c r="AP160" s="9">
        <v>2</v>
      </c>
      <c r="AQ160" s="5">
        <f>Transaction[[#This Row],[Price]]*Transaction[[#This Row],[Qty]]</f>
        <v>18.98</v>
      </c>
      <c r="AR160" s="5">
        <f>VLOOKUP(Transaction[[#This Row],[Model No.]],$AV$2:$BD$100,7,TRUE)*Transaction[[#This Row],[Qty]]</f>
        <v>3.7960000000000003</v>
      </c>
      <c r="AS160">
        <v>1098</v>
      </c>
      <c r="AT160">
        <v>1012</v>
      </c>
    </row>
    <row r="161" spans="36:46" x14ac:dyDescent="0.3">
      <c r="AJ161">
        <v>76507</v>
      </c>
      <c r="AK161" s="30">
        <v>41897</v>
      </c>
      <c r="AL161" t="s">
        <v>932</v>
      </c>
      <c r="AM161">
        <v>31</v>
      </c>
      <c r="AN161" t="str">
        <f>VLOOKUP(Transaction[[#This Row],[Model No.]],$AV$2:$BD$100,2,TRUE)</f>
        <v>Gulden Draak 9000 Quadruple - 4 Pack</v>
      </c>
      <c r="AO161" s="21">
        <f>VLOOKUP(Transaction[[#This Row],[Model No.]],$AV$2:$BD$100,6,TRUE)</f>
        <v>21.99</v>
      </c>
      <c r="AP161" s="9">
        <v>1</v>
      </c>
      <c r="AQ161" s="5">
        <f>Transaction[[#This Row],[Price]]*Transaction[[#This Row],[Qty]]</f>
        <v>21.99</v>
      </c>
      <c r="AR161" s="5">
        <f>VLOOKUP(Transaction[[#This Row],[Model No.]],$AV$2:$BD$100,7,TRUE)*Transaction[[#This Row],[Qty]]</f>
        <v>6.5969999999999995</v>
      </c>
      <c r="AS161">
        <v>1099</v>
      </c>
      <c r="AT161">
        <v>1004</v>
      </c>
    </row>
    <row r="162" spans="36:46" x14ac:dyDescent="0.3">
      <c r="AJ162">
        <v>91492</v>
      </c>
      <c r="AK162" s="30">
        <v>41898</v>
      </c>
      <c r="AL162" t="s">
        <v>468</v>
      </c>
      <c r="AM162">
        <v>75</v>
      </c>
      <c r="AN162" t="str">
        <f>VLOOKUP(Transaction[[#This Row],[Model No.]],$AV$2:$BD$100,2,TRUE)</f>
        <v>Uinta Ready Set Gose - 6 Pack</v>
      </c>
      <c r="AO162" s="21">
        <f>VLOOKUP(Transaction[[#This Row],[Model No.]],$AV$2:$BD$100,6,TRUE)</f>
        <v>11.99</v>
      </c>
      <c r="AP162" s="9">
        <v>5</v>
      </c>
      <c r="AQ162" s="5">
        <f>Transaction[[#This Row],[Price]]*Transaction[[#This Row],[Qty]]</f>
        <v>59.95</v>
      </c>
      <c r="AR162" s="5">
        <f>VLOOKUP(Transaction[[#This Row],[Model No.]],$AV$2:$BD$100,7,TRUE)*Transaction[[#This Row],[Qty]]</f>
        <v>17.984999999999999</v>
      </c>
      <c r="AS162">
        <v>1105</v>
      </c>
      <c r="AT162">
        <v>1008</v>
      </c>
    </row>
    <row r="163" spans="36:46" x14ac:dyDescent="0.3">
      <c r="AJ163">
        <v>68642</v>
      </c>
      <c r="AK163" s="30">
        <v>41899</v>
      </c>
      <c r="AL163" t="s">
        <v>339</v>
      </c>
      <c r="AM163">
        <v>38</v>
      </c>
      <c r="AN163" t="str">
        <f>VLOOKUP(Transaction[[#This Row],[Model No.]],$AV$2:$BD$100,2,TRUE)</f>
        <v>CiROC Red Berry Vodka</v>
      </c>
      <c r="AO163" s="21">
        <f>VLOOKUP(Transaction[[#This Row],[Model No.]],$AV$2:$BD$100,6,TRUE)</f>
        <v>19.989999999999998</v>
      </c>
      <c r="AP163" s="9">
        <v>3</v>
      </c>
      <c r="AQ163" s="5">
        <f>Transaction[[#This Row],[Price]]*Transaction[[#This Row],[Qty]]</f>
        <v>59.97</v>
      </c>
      <c r="AR163" s="5">
        <f>VLOOKUP(Transaction[[#This Row],[Model No.]],$AV$2:$BD$100,7,TRUE)*Transaction[[#This Row],[Qty]]</f>
        <v>17.990999999999996</v>
      </c>
      <c r="AS163">
        <v>1098</v>
      </c>
      <c r="AT163">
        <v>1006</v>
      </c>
    </row>
    <row r="164" spans="36:46" x14ac:dyDescent="0.3">
      <c r="AJ164">
        <v>23301</v>
      </c>
      <c r="AK164" s="30">
        <v>41899</v>
      </c>
      <c r="AL164" t="s">
        <v>1126</v>
      </c>
      <c r="AM164">
        <v>50</v>
      </c>
      <c r="AN164" t="str">
        <f>VLOOKUP(Transaction[[#This Row],[Model No.]],$AV$2:$BD$100,2,TRUE)</f>
        <v>CLOS DU BOIS ROSE</v>
      </c>
      <c r="AO164" s="21">
        <f>VLOOKUP(Transaction[[#This Row],[Model No.]],$AV$2:$BD$100,6,TRUE)</f>
        <v>14.99</v>
      </c>
      <c r="AP164" s="9">
        <v>1</v>
      </c>
      <c r="AQ164" s="5">
        <f>Transaction[[#This Row],[Price]]*Transaction[[#This Row],[Qty]]</f>
        <v>14.99</v>
      </c>
      <c r="AR164" s="5">
        <f>VLOOKUP(Transaction[[#This Row],[Model No.]],$AV$2:$BD$100,7,TRUE)*Transaction[[#This Row],[Qty]]</f>
        <v>5.9960000000000004</v>
      </c>
      <c r="AS164">
        <v>1103</v>
      </c>
      <c r="AT164">
        <v>1001</v>
      </c>
    </row>
    <row r="165" spans="36:46" x14ac:dyDescent="0.3">
      <c r="AJ165">
        <v>12625</v>
      </c>
      <c r="AK165" s="30">
        <v>41900</v>
      </c>
      <c r="AL165" t="s">
        <v>905</v>
      </c>
      <c r="AM165">
        <v>71</v>
      </c>
      <c r="AN165" t="str">
        <f>VLOOKUP(Transaction[[#This Row],[Model No.]],$AV$2:$BD$100,2,TRUE)</f>
        <v>Flo Merlot</v>
      </c>
      <c r="AO165" s="21">
        <f>VLOOKUP(Transaction[[#This Row],[Model No.]],$AV$2:$BD$100,6,TRUE)</f>
        <v>12.49</v>
      </c>
      <c r="AP165" s="9">
        <v>4</v>
      </c>
      <c r="AQ165" s="5">
        <f>Transaction[[#This Row],[Price]]*Transaction[[#This Row],[Qty]]</f>
        <v>49.96</v>
      </c>
      <c r="AR165" s="5">
        <f>VLOOKUP(Transaction[[#This Row],[Model No.]],$AV$2:$BD$100,7,TRUE)*Transaction[[#This Row],[Qty]]</f>
        <v>4.9960000000000004</v>
      </c>
      <c r="AS165">
        <v>1103</v>
      </c>
      <c r="AT165">
        <v>1007</v>
      </c>
    </row>
    <row r="166" spans="36:46" x14ac:dyDescent="0.3">
      <c r="AJ166">
        <v>63373</v>
      </c>
      <c r="AK166" s="30">
        <v>41905</v>
      </c>
      <c r="AL166" t="s">
        <v>540</v>
      </c>
      <c r="AM166">
        <v>29</v>
      </c>
      <c r="AN166" t="str">
        <f>VLOOKUP(Transaction[[#This Row],[Model No.]],$AV$2:$BD$100,2,TRUE)</f>
        <v>SCHLAFLY STOUT BOUT SAMPLER   2/12 - 12 Pack</v>
      </c>
      <c r="AO166" s="21">
        <f>VLOOKUP(Transaction[[#This Row],[Model No.]],$AV$2:$BD$100,6,TRUE)</f>
        <v>22.99</v>
      </c>
      <c r="AP166" s="9">
        <v>5</v>
      </c>
      <c r="AQ166" s="5">
        <f>Transaction[[#This Row],[Price]]*Transaction[[#This Row],[Qty]]</f>
        <v>114.94999999999999</v>
      </c>
      <c r="AR166" s="5">
        <f>VLOOKUP(Transaction[[#This Row],[Model No.]],$AV$2:$BD$100,7,TRUE)*Transaction[[#This Row],[Qty]]</f>
        <v>34.484999999999999</v>
      </c>
      <c r="AS166">
        <v>1100</v>
      </c>
      <c r="AT166">
        <v>1009</v>
      </c>
    </row>
    <row r="167" spans="36:46" x14ac:dyDescent="0.3">
      <c r="AJ167">
        <v>35164</v>
      </c>
      <c r="AK167" s="30">
        <v>41905</v>
      </c>
      <c r="AL167" t="s">
        <v>634</v>
      </c>
      <c r="AM167">
        <v>62</v>
      </c>
      <c r="AN167" t="str">
        <f>VLOOKUP(Transaction[[#This Row],[Model No.]],$AV$2:$BD$100,2,TRUE)</f>
        <v>Beerlao Dark Lager - 6 Pack</v>
      </c>
      <c r="AO167" s="21">
        <f>VLOOKUP(Transaction[[#This Row],[Model No.]],$AV$2:$BD$100,6,TRUE)</f>
        <v>12.99</v>
      </c>
      <c r="AP167" s="9">
        <v>4</v>
      </c>
      <c r="AQ167" s="5">
        <f>Transaction[[#This Row],[Price]]*Transaction[[#This Row],[Qty]]</f>
        <v>51.96</v>
      </c>
      <c r="AR167" s="5">
        <f>VLOOKUP(Transaction[[#This Row],[Model No.]],$AV$2:$BD$100,7,TRUE)*Transaction[[#This Row],[Qty]]</f>
        <v>15.587999999999999</v>
      </c>
      <c r="AS167">
        <v>1106</v>
      </c>
      <c r="AT167">
        <v>1001</v>
      </c>
    </row>
    <row r="168" spans="36:46" x14ac:dyDescent="0.3">
      <c r="AJ168">
        <v>44701</v>
      </c>
      <c r="AK168" s="30">
        <v>41905</v>
      </c>
      <c r="AL168" t="s">
        <v>1592</v>
      </c>
      <c r="AM168">
        <v>74</v>
      </c>
      <c r="AN168" t="str">
        <f>VLOOKUP(Transaction[[#This Row],[Model No.]],$AV$2:$BD$100,2,TRUE)</f>
        <v>UINTA PALE ALE NR - 6 Pack</v>
      </c>
      <c r="AO168" s="21">
        <f>VLOOKUP(Transaction[[#This Row],[Model No.]],$AV$2:$BD$100,6,TRUE)</f>
        <v>11.99</v>
      </c>
      <c r="AP168" s="9">
        <v>3</v>
      </c>
      <c r="AQ168" s="5">
        <f>Transaction[[#This Row],[Price]]*Transaction[[#This Row],[Qty]]</f>
        <v>35.97</v>
      </c>
      <c r="AR168" s="5">
        <f>VLOOKUP(Transaction[[#This Row],[Model No.]],$AV$2:$BD$100,7,TRUE)*Transaction[[#This Row],[Qty]]</f>
        <v>10.791</v>
      </c>
      <c r="AS168">
        <v>1100</v>
      </c>
      <c r="AT168">
        <v>1020</v>
      </c>
    </row>
    <row r="169" spans="36:46" x14ac:dyDescent="0.3">
      <c r="AJ169">
        <v>97760</v>
      </c>
      <c r="AK169" s="30">
        <v>41906</v>
      </c>
      <c r="AL169" t="s">
        <v>1604</v>
      </c>
      <c r="AM169">
        <v>63</v>
      </c>
      <c r="AN169" t="str">
        <f>VLOOKUP(Transaction[[#This Row],[Model No.]],$AV$2:$BD$100,2,TRUE)</f>
        <v>Troegs LaGrave - 4 Pack</v>
      </c>
      <c r="AO169" s="21">
        <f>VLOOKUP(Transaction[[#This Row],[Model No.]],$AV$2:$BD$100,6,TRUE)</f>
        <v>12.99</v>
      </c>
      <c r="AP169" s="9">
        <v>5</v>
      </c>
      <c r="AQ169" s="5">
        <f>Transaction[[#This Row],[Price]]*Transaction[[#This Row],[Qty]]</f>
        <v>64.95</v>
      </c>
      <c r="AR169" s="5">
        <f>VLOOKUP(Transaction[[#This Row],[Model No.]],$AV$2:$BD$100,7,TRUE)*Transaction[[#This Row],[Qty]]</f>
        <v>19.484999999999999</v>
      </c>
      <c r="AS169">
        <v>1101</v>
      </c>
      <c r="AT169">
        <v>1012</v>
      </c>
    </row>
    <row r="170" spans="36:46" x14ac:dyDescent="0.3">
      <c r="AJ170">
        <v>58896</v>
      </c>
      <c r="AK170" s="30">
        <v>41907</v>
      </c>
      <c r="AL170" t="s">
        <v>1410</v>
      </c>
      <c r="AM170">
        <v>11</v>
      </c>
      <c r="AN170" t="str">
        <f>VLOOKUP(Transaction[[#This Row],[Model No.]],$AV$2:$BD$100,2,TRUE)</f>
        <v>Kurant 1852 Crystal Limited Edition Vodka</v>
      </c>
      <c r="AO170" s="21">
        <f>VLOOKUP(Transaction[[#This Row],[Model No.]],$AV$2:$BD$100,6,TRUE)</f>
        <v>40.99</v>
      </c>
      <c r="AP170" s="9">
        <v>3</v>
      </c>
      <c r="AQ170" s="5">
        <f>Transaction[[#This Row],[Price]]*Transaction[[#This Row],[Qty]]</f>
        <v>122.97</v>
      </c>
      <c r="AR170" s="5">
        <f>VLOOKUP(Transaction[[#This Row],[Model No.]],$AV$2:$BD$100,7,TRUE)*Transaction[[#This Row],[Qty]]</f>
        <v>36.891000000000005</v>
      </c>
      <c r="AS170">
        <v>1107</v>
      </c>
      <c r="AT170">
        <v>1008</v>
      </c>
    </row>
    <row r="171" spans="36:46" x14ac:dyDescent="0.3">
      <c r="AJ171">
        <v>86009</v>
      </c>
      <c r="AK171" s="30">
        <v>41908</v>
      </c>
      <c r="AL171" t="s">
        <v>1334</v>
      </c>
      <c r="AM171">
        <v>12</v>
      </c>
      <c r="AN171" t="str">
        <f>VLOOKUP(Transaction[[#This Row],[Model No.]],$AV$2:$BD$100,2,TRUE)</f>
        <v>Cuvaison Pinot Noir</v>
      </c>
      <c r="AO171" s="21">
        <f>VLOOKUP(Transaction[[#This Row],[Model No.]],$AV$2:$BD$100,6,TRUE)</f>
        <v>36.99</v>
      </c>
      <c r="AP171" s="9">
        <v>1</v>
      </c>
      <c r="AQ171" s="5">
        <f>Transaction[[#This Row],[Price]]*Transaction[[#This Row],[Qty]]</f>
        <v>36.99</v>
      </c>
      <c r="AR171" s="5">
        <f>VLOOKUP(Transaction[[#This Row],[Model No.]],$AV$2:$BD$100,7,TRUE)*Transaction[[#This Row],[Qty]]</f>
        <v>3.6990000000000003</v>
      </c>
      <c r="AS171">
        <v>1107</v>
      </c>
      <c r="AT171">
        <v>1006</v>
      </c>
    </row>
    <row r="172" spans="36:46" x14ac:dyDescent="0.3">
      <c r="AJ172">
        <v>59519</v>
      </c>
      <c r="AK172" s="30">
        <v>41909</v>
      </c>
      <c r="AL172" t="s">
        <v>646</v>
      </c>
      <c r="AM172">
        <v>94</v>
      </c>
      <c r="AN172" t="str">
        <f>VLOOKUP(Transaction[[#This Row],[Model No.]],$AV$2:$BD$100,2,TRUE)</f>
        <v>Freixenet Blanc de Blancs Brut Cava Blend</v>
      </c>
      <c r="AO172" s="21">
        <f>VLOOKUP(Transaction[[#This Row],[Model No.]],$AV$2:$BD$100,6,TRUE)</f>
        <v>7.49</v>
      </c>
      <c r="AP172" s="9">
        <v>2</v>
      </c>
      <c r="AQ172" s="5">
        <f>Transaction[[#This Row],[Price]]*Transaction[[#This Row],[Qty]]</f>
        <v>14.98</v>
      </c>
      <c r="AR172" s="5">
        <f>VLOOKUP(Transaction[[#This Row],[Model No.]],$AV$2:$BD$100,7,TRUE)*Transaction[[#This Row],[Qty]]</f>
        <v>1.4980000000000002</v>
      </c>
      <c r="AS172">
        <v>1108</v>
      </c>
      <c r="AT172">
        <v>1021</v>
      </c>
    </row>
    <row r="173" spans="36:46" x14ac:dyDescent="0.3">
      <c r="AJ173">
        <v>69414</v>
      </c>
      <c r="AK173" s="30">
        <v>41913</v>
      </c>
      <c r="AL173" t="s">
        <v>792</v>
      </c>
      <c r="AM173">
        <v>30</v>
      </c>
      <c r="AN173" t="str">
        <f>VLOOKUP(Transaction[[#This Row],[Model No.]],$AV$2:$BD$100,2,TRUE)</f>
        <v>Kahlua Cinnamon Spice Liqueur</v>
      </c>
      <c r="AO173" s="21">
        <f>VLOOKUP(Transaction[[#This Row],[Model No.]],$AV$2:$BD$100,6,TRUE)</f>
        <v>22.99</v>
      </c>
      <c r="AP173" s="9">
        <v>5</v>
      </c>
      <c r="AQ173" s="5">
        <f>Transaction[[#This Row],[Price]]*Transaction[[#This Row],[Qty]]</f>
        <v>114.94999999999999</v>
      </c>
      <c r="AR173" s="5">
        <f>VLOOKUP(Transaction[[#This Row],[Model No.]],$AV$2:$BD$100,7,TRUE)*Transaction[[#This Row],[Qty]]</f>
        <v>34.484999999999999</v>
      </c>
      <c r="AS173">
        <v>1107</v>
      </c>
      <c r="AT173">
        <v>1001</v>
      </c>
    </row>
    <row r="174" spans="36:46" x14ac:dyDescent="0.3">
      <c r="AJ174">
        <v>77163</v>
      </c>
      <c r="AK174" s="30">
        <v>41915</v>
      </c>
      <c r="AL174" t="s">
        <v>1205</v>
      </c>
      <c r="AM174">
        <v>34</v>
      </c>
      <c r="AN174" t="str">
        <f>VLOOKUP(Transaction[[#This Row],[Model No.]],$AV$2:$BD$100,2,TRUE)</f>
        <v>The Eyrie Vineyards Pinot Gris</v>
      </c>
      <c r="AO174" s="21">
        <f>VLOOKUP(Transaction[[#This Row],[Model No.]],$AV$2:$BD$100,6,TRUE)</f>
        <v>20.99</v>
      </c>
      <c r="AP174" s="9">
        <v>2</v>
      </c>
      <c r="AQ174" s="5">
        <f>Transaction[[#This Row],[Price]]*Transaction[[#This Row],[Qty]]</f>
        <v>41.98</v>
      </c>
      <c r="AR174" s="5">
        <f>VLOOKUP(Transaction[[#This Row],[Model No.]],$AV$2:$BD$100,7,TRUE)*Transaction[[#This Row],[Qty]]</f>
        <v>8.395999999999999</v>
      </c>
      <c r="AS174">
        <v>1106</v>
      </c>
      <c r="AT174">
        <v>1010</v>
      </c>
    </row>
    <row r="175" spans="36:46" x14ac:dyDescent="0.3">
      <c r="AJ175">
        <v>28152</v>
      </c>
      <c r="AK175" s="30">
        <v>41917</v>
      </c>
      <c r="AL175" t="s">
        <v>700</v>
      </c>
      <c r="AM175">
        <v>85</v>
      </c>
      <c r="AN175" t="str">
        <f>VLOOKUP(Transaction[[#This Row],[Model No.]],$AV$2:$BD$100,2,TRUE)</f>
        <v>Shiner Sea Salt &amp; Lime - 6 Pack</v>
      </c>
      <c r="AO175" s="21">
        <f>VLOOKUP(Transaction[[#This Row],[Model No.]],$AV$2:$BD$100,6,TRUE)</f>
        <v>9.99</v>
      </c>
      <c r="AP175" s="9">
        <v>1</v>
      </c>
      <c r="AQ175" s="5">
        <f>Transaction[[#This Row],[Price]]*Transaction[[#This Row],[Qty]]</f>
        <v>9.99</v>
      </c>
      <c r="AR175" s="5">
        <f>VLOOKUP(Transaction[[#This Row],[Model No.]],$AV$2:$BD$100,7,TRUE)*Transaction[[#This Row],[Qty]]</f>
        <v>2.9969999999999999</v>
      </c>
      <c r="AS175">
        <v>1104</v>
      </c>
      <c r="AT175">
        <v>1007</v>
      </c>
    </row>
    <row r="176" spans="36:46" x14ac:dyDescent="0.3">
      <c r="AJ176">
        <v>67348</v>
      </c>
      <c r="AK176" s="30">
        <v>41918</v>
      </c>
      <c r="AL176" t="s">
        <v>983</v>
      </c>
      <c r="AM176">
        <v>19</v>
      </c>
      <c r="AN176" t="str">
        <f>VLOOKUP(Transaction[[#This Row],[Model No.]],$AV$2:$BD$100,2,TRUE)</f>
        <v>District Made Vodka</v>
      </c>
      <c r="AO176" s="21">
        <f>VLOOKUP(Transaction[[#This Row],[Model No.]],$AV$2:$BD$100,6,TRUE)</f>
        <v>29.99</v>
      </c>
      <c r="AP176" s="9">
        <v>2</v>
      </c>
      <c r="AQ176" s="5">
        <f>Transaction[[#This Row],[Price]]*Transaction[[#This Row],[Qty]]</f>
        <v>59.98</v>
      </c>
      <c r="AR176" s="5">
        <f>VLOOKUP(Transaction[[#This Row],[Model No.]],$AV$2:$BD$100,7,TRUE)*Transaction[[#This Row],[Qty]]</f>
        <v>17.994</v>
      </c>
      <c r="AS176">
        <v>1102</v>
      </c>
      <c r="AT176">
        <v>1007</v>
      </c>
    </row>
    <row r="177" spans="36:46" x14ac:dyDescent="0.3">
      <c r="AJ177">
        <v>30167</v>
      </c>
      <c r="AK177" s="30">
        <v>41918</v>
      </c>
      <c r="AL177" t="s">
        <v>1915</v>
      </c>
      <c r="AM177">
        <v>87</v>
      </c>
      <c r="AN177" t="str">
        <f>VLOOKUP(Transaction[[#This Row],[Model No.]],$AV$2:$BD$100,2,TRUE)</f>
        <v>Cruzan 9 Spiced Rum</v>
      </c>
      <c r="AO177" s="21">
        <f>VLOOKUP(Transaction[[#This Row],[Model No.]],$AV$2:$BD$100,6,TRUE)</f>
        <v>9.49</v>
      </c>
      <c r="AP177" s="9">
        <v>4</v>
      </c>
      <c r="AQ177" s="5">
        <f>Transaction[[#This Row],[Price]]*Transaction[[#This Row],[Qty]]</f>
        <v>37.96</v>
      </c>
      <c r="AR177" s="5">
        <f>VLOOKUP(Transaction[[#This Row],[Model No.]],$AV$2:$BD$100,7,TRUE)*Transaction[[#This Row],[Qty]]</f>
        <v>7.5920000000000005</v>
      </c>
      <c r="AS177">
        <v>1105</v>
      </c>
      <c r="AT177">
        <v>1008</v>
      </c>
    </row>
    <row r="178" spans="36:46" x14ac:dyDescent="0.3">
      <c r="AJ178">
        <v>69867</v>
      </c>
      <c r="AK178" s="30">
        <v>41921</v>
      </c>
      <c r="AL178" t="s">
        <v>681</v>
      </c>
      <c r="AM178">
        <v>70</v>
      </c>
      <c r="AN178" t="str">
        <f>VLOOKUP(Transaction[[#This Row],[Model No.]],$AV$2:$BD$100,2,TRUE)</f>
        <v>Matchbook Rose Estate Bottled Tempranillo</v>
      </c>
      <c r="AO178" s="21">
        <f>VLOOKUP(Transaction[[#This Row],[Model No.]],$AV$2:$BD$100,6,TRUE)</f>
        <v>12.69</v>
      </c>
      <c r="AP178" s="9">
        <v>1</v>
      </c>
      <c r="AQ178" s="5">
        <f>Transaction[[#This Row],[Price]]*Transaction[[#This Row],[Qty]]</f>
        <v>12.69</v>
      </c>
      <c r="AR178" s="5">
        <f>VLOOKUP(Transaction[[#This Row],[Model No.]],$AV$2:$BD$100,7,TRUE)*Transaction[[#This Row],[Qty]]</f>
        <v>1.2690000000000001</v>
      </c>
      <c r="AS178">
        <v>1101</v>
      </c>
      <c r="AT178">
        <v>1018</v>
      </c>
    </row>
    <row r="179" spans="36:46" x14ac:dyDescent="0.3">
      <c r="AJ179">
        <v>20067</v>
      </c>
      <c r="AK179" s="30">
        <v>41921</v>
      </c>
      <c r="AL179" t="s">
        <v>1762</v>
      </c>
      <c r="AM179">
        <v>86</v>
      </c>
      <c r="AN179" t="str">
        <f>VLOOKUP(Transaction[[#This Row],[Model No.]],$AV$2:$BD$100,2,TRUE)</f>
        <v>Bully Hill Vineyards Love My Goat Baco Noir</v>
      </c>
      <c r="AO179" s="21">
        <f>VLOOKUP(Transaction[[#This Row],[Model No.]],$AV$2:$BD$100,6,TRUE)</f>
        <v>9.49</v>
      </c>
      <c r="AP179" s="9">
        <v>3</v>
      </c>
      <c r="AQ179" s="5">
        <f>Transaction[[#This Row],[Price]]*Transaction[[#This Row],[Qty]]</f>
        <v>28.47</v>
      </c>
      <c r="AR179" s="5">
        <f>VLOOKUP(Transaction[[#This Row],[Model No.]],$AV$2:$BD$100,7,TRUE)*Transaction[[#This Row],[Qty]]</f>
        <v>2.8470000000000004</v>
      </c>
      <c r="AS179">
        <v>1105</v>
      </c>
      <c r="AT179">
        <v>1003</v>
      </c>
    </row>
    <row r="180" spans="36:46" x14ac:dyDescent="0.3">
      <c r="AJ180">
        <v>69425</v>
      </c>
      <c r="AK180" s="30">
        <v>41924</v>
      </c>
      <c r="AL180" t="s">
        <v>1430</v>
      </c>
      <c r="AM180">
        <v>68</v>
      </c>
      <c r="AN180" t="str">
        <f>VLOOKUP(Transaction[[#This Row],[Model No.]],$AV$2:$BD$100,2,TRUE)</f>
        <v>Conti Beretta Estate Bottled Friuli Grave Pinot Grigio</v>
      </c>
      <c r="AO180" s="21">
        <f>VLOOKUP(Transaction[[#This Row],[Model No.]],$AV$2:$BD$100,6,TRUE)</f>
        <v>12.99</v>
      </c>
      <c r="AP180" s="9">
        <v>2</v>
      </c>
      <c r="AQ180" s="5">
        <f>Transaction[[#This Row],[Price]]*Transaction[[#This Row],[Qty]]</f>
        <v>25.98</v>
      </c>
      <c r="AR180" s="5">
        <f>VLOOKUP(Transaction[[#This Row],[Model No.]],$AV$2:$BD$100,7,TRUE)*Transaction[[#This Row],[Qty]]</f>
        <v>2.5980000000000003</v>
      </c>
      <c r="AS180">
        <v>1102</v>
      </c>
      <c r="AT180">
        <v>1002</v>
      </c>
    </row>
    <row r="181" spans="36:46" x14ac:dyDescent="0.3">
      <c r="AJ181">
        <v>41004</v>
      </c>
      <c r="AK181" s="30">
        <v>41926</v>
      </c>
      <c r="AL181" t="s">
        <v>383</v>
      </c>
      <c r="AM181">
        <v>48</v>
      </c>
      <c r="AN181" t="str">
        <f>VLOOKUP(Transaction[[#This Row],[Model No.]],$AV$2:$BD$100,2,TRUE)</f>
        <v>CH TOUR D'AURON</v>
      </c>
      <c r="AO181" s="21">
        <f>VLOOKUP(Transaction[[#This Row],[Model No.]],$AV$2:$BD$100,6,TRUE)</f>
        <v>15.99</v>
      </c>
      <c r="AP181" s="9">
        <v>5</v>
      </c>
      <c r="AQ181" s="5">
        <f>Transaction[[#This Row],[Price]]*Transaction[[#This Row],[Qty]]</f>
        <v>79.95</v>
      </c>
      <c r="AR181" s="5">
        <f>VLOOKUP(Transaction[[#This Row],[Model No.]],$AV$2:$BD$100,7,TRUE)*Transaction[[#This Row],[Qty]]</f>
        <v>31.980000000000004</v>
      </c>
      <c r="AS181">
        <v>1102</v>
      </c>
      <c r="AT181">
        <v>1014</v>
      </c>
    </row>
    <row r="182" spans="36:46" x14ac:dyDescent="0.3">
      <c r="AJ182">
        <v>39606</v>
      </c>
      <c r="AK182" s="30">
        <v>41926</v>
      </c>
      <c r="AL182" t="s">
        <v>819</v>
      </c>
      <c r="AM182">
        <v>89</v>
      </c>
      <c r="AN182" t="str">
        <f>VLOOKUP(Transaction[[#This Row],[Model No.]],$AV$2:$BD$100,2,TRUE)</f>
        <v>Piera Martellozzo Blu Giovello Moscato Puglia IGT Muscat</v>
      </c>
      <c r="AO182" s="21">
        <f>VLOOKUP(Transaction[[#This Row],[Model No.]],$AV$2:$BD$100,6,TRUE)</f>
        <v>8.49</v>
      </c>
      <c r="AP182" s="9">
        <v>3</v>
      </c>
      <c r="AQ182" s="5">
        <f>Transaction[[#This Row],[Price]]*Transaction[[#This Row],[Qty]]</f>
        <v>25.47</v>
      </c>
      <c r="AR182" s="5">
        <f>VLOOKUP(Transaction[[#This Row],[Model No.]],$AV$2:$BD$100,7,TRUE)*Transaction[[#This Row],[Qty]]</f>
        <v>2.5470000000000002</v>
      </c>
      <c r="AS182">
        <v>1102</v>
      </c>
      <c r="AT182">
        <v>1020</v>
      </c>
    </row>
    <row r="183" spans="36:46" x14ac:dyDescent="0.3">
      <c r="AJ183">
        <v>70664</v>
      </c>
      <c r="AK183" s="30">
        <v>41927</v>
      </c>
      <c r="AL183" t="s">
        <v>616</v>
      </c>
      <c r="AM183">
        <v>2</v>
      </c>
      <c r="AN183" t="str">
        <f>VLOOKUP(Transaction[[#This Row],[Model No.]],$AV$2:$BD$100,2,TRUE)</f>
        <v>Grand Marnier Cuvee 1880 Liqueur</v>
      </c>
      <c r="AO183" s="21">
        <f>VLOOKUP(Transaction[[#This Row],[Model No.]],$AV$2:$BD$100,6,TRUE)</f>
        <v>286.99</v>
      </c>
      <c r="AP183" s="9">
        <v>1</v>
      </c>
      <c r="AQ183" s="5">
        <f>Transaction[[#This Row],[Price]]*Transaction[[#This Row],[Qty]]</f>
        <v>286.99</v>
      </c>
      <c r="AR183" s="5">
        <f>VLOOKUP(Transaction[[#This Row],[Model No.]],$AV$2:$BD$100,7,TRUE)*Transaction[[#This Row],[Qty]]</f>
        <v>86.096999999999994</v>
      </c>
      <c r="AS183">
        <v>1106</v>
      </c>
      <c r="AT183">
        <v>1010</v>
      </c>
    </row>
    <row r="184" spans="36:46" x14ac:dyDescent="0.3">
      <c r="AJ184">
        <v>91027</v>
      </c>
      <c r="AK184" s="30">
        <v>41930</v>
      </c>
      <c r="AL184" t="s">
        <v>1438</v>
      </c>
      <c r="AM184">
        <v>29</v>
      </c>
      <c r="AN184" t="str">
        <f>VLOOKUP(Transaction[[#This Row],[Model No.]],$AV$2:$BD$100,2,TRUE)</f>
        <v>SCHLAFLY STOUT BOUT SAMPLER   2/12 - 12 Pack</v>
      </c>
      <c r="AO184" s="21">
        <f>VLOOKUP(Transaction[[#This Row],[Model No.]],$AV$2:$BD$100,6,TRUE)</f>
        <v>22.99</v>
      </c>
      <c r="AP184" s="9">
        <v>5</v>
      </c>
      <c r="AQ184" s="5">
        <f>Transaction[[#This Row],[Price]]*Transaction[[#This Row],[Qty]]</f>
        <v>114.94999999999999</v>
      </c>
      <c r="AR184" s="5">
        <f>VLOOKUP(Transaction[[#This Row],[Model No.]],$AV$2:$BD$100,7,TRUE)*Transaction[[#This Row],[Qty]]</f>
        <v>34.484999999999999</v>
      </c>
      <c r="AS184">
        <v>1105</v>
      </c>
      <c r="AT184">
        <v>1010</v>
      </c>
    </row>
    <row r="185" spans="36:46" x14ac:dyDescent="0.3">
      <c r="AJ185">
        <v>33304</v>
      </c>
      <c r="AK185" s="30">
        <v>41930</v>
      </c>
      <c r="AL185" t="s">
        <v>1829</v>
      </c>
      <c r="AM185">
        <v>37</v>
      </c>
      <c r="AN185" t="str">
        <f>VLOOKUP(Transaction[[#This Row],[Model No.]],$AV$2:$BD$100,2,TRUE)</f>
        <v>Francis Ford Coppola Diamond Collection Black Label Pavilion Chardonnay</v>
      </c>
      <c r="AO185" s="21">
        <f>VLOOKUP(Transaction[[#This Row],[Model No.]],$AV$2:$BD$100,6,TRUE)</f>
        <v>19.989999999999998</v>
      </c>
      <c r="AP185" s="9">
        <v>3</v>
      </c>
      <c r="AQ185" s="5">
        <f>Transaction[[#This Row],[Price]]*Transaction[[#This Row],[Qty]]</f>
        <v>59.97</v>
      </c>
      <c r="AR185" s="5">
        <f>VLOOKUP(Transaction[[#This Row],[Model No.]],$AV$2:$BD$100,7,TRUE)*Transaction[[#This Row],[Qty]]</f>
        <v>5.9969999999999999</v>
      </c>
      <c r="AS185">
        <v>1099</v>
      </c>
      <c r="AT185">
        <v>1009</v>
      </c>
    </row>
    <row r="186" spans="36:46" x14ac:dyDescent="0.3">
      <c r="AJ186">
        <v>85409</v>
      </c>
      <c r="AK186" s="30">
        <v>41933</v>
      </c>
      <c r="AL186" t="s">
        <v>480</v>
      </c>
      <c r="AM186">
        <v>82</v>
      </c>
      <c r="AN186" t="str">
        <f>VLOOKUP(Transaction[[#This Row],[Model No.]],$AV$2:$BD$100,2,TRUE)</f>
        <v>PInnacle Chocolate Whipped Vodka</v>
      </c>
      <c r="AO186" s="21">
        <f>VLOOKUP(Transaction[[#This Row],[Model No.]],$AV$2:$BD$100,6,TRUE)</f>
        <v>10.99</v>
      </c>
      <c r="AP186" s="9">
        <v>3</v>
      </c>
      <c r="AQ186" s="5">
        <f>Transaction[[#This Row],[Price]]*Transaction[[#This Row],[Qty]]</f>
        <v>32.97</v>
      </c>
      <c r="AR186" s="5">
        <f>VLOOKUP(Transaction[[#This Row],[Model No.]],$AV$2:$BD$100,7,TRUE)*Transaction[[#This Row],[Qty]]</f>
        <v>9.891</v>
      </c>
      <c r="AS186">
        <v>1106</v>
      </c>
      <c r="AT186">
        <v>1007</v>
      </c>
    </row>
    <row r="187" spans="36:46" x14ac:dyDescent="0.3">
      <c r="AJ187">
        <v>96846</v>
      </c>
      <c r="AK187" s="30">
        <v>41933</v>
      </c>
      <c r="AL187" t="s">
        <v>451</v>
      </c>
      <c r="AM187">
        <v>93</v>
      </c>
      <c r="AN187" t="str">
        <f>VLOOKUP(Transaction[[#This Row],[Model No.]],$AV$2:$BD$100,2,TRUE)</f>
        <v>Beringer Vineyards Stone Cellars Shiraz</v>
      </c>
      <c r="AO187" s="21">
        <f>VLOOKUP(Transaction[[#This Row],[Model No.]],$AV$2:$BD$100,6,TRUE)</f>
        <v>7.49</v>
      </c>
      <c r="AP187" s="9">
        <v>2</v>
      </c>
      <c r="AQ187" s="5">
        <f>Transaction[[#This Row],[Price]]*Transaction[[#This Row],[Qty]]</f>
        <v>14.98</v>
      </c>
      <c r="AR187" s="5">
        <f>VLOOKUP(Transaction[[#This Row],[Model No.]],$AV$2:$BD$100,7,TRUE)*Transaction[[#This Row],[Qty]]</f>
        <v>1.4980000000000002</v>
      </c>
      <c r="AS187">
        <v>1105</v>
      </c>
      <c r="AT187">
        <v>1004</v>
      </c>
    </row>
    <row r="188" spans="36:46" x14ac:dyDescent="0.3">
      <c r="AJ188">
        <v>59867</v>
      </c>
      <c r="AK188" s="30">
        <v>41935</v>
      </c>
      <c r="AL188" t="s">
        <v>1203</v>
      </c>
      <c r="AM188">
        <v>31</v>
      </c>
      <c r="AN188" t="str">
        <f>VLOOKUP(Transaction[[#This Row],[Model No.]],$AV$2:$BD$100,2,TRUE)</f>
        <v>Gulden Draak 9000 Quadruple - 4 Pack</v>
      </c>
      <c r="AO188" s="21">
        <f>VLOOKUP(Transaction[[#This Row],[Model No.]],$AV$2:$BD$100,6,TRUE)</f>
        <v>21.99</v>
      </c>
      <c r="AP188" s="9">
        <v>3</v>
      </c>
      <c r="AQ188" s="5">
        <f>Transaction[[#This Row],[Price]]*Transaction[[#This Row],[Qty]]</f>
        <v>65.97</v>
      </c>
      <c r="AR188" s="5">
        <f>VLOOKUP(Transaction[[#This Row],[Model No.]],$AV$2:$BD$100,7,TRUE)*Transaction[[#This Row],[Qty]]</f>
        <v>19.790999999999997</v>
      </c>
      <c r="AS188">
        <v>1107</v>
      </c>
      <c r="AT188">
        <v>1008</v>
      </c>
    </row>
    <row r="189" spans="36:46" x14ac:dyDescent="0.3">
      <c r="AJ189">
        <v>89637</v>
      </c>
      <c r="AK189" s="30">
        <v>41936</v>
      </c>
      <c r="AL189" t="s">
        <v>348</v>
      </c>
      <c r="AM189">
        <v>70</v>
      </c>
      <c r="AN189" t="str">
        <f>VLOOKUP(Transaction[[#This Row],[Model No.]],$AV$2:$BD$100,2,TRUE)</f>
        <v>Matchbook Rose Estate Bottled Tempranillo</v>
      </c>
      <c r="AO189" s="21">
        <f>VLOOKUP(Transaction[[#This Row],[Model No.]],$AV$2:$BD$100,6,TRUE)</f>
        <v>12.69</v>
      </c>
      <c r="AP189" s="9">
        <v>4</v>
      </c>
      <c r="AQ189" s="5">
        <f>Transaction[[#This Row],[Price]]*Transaction[[#This Row],[Qty]]</f>
        <v>50.76</v>
      </c>
      <c r="AR189" s="5">
        <f>VLOOKUP(Transaction[[#This Row],[Model No.]],$AV$2:$BD$100,7,TRUE)*Transaction[[#This Row],[Qty]]</f>
        <v>5.0760000000000005</v>
      </c>
      <c r="AS189">
        <v>1103</v>
      </c>
      <c r="AT189">
        <v>1006</v>
      </c>
    </row>
    <row r="190" spans="36:46" x14ac:dyDescent="0.3">
      <c r="AJ190">
        <v>51594</v>
      </c>
      <c r="AK190" s="30">
        <v>41939</v>
      </c>
      <c r="AL190" t="s">
        <v>577</v>
      </c>
      <c r="AM190">
        <v>19</v>
      </c>
      <c r="AN190" t="str">
        <f>VLOOKUP(Transaction[[#This Row],[Model No.]],$AV$2:$BD$100,2,TRUE)</f>
        <v>District Made Vodka</v>
      </c>
      <c r="AO190" s="21">
        <f>VLOOKUP(Transaction[[#This Row],[Model No.]],$AV$2:$BD$100,6,TRUE)</f>
        <v>29.99</v>
      </c>
      <c r="AP190" s="9">
        <v>2</v>
      </c>
      <c r="AQ190" s="5">
        <f>Transaction[[#This Row],[Price]]*Transaction[[#This Row],[Qty]]</f>
        <v>59.98</v>
      </c>
      <c r="AR190" s="5">
        <f>VLOOKUP(Transaction[[#This Row],[Model No.]],$AV$2:$BD$100,7,TRUE)*Transaction[[#This Row],[Qty]]</f>
        <v>17.994</v>
      </c>
      <c r="AS190">
        <v>1105</v>
      </c>
      <c r="AT190">
        <v>1007</v>
      </c>
    </row>
    <row r="191" spans="36:46" x14ac:dyDescent="0.3">
      <c r="AJ191">
        <v>83322</v>
      </c>
      <c r="AK191" s="30">
        <v>41940</v>
      </c>
      <c r="AL191" t="s">
        <v>1638</v>
      </c>
      <c r="AM191">
        <v>10</v>
      </c>
      <c r="AN191" t="str">
        <f>VLOOKUP(Transaction[[#This Row],[Model No.]],$AV$2:$BD$100,2,TRUE)</f>
        <v>Hum Botanical Spirit Liqueur</v>
      </c>
      <c r="AO191" s="21">
        <f>VLOOKUP(Transaction[[#This Row],[Model No.]],$AV$2:$BD$100,6,TRUE)</f>
        <v>41.99</v>
      </c>
      <c r="AP191" s="9">
        <v>3</v>
      </c>
      <c r="AQ191" s="5">
        <f>Transaction[[#This Row],[Price]]*Transaction[[#This Row],[Qty]]</f>
        <v>125.97</v>
      </c>
      <c r="AR191" s="5">
        <f>VLOOKUP(Transaction[[#This Row],[Model No.]],$AV$2:$BD$100,7,TRUE)*Transaction[[#This Row],[Qty]]</f>
        <v>37.790999999999997</v>
      </c>
      <c r="AS191">
        <v>1101</v>
      </c>
      <c r="AT191">
        <v>1009</v>
      </c>
    </row>
    <row r="192" spans="36:46" x14ac:dyDescent="0.3">
      <c r="AJ192">
        <v>51375</v>
      </c>
      <c r="AK192" s="30">
        <v>41940</v>
      </c>
      <c r="AL192" t="s">
        <v>1190</v>
      </c>
      <c r="AM192">
        <v>17</v>
      </c>
      <c r="AN192" t="str">
        <f>VLOOKUP(Transaction[[#This Row],[Model No.]],$AV$2:$BD$100,2,TRUE)</f>
        <v>Miller Lite Can - 24 Pack</v>
      </c>
      <c r="AO192" s="21">
        <f>VLOOKUP(Transaction[[#This Row],[Model No.]],$AV$2:$BD$100,6,TRUE)</f>
        <v>30.99</v>
      </c>
      <c r="AP192" s="9">
        <v>4</v>
      </c>
      <c r="AQ192" s="5">
        <f>Transaction[[#This Row],[Price]]*Transaction[[#This Row],[Qty]]</f>
        <v>123.96</v>
      </c>
      <c r="AR192" s="5">
        <f>VLOOKUP(Transaction[[#This Row],[Model No.]],$AV$2:$BD$100,7,TRUE)*Transaction[[#This Row],[Qty]]</f>
        <v>37.187999999999995</v>
      </c>
      <c r="AS192">
        <v>1105</v>
      </c>
      <c r="AT192">
        <v>1011</v>
      </c>
    </row>
    <row r="193" spans="36:46" x14ac:dyDescent="0.3">
      <c r="AJ193">
        <v>23478</v>
      </c>
      <c r="AK193" s="30">
        <v>41940</v>
      </c>
      <c r="AL193" t="s">
        <v>1349</v>
      </c>
      <c r="AM193">
        <v>37</v>
      </c>
      <c r="AN193" t="str">
        <f>VLOOKUP(Transaction[[#This Row],[Model No.]],$AV$2:$BD$100,2,TRUE)</f>
        <v>Francis Ford Coppola Diamond Collection Black Label Pavilion Chardonnay</v>
      </c>
      <c r="AO193" s="21">
        <f>VLOOKUP(Transaction[[#This Row],[Model No.]],$AV$2:$BD$100,6,TRUE)</f>
        <v>19.989999999999998</v>
      </c>
      <c r="AP193" s="9">
        <v>5</v>
      </c>
      <c r="AQ193" s="5">
        <f>Transaction[[#This Row],[Price]]*Transaction[[#This Row],[Qty]]</f>
        <v>99.949999999999989</v>
      </c>
      <c r="AR193" s="5">
        <f>VLOOKUP(Transaction[[#This Row],[Model No.]],$AV$2:$BD$100,7,TRUE)*Transaction[[#This Row],[Qty]]</f>
        <v>9.9949999999999992</v>
      </c>
      <c r="AS193">
        <v>1107</v>
      </c>
      <c r="AT193">
        <v>1011</v>
      </c>
    </row>
    <row r="194" spans="36:46" x14ac:dyDescent="0.3">
      <c r="AJ194">
        <v>70199</v>
      </c>
      <c r="AK194" s="30">
        <v>41940</v>
      </c>
      <c r="AL194" t="s">
        <v>1769</v>
      </c>
      <c r="AM194">
        <v>84</v>
      </c>
      <c r="AN194" t="str">
        <f>VLOOKUP(Transaction[[#This Row],[Model No.]],$AV$2:$BD$100,2,TRUE)</f>
        <v>UV Blue Raspberry Vodka</v>
      </c>
      <c r="AO194" s="21">
        <f>VLOOKUP(Transaction[[#This Row],[Model No.]],$AV$2:$BD$100,6,TRUE)</f>
        <v>10.49</v>
      </c>
      <c r="AP194" s="9">
        <v>1</v>
      </c>
      <c r="AQ194" s="5">
        <f>Transaction[[#This Row],[Price]]*Transaction[[#This Row],[Qty]]</f>
        <v>10.49</v>
      </c>
      <c r="AR194" s="5">
        <f>VLOOKUP(Transaction[[#This Row],[Model No.]],$AV$2:$BD$100,7,TRUE)*Transaction[[#This Row],[Qty]]</f>
        <v>3.1469999999999998</v>
      </c>
      <c r="AS194">
        <v>1101</v>
      </c>
      <c r="AT194">
        <v>1001</v>
      </c>
    </row>
    <row r="195" spans="36:46" x14ac:dyDescent="0.3">
      <c r="AJ195">
        <v>48318</v>
      </c>
      <c r="AK195" s="30">
        <v>41941</v>
      </c>
      <c r="AL195" t="s">
        <v>1127</v>
      </c>
      <c r="AM195">
        <v>30</v>
      </c>
      <c r="AN195" t="str">
        <f>VLOOKUP(Transaction[[#This Row],[Model No.]],$AV$2:$BD$100,2,TRUE)</f>
        <v>Kahlua Cinnamon Spice Liqueur</v>
      </c>
      <c r="AO195" s="21">
        <f>VLOOKUP(Transaction[[#This Row],[Model No.]],$AV$2:$BD$100,6,TRUE)</f>
        <v>22.99</v>
      </c>
      <c r="AP195" s="9">
        <v>1</v>
      </c>
      <c r="AQ195" s="5">
        <f>Transaction[[#This Row],[Price]]*Transaction[[#This Row],[Qty]]</f>
        <v>22.99</v>
      </c>
      <c r="AR195" s="5">
        <f>VLOOKUP(Transaction[[#This Row],[Model No.]],$AV$2:$BD$100,7,TRUE)*Transaction[[#This Row],[Qty]]</f>
        <v>6.8969999999999994</v>
      </c>
      <c r="AS195">
        <v>1098</v>
      </c>
      <c r="AT195">
        <v>1009</v>
      </c>
    </row>
    <row r="196" spans="36:46" x14ac:dyDescent="0.3">
      <c r="AJ196">
        <v>85794</v>
      </c>
      <c r="AK196" s="30">
        <v>41942</v>
      </c>
      <c r="AL196" t="s">
        <v>404</v>
      </c>
      <c r="AM196">
        <v>29</v>
      </c>
      <c r="AN196" t="str">
        <f>VLOOKUP(Transaction[[#This Row],[Model No.]],$AV$2:$BD$100,2,TRUE)</f>
        <v>SCHLAFLY STOUT BOUT SAMPLER   2/12 - 12 Pack</v>
      </c>
      <c r="AO196" s="21">
        <f>VLOOKUP(Transaction[[#This Row],[Model No.]],$AV$2:$BD$100,6,TRUE)</f>
        <v>22.99</v>
      </c>
      <c r="AP196" s="9">
        <v>4</v>
      </c>
      <c r="AQ196" s="5">
        <f>Transaction[[#This Row],[Price]]*Transaction[[#This Row],[Qty]]</f>
        <v>91.96</v>
      </c>
      <c r="AR196" s="5">
        <f>VLOOKUP(Transaction[[#This Row],[Model No.]],$AV$2:$BD$100,7,TRUE)*Transaction[[#This Row],[Qty]]</f>
        <v>27.587999999999997</v>
      </c>
      <c r="AS196">
        <v>1098</v>
      </c>
      <c r="AT196">
        <v>1014</v>
      </c>
    </row>
    <row r="197" spans="36:46" x14ac:dyDescent="0.3">
      <c r="AJ197">
        <v>91559</v>
      </c>
      <c r="AK197" s="30">
        <v>41942</v>
      </c>
      <c r="AL197" t="s">
        <v>990</v>
      </c>
      <c r="AM197">
        <v>73</v>
      </c>
      <c r="AN197" t="str">
        <f>VLOOKUP(Transaction[[#This Row],[Model No.]],$AV$2:$BD$100,2,TRUE)</f>
        <v>Schlafly Oktoberfest - 6 Pack</v>
      </c>
      <c r="AO197" s="21">
        <f>VLOOKUP(Transaction[[#This Row],[Model No.]],$AV$2:$BD$100,6,TRUE)</f>
        <v>11.99</v>
      </c>
      <c r="AP197" s="9">
        <v>3</v>
      </c>
      <c r="AQ197" s="5">
        <f>Transaction[[#This Row],[Price]]*Transaction[[#This Row],[Qty]]</f>
        <v>35.97</v>
      </c>
      <c r="AR197" s="5">
        <f>VLOOKUP(Transaction[[#This Row],[Model No.]],$AV$2:$BD$100,7,TRUE)*Transaction[[#This Row],[Qty]]</f>
        <v>10.791</v>
      </c>
      <c r="AS197">
        <v>1101</v>
      </c>
      <c r="AT197">
        <v>1005</v>
      </c>
    </row>
    <row r="198" spans="36:46" x14ac:dyDescent="0.3">
      <c r="AJ198">
        <v>51228</v>
      </c>
      <c r="AK198" s="30">
        <v>41943</v>
      </c>
      <c r="AL198" t="s">
        <v>618</v>
      </c>
      <c r="AM198">
        <v>9</v>
      </c>
      <c r="AN198" t="str">
        <f>VLOOKUP(Transaction[[#This Row],[Model No.]],$AV$2:$BD$100,2,TRUE)</f>
        <v>Ass Kisser Double IPA - 12 Pack</v>
      </c>
      <c r="AO198" s="21">
        <f>VLOOKUP(Transaction[[#This Row],[Model No.]],$AV$2:$BD$100,6,TRUE)</f>
        <v>43.99</v>
      </c>
      <c r="AP198" s="9">
        <v>1</v>
      </c>
      <c r="AQ198" s="5">
        <f>Transaction[[#This Row],[Price]]*Transaction[[#This Row],[Qty]]</f>
        <v>43.99</v>
      </c>
      <c r="AR198" s="5">
        <f>VLOOKUP(Transaction[[#This Row],[Model No.]],$AV$2:$BD$100,7,TRUE)*Transaction[[#This Row],[Qty]]</f>
        <v>13.197000000000001</v>
      </c>
      <c r="AS198">
        <v>1100</v>
      </c>
      <c r="AT198">
        <v>1019</v>
      </c>
    </row>
    <row r="199" spans="36:46" x14ac:dyDescent="0.3">
      <c r="AJ199">
        <v>37285</v>
      </c>
      <c r="AK199" s="30">
        <v>41943</v>
      </c>
      <c r="AL199" t="s">
        <v>1247</v>
      </c>
      <c r="AM199">
        <v>19</v>
      </c>
      <c r="AN199" t="str">
        <f>VLOOKUP(Transaction[[#This Row],[Model No.]],$AV$2:$BD$100,2,TRUE)</f>
        <v>District Made Vodka</v>
      </c>
      <c r="AO199" s="21">
        <f>VLOOKUP(Transaction[[#This Row],[Model No.]],$AV$2:$BD$100,6,TRUE)</f>
        <v>29.99</v>
      </c>
      <c r="AP199" s="9">
        <v>4</v>
      </c>
      <c r="AQ199" s="5">
        <f>Transaction[[#This Row],[Price]]*Transaction[[#This Row],[Qty]]</f>
        <v>119.96</v>
      </c>
      <c r="AR199" s="5">
        <f>VLOOKUP(Transaction[[#This Row],[Model No.]],$AV$2:$BD$100,7,TRUE)*Transaction[[#This Row],[Qty]]</f>
        <v>35.988</v>
      </c>
      <c r="AS199">
        <v>1102</v>
      </c>
      <c r="AT199">
        <v>1011</v>
      </c>
    </row>
    <row r="200" spans="36:46" x14ac:dyDescent="0.3">
      <c r="AJ200">
        <v>95305</v>
      </c>
      <c r="AK200" s="30">
        <v>41943</v>
      </c>
      <c r="AL200" t="s">
        <v>1321</v>
      </c>
      <c r="AM200">
        <v>23</v>
      </c>
      <c r="AN200" t="str">
        <f>VLOOKUP(Transaction[[#This Row],[Model No.]],$AV$2:$BD$100,2,TRUE)</f>
        <v>Brinley Gold Shipwreck Mango Rum</v>
      </c>
      <c r="AO200" s="21">
        <f>VLOOKUP(Transaction[[#This Row],[Model No.]],$AV$2:$BD$100,6,TRUE)</f>
        <v>25.99</v>
      </c>
      <c r="AP200" s="9">
        <v>1</v>
      </c>
      <c r="AQ200" s="5">
        <f>Transaction[[#This Row],[Price]]*Transaction[[#This Row],[Qty]]</f>
        <v>25.99</v>
      </c>
      <c r="AR200" s="5">
        <f>VLOOKUP(Transaction[[#This Row],[Model No.]],$AV$2:$BD$100,7,TRUE)*Transaction[[#This Row],[Qty]]</f>
        <v>5.1980000000000004</v>
      </c>
      <c r="AS200">
        <v>1108</v>
      </c>
      <c r="AT200">
        <v>1003</v>
      </c>
    </row>
    <row r="201" spans="36:46" x14ac:dyDescent="0.3">
      <c r="AJ201">
        <v>64933</v>
      </c>
      <c r="AK201" s="30">
        <v>41944</v>
      </c>
      <c r="AL201" t="s">
        <v>859</v>
      </c>
      <c r="AM201">
        <v>81</v>
      </c>
      <c r="AN201" t="str">
        <f>VLOOKUP(Transaction[[#This Row],[Model No.]],$AV$2:$BD$100,2,TRUE)</f>
        <v>TerraNoble Reserva La Higuera Vineyard Carmenere</v>
      </c>
      <c r="AO201" s="21">
        <f>VLOOKUP(Transaction[[#This Row],[Model No.]],$AV$2:$BD$100,6,TRUE)</f>
        <v>10.99</v>
      </c>
      <c r="AP201" s="9">
        <v>5</v>
      </c>
      <c r="AQ201" s="5">
        <f>Transaction[[#This Row],[Price]]*Transaction[[#This Row],[Qty]]</f>
        <v>54.95</v>
      </c>
      <c r="AR201" s="5">
        <f>VLOOKUP(Transaction[[#This Row],[Model No.]],$AV$2:$BD$100,7,TRUE)*Transaction[[#This Row],[Qty]]</f>
        <v>16.484999999999999</v>
      </c>
      <c r="AS201">
        <v>1108</v>
      </c>
      <c r="AT201">
        <v>1001</v>
      </c>
    </row>
    <row r="202" spans="36:46" x14ac:dyDescent="0.3">
      <c r="AJ202">
        <v>59851</v>
      </c>
      <c r="AK202" s="30">
        <v>41945</v>
      </c>
      <c r="AL202" t="s">
        <v>388</v>
      </c>
      <c r="AM202">
        <v>63</v>
      </c>
      <c r="AN202" t="str">
        <f>VLOOKUP(Transaction[[#This Row],[Model No.]],$AV$2:$BD$100,2,TRUE)</f>
        <v>Troegs LaGrave - 4 Pack</v>
      </c>
      <c r="AO202" s="21">
        <f>VLOOKUP(Transaction[[#This Row],[Model No.]],$AV$2:$BD$100,6,TRUE)</f>
        <v>12.99</v>
      </c>
      <c r="AP202" s="9">
        <v>1</v>
      </c>
      <c r="AQ202" s="5">
        <f>Transaction[[#This Row],[Price]]*Transaction[[#This Row],[Qty]]</f>
        <v>12.99</v>
      </c>
      <c r="AR202" s="5">
        <f>VLOOKUP(Transaction[[#This Row],[Model No.]],$AV$2:$BD$100,7,TRUE)*Transaction[[#This Row],[Qty]]</f>
        <v>3.8969999999999998</v>
      </c>
      <c r="AS202">
        <v>1108</v>
      </c>
      <c r="AT202">
        <v>1020</v>
      </c>
    </row>
    <row r="203" spans="36:46" x14ac:dyDescent="0.3">
      <c r="AJ203">
        <v>80633</v>
      </c>
      <c r="AK203" s="30">
        <v>41946</v>
      </c>
      <c r="AL203" t="s">
        <v>1439</v>
      </c>
      <c r="AM203">
        <v>3</v>
      </c>
      <c r="AN203" t="str">
        <f>VLOOKUP(Transaction[[#This Row],[Model No.]],$AV$2:$BD$100,2,TRUE)</f>
        <v>Compass Box Orangerie Scotch Whisky</v>
      </c>
      <c r="AO203" s="21">
        <f>VLOOKUP(Transaction[[#This Row],[Model No.]],$AV$2:$BD$100,6,TRUE)</f>
        <v>56.99</v>
      </c>
      <c r="AP203" s="9">
        <v>5</v>
      </c>
      <c r="AQ203" s="5">
        <f>Transaction[[#This Row],[Price]]*Transaction[[#This Row],[Qty]]</f>
        <v>284.95</v>
      </c>
      <c r="AR203" s="5">
        <f>VLOOKUP(Transaction[[#This Row],[Model No.]],$AV$2:$BD$100,7,TRUE)*Transaction[[#This Row],[Qty]]</f>
        <v>85.485000000000014</v>
      </c>
      <c r="AS203">
        <v>1104</v>
      </c>
      <c r="AT203">
        <v>1012</v>
      </c>
    </row>
    <row r="204" spans="36:46" x14ac:dyDescent="0.3">
      <c r="AJ204">
        <v>64766</v>
      </c>
      <c r="AK204" s="30">
        <v>41946</v>
      </c>
      <c r="AL204" t="s">
        <v>908</v>
      </c>
      <c r="AM204">
        <v>66</v>
      </c>
      <c r="AN204" t="str">
        <f>VLOOKUP(Transaction[[#This Row],[Model No.]],$AV$2:$BD$100,2,TRUE)</f>
        <v>Red Horse Beer - 6 Pack</v>
      </c>
      <c r="AO204" s="21">
        <f>VLOOKUP(Transaction[[#This Row],[Model No.]],$AV$2:$BD$100,6,TRUE)</f>
        <v>12.99</v>
      </c>
      <c r="AP204" s="9">
        <v>1</v>
      </c>
      <c r="AQ204" s="5">
        <f>Transaction[[#This Row],[Price]]*Transaction[[#This Row],[Qty]]</f>
        <v>12.99</v>
      </c>
      <c r="AR204" s="5">
        <f>VLOOKUP(Transaction[[#This Row],[Model No.]],$AV$2:$BD$100,7,TRUE)*Transaction[[#This Row],[Qty]]</f>
        <v>3.8969999999999998</v>
      </c>
      <c r="AS204">
        <v>1100</v>
      </c>
      <c r="AT204">
        <v>1005</v>
      </c>
    </row>
    <row r="205" spans="36:46" x14ac:dyDescent="0.3">
      <c r="AJ205">
        <v>73845</v>
      </c>
      <c r="AK205" s="30">
        <v>41948</v>
      </c>
      <c r="AL205" t="s">
        <v>1713</v>
      </c>
      <c r="AM205">
        <v>8</v>
      </c>
      <c r="AN205" t="str">
        <f>VLOOKUP(Transaction[[#This Row],[Model No.]],$AV$2:$BD$100,2,TRUE)</f>
        <v>Roco Marsh Estate Vineyard Pinot Noir</v>
      </c>
      <c r="AO205" s="21">
        <f>VLOOKUP(Transaction[[#This Row],[Model No.]],$AV$2:$BD$100,6,TRUE)</f>
        <v>44.99</v>
      </c>
      <c r="AP205" s="9">
        <v>1</v>
      </c>
      <c r="AQ205" s="5">
        <f>Transaction[[#This Row],[Price]]*Transaction[[#This Row],[Qty]]</f>
        <v>44.99</v>
      </c>
      <c r="AR205" s="5">
        <f>VLOOKUP(Transaction[[#This Row],[Model No.]],$AV$2:$BD$100,7,TRUE)*Transaction[[#This Row],[Qty]]</f>
        <v>4.4990000000000006</v>
      </c>
      <c r="AS205">
        <v>1098</v>
      </c>
      <c r="AT205">
        <v>1017</v>
      </c>
    </row>
    <row r="206" spans="36:46" x14ac:dyDescent="0.3">
      <c r="AJ206">
        <v>75542</v>
      </c>
      <c r="AK206" s="30">
        <v>41948</v>
      </c>
      <c r="AL206" t="s">
        <v>850</v>
      </c>
      <c r="AM206">
        <v>22</v>
      </c>
      <c r="AN206" t="str">
        <f>VLOOKUP(Transaction[[#This Row],[Model No.]],$AV$2:$BD$100,2,TRUE)</f>
        <v>Efe Raki Black Triple Distilled Liqueur</v>
      </c>
      <c r="AO206" s="21">
        <f>VLOOKUP(Transaction[[#This Row],[Model No.]],$AV$2:$BD$100,6,TRUE)</f>
        <v>25.99</v>
      </c>
      <c r="AP206" s="9">
        <v>3</v>
      </c>
      <c r="AQ206" s="5">
        <f>Transaction[[#This Row],[Price]]*Transaction[[#This Row],[Qty]]</f>
        <v>77.97</v>
      </c>
      <c r="AR206" s="5">
        <f>VLOOKUP(Transaction[[#This Row],[Model No.]],$AV$2:$BD$100,7,TRUE)*Transaction[[#This Row],[Qty]]</f>
        <v>23.390999999999998</v>
      </c>
      <c r="AS206">
        <v>1107</v>
      </c>
      <c r="AT206">
        <v>1002</v>
      </c>
    </row>
    <row r="207" spans="36:46" x14ac:dyDescent="0.3">
      <c r="AJ207">
        <v>45736</v>
      </c>
      <c r="AK207" s="30">
        <v>41949</v>
      </c>
      <c r="AL207" t="s">
        <v>909</v>
      </c>
      <c r="AM207">
        <v>61</v>
      </c>
      <c r="AN207" t="str">
        <f>VLOOKUP(Transaction[[#This Row],[Model No.]],$AV$2:$BD$100,2,TRUE)</f>
        <v>He'Brew Genesis Dry Hopped Session Ale - 6 Pack</v>
      </c>
      <c r="AO207" s="21">
        <f>VLOOKUP(Transaction[[#This Row],[Model No.]],$AV$2:$BD$100,6,TRUE)</f>
        <v>12.99</v>
      </c>
      <c r="AP207" s="9">
        <v>5</v>
      </c>
      <c r="AQ207" s="5">
        <f>Transaction[[#This Row],[Price]]*Transaction[[#This Row],[Qty]]</f>
        <v>64.95</v>
      </c>
      <c r="AR207" s="5">
        <f>VLOOKUP(Transaction[[#This Row],[Model No.]],$AV$2:$BD$100,7,TRUE)*Transaction[[#This Row],[Qty]]</f>
        <v>19.484999999999999</v>
      </c>
      <c r="AS207">
        <v>1101</v>
      </c>
      <c r="AT207">
        <v>1010</v>
      </c>
    </row>
    <row r="208" spans="36:46" x14ac:dyDescent="0.3">
      <c r="AJ208">
        <v>43997</v>
      </c>
      <c r="AK208" s="30">
        <v>41950</v>
      </c>
      <c r="AL208" t="s">
        <v>665</v>
      </c>
      <c r="AM208">
        <v>32</v>
      </c>
      <c r="AN208" t="str">
        <f>VLOOKUP(Transaction[[#This Row],[Model No.]],$AV$2:$BD$100,2,TRUE)</f>
        <v>Sugar Island Spiced Rum</v>
      </c>
      <c r="AO208" s="21">
        <f>VLOOKUP(Transaction[[#This Row],[Model No.]],$AV$2:$BD$100,6,TRUE)</f>
        <v>21.99</v>
      </c>
      <c r="AP208" s="9">
        <v>1</v>
      </c>
      <c r="AQ208" s="5">
        <f>Transaction[[#This Row],[Price]]*Transaction[[#This Row],[Qty]]</f>
        <v>21.99</v>
      </c>
      <c r="AR208" s="5">
        <f>VLOOKUP(Transaction[[#This Row],[Model No.]],$AV$2:$BD$100,7,TRUE)*Transaction[[#This Row],[Qty]]</f>
        <v>4.3979999999999997</v>
      </c>
      <c r="AS208">
        <v>1108</v>
      </c>
      <c r="AT208">
        <v>1004</v>
      </c>
    </row>
    <row r="209" spans="36:46" x14ac:dyDescent="0.3">
      <c r="AJ209">
        <v>81086</v>
      </c>
      <c r="AK209" s="30">
        <v>41950</v>
      </c>
      <c r="AL209" t="s">
        <v>615</v>
      </c>
      <c r="AM209">
        <v>69</v>
      </c>
      <c r="AN209" t="str">
        <f>VLOOKUP(Transaction[[#This Row],[Model No.]],$AV$2:$BD$100,2,TRUE)</f>
        <v>Castillo de Maluenda Vinas Viejas Punto y Coma Garnacha</v>
      </c>
      <c r="AO209" s="21">
        <f>VLOOKUP(Transaction[[#This Row],[Model No.]],$AV$2:$BD$100,6,TRUE)</f>
        <v>12.99</v>
      </c>
      <c r="AP209" s="9">
        <v>5</v>
      </c>
      <c r="AQ209" s="5">
        <f>Transaction[[#This Row],[Price]]*Transaction[[#This Row],[Qty]]</f>
        <v>64.95</v>
      </c>
      <c r="AR209" s="5">
        <f>VLOOKUP(Transaction[[#This Row],[Model No.]],$AV$2:$BD$100,7,TRUE)*Transaction[[#This Row],[Qty]]</f>
        <v>25.980000000000004</v>
      </c>
      <c r="AS209">
        <v>1105</v>
      </c>
      <c r="AT209">
        <v>1019</v>
      </c>
    </row>
    <row r="210" spans="36:46" x14ac:dyDescent="0.3">
      <c r="AJ210">
        <v>97036</v>
      </c>
      <c r="AK210" s="30">
        <v>41950</v>
      </c>
      <c r="AL210" t="s">
        <v>1323</v>
      </c>
      <c r="AM210">
        <v>64</v>
      </c>
      <c r="AN210" t="str">
        <f>VLOOKUP(Transaction[[#This Row],[Model No.]],$AV$2:$BD$100,2,TRUE)</f>
        <v>Maui Brewing Big Swell IPA - 6 Pack</v>
      </c>
      <c r="AO210" s="21">
        <f>VLOOKUP(Transaction[[#This Row],[Model No.]],$AV$2:$BD$100,6,TRUE)</f>
        <v>12.99</v>
      </c>
      <c r="AP210" s="9">
        <v>3</v>
      </c>
      <c r="AQ210" s="5">
        <f>Transaction[[#This Row],[Price]]*Transaction[[#This Row],[Qty]]</f>
        <v>38.97</v>
      </c>
      <c r="AR210" s="5">
        <f>VLOOKUP(Transaction[[#This Row],[Model No.]],$AV$2:$BD$100,7,TRUE)*Transaction[[#This Row],[Qty]]</f>
        <v>11.690999999999999</v>
      </c>
      <c r="AS210">
        <v>1107</v>
      </c>
      <c r="AT210">
        <v>1019</v>
      </c>
    </row>
    <row r="211" spans="36:46" x14ac:dyDescent="0.3">
      <c r="AJ211">
        <v>89274</v>
      </c>
      <c r="AK211" s="30">
        <v>41950</v>
      </c>
      <c r="AL211" t="s">
        <v>1222</v>
      </c>
      <c r="AM211">
        <v>88</v>
      </c>
      <c r="AN211" t="str">
        <f>VLOOKUP(Transaction[[#This Row],[Model No.]],$AV$2:$BD$100,2,TRUE)</f>
        <v>Ermita de Petrer Tinto Organic Alicante</v>
      </c>
      <c r="AO211" s="21">
        <f>VLOOKUP(Transaction[[#This Row],[Model No.]],$AV$2:$BD$100,6,TRUE)</f>
        <v>8.99</v>
      </c>
      <c r="AP211" s="9">
        <v>5</v>
      </c>
      <c r="AQ211" s="5">
        <f>Transaction[[#This Row],[Price]]*Transaction[[#This Row],[Qty]]</f>
        <v>44.95</v>
      </c>
      <c r="AR211" s="5">
        <f>VLOOKUP(Transaction[[#This Row],[Model No.]],$AV$2:$BD$100,7,TRUE)*Transaction[[#This Row],[Qty]]</f>
        <v>17.98</v>
      </c>
      <c r="AS211">
        <v>1099</v>
      </c>
      <c r="AT211">
        <v>1014</v>
      </c>
    </row>
    <row r="212" spans="36:46" x14ac:dyDescent="0.3">
      <c r="AJ212">
        <v>87421</v>
      </c>
      <c r="AK212" s="30">
        <v>41951</v>
      </c>
      <c r="AL212" t="s">
        <v>502</v>
      </c>
      <c r="AM212">
        <v>55</v>
      </c>
      <c r="AN212" t="str">
        <f>VLOOKUP(Transaction[[#This Row],[Model No.]],$AV$2:$BD$100,2,TRUE)</f>
        <v>Clos du Bois Hand Selected Lots Shiraz</v>
      </c>
      <c r="AO212" s="21">
        <f>VLOOKUP(Transaction[[#This Row],[Model No.]],$AV$2:$BD$100,6,TRUE)</f>
        <v>14.49</v>
      </c>
      <c r="AP212" s="9">
        <v>4</v>
      </c>
      <c r="AQ212" s="5">
        <f>Transaction[[#This Row],[Price]]*Transaction[[#This Row],[Qty]]</f>
        <v>57.96</v>
      </c>
      <c r="AR212" s="5">
        <f>VLOOKUP(Transaction[[#This Row],[Model No.]],$AV$2:$BD$100,7,TRUE)*Transaction[[#This Row],[Qty]]</f>
        <v>5.7960000000000003</v>
      </c>
      <c r="AS212">
        <v>1104</v>
      </c>
      <c r="AT212">
        <v>1019</v>
      </c>
    </row>
    <row r="213" spans="36:46" x14ac:dyDescent="0.3">
      <c r="AJ213">
        <v>69952</v>
      </c>
      <c r="AK213" s="30">
        <v>41952</v>
      </c>
      <c r="AL213" t="s">
        <v>895</v>
      </c>
      <c r="AM213">
        <v>12</v>
      </c>
      <c r="AN213" t="str">
        <f>VLOOKUP(Transaction[[#This Row],[Model No.]],$AV$2:$BD$100,2,TRUE)</f>
        <v>Cuvaison Pinot Noir</v>
      </c>
      <c r="AO213" s="21">
        <f>VLOOKUP(Transaction[[#This Row],[Model No.]],$AV$2:$BD$100,6,TRUE)</f>
        <v>36.99</v>
      </c>
      <c r="AP213" s="9">
        <v>2</v>
      </c>
      <c r="AQ213" s="5">
        <f>Transaction[[#This Row],[Price]]*Transaction[[#This Row],[Qty]]</f>
        <v>73.98</v>
      </c>
      <c r="AR213" s="5">
        <f>VLOOKUP(Transaction[[#This Row],[Model No.]],$AV$2:$BD$100,7,TRUE)*Transaction[[#This Row],[Qty]]</f>
        <v>7.3980000000000006</v>
      </c>
      <c r="AS213">
        <v>1105</v>
      </c>
      <c r="AT213">
        <v>1002</v>
      </c>
    </row>
    <row r="214" spans="36:46" x14ac:dyDescent="0.3">
      <c r="AJ214">
        <v>39124</v>
      </c>
      <c r="AK214" s="30">
        <v>41952</v>
      </c>
      <c r="AL214" t="s">
        <v>1104</v>
      </c>
      <c r="AM214">
        <v>27</v>
      </c>
      <c r="AN214" t="str">
        <f>VLOOKUP(Transaction[[#This Row],[Model No.]],$AV$2:$BD$100,2,TRUE)</f>
        <v>Prairie Organic Gin</v>
      </c>
      <c r="AO214" s="21">
        <f>VLOOKUP(Transaction[[#This Row],[Model No.]],$AV$2:$BD$100,6,TRUE)</f>
        <v>23.99</v>
      </c>
      <c r="AP214" s="9">
        <v>1</v>
      </c>
      <c r="AQ214" s="5">
        <f>Transaction[[#This Row],[Price]]*Transaction[[#This Row],[Qty]]</f>
        <v>23.99</v>
      </c>
      <c r="AR214" s="5">
        <f>VLOOKUP(Transaction[[#This Row],[Model No.]],$AV$2:$BD$100,7,TRUE)*Transaction[[#This Row],[Qty]]</f>
        <v>9.5960000000000001</v>
      </c>
      <c r="AS214">
        <v>1104</v>
      </c>
      <c r="AT214">
        <v>1003</v>
      </c>
    </row>
    <row r="215" spans="36:46" x14ac:dyDescent="0.3">
      <c r="AJ215">
        <v>37318</v>
      </c>
      <c r="AK215" s="30">
        <v>41953</v>
      </c>
      <c r="AL215" t="s">
        <v>1700</v>
      </c>
      <c r="AM215">
        <v>25</v>
      </c>
      <c r="AN215" t="str">
        <f>VLOOKUP(Transaction[[#This Row],[Model No.]],$AV$2:$BD$100,2,TRUE)</f>
        <v>ICEHOUSE 4/6 LNNR - 24 Pack</v>
      </c>
      <c r="AO215" s="21">
        <f>VLOOKUP(Transaction[[#This Row],[Model No.]],$AV$2:$BD$100,6,TRUE)</f>
        <v>23.99</v>
      </c>
      <c r="AP215" s="9">
        <v>2</v>
      </c>
      <c r="AQ215" s="5">
        <f>Transaction[[#This Row],[Price]]*Transaction[[#This Row],[Qty]]</f>
        <v>47.98</v>
      </c>
      <c r="AR215" s="5">
        <f>VLOOKUP(Transaction[[#This Row],[Model No.]],$AV$2:$BD$100,7,TRUE)*Transaction[[#This Row],[Qty]]</f>
        <v>14.393999999999998</v>
      </c>
      <c r="AS215">
        <v>1104</v>
      </c>
      <c r="AT215">
        <v>1005</v>
      </c>
    </row>
    <row r="216" spans="36:46" x14ac:dyDescent="0.3">
      <c r="AJ216">
        <v>76893</v>
      </c>
      <c r="AK216" s="30">
        <v>41955</v>
      </c>
      <c r="AL216" t="s">
        <v>413</v>
      </c>
      <c r="AM216">
        <v>60</v>
      </c>
      <c r="AN216" t="str">
        <f>VLOOKUP(Transaction[[#This Row],[Model No.]],$AV$2:$BD$100,2,TRUE)</f>
        <v>La Catrina Cabernet Sauvignon</v>
      </c>
      <c r="AO216" s="21">
        <f>VLOOKUP(Transaction[[#This Row],[Model No.]],$AV$2:$BD$100,6,TRUE)</f>
        <v>12.99</v>
      </c>
      <c r="AP216" s="9">
        <v>1</v>
      </c>
      <c r="AQ216" s="5">
        <f>Transaction[[#This Row],[Price]]*Transaction[[#This Row],[Qty]]</f>
        <v>12.99</v>
      </c>
      <c r="AR216" s="5">
        <f>VLOOKUP(Transaction[[#This Row],[Model No.]],$AV$2:$BD$100,7,TRUE)*Transaction[[#This Row],[Qty]]</f>
        <v>1.2990000000000002</v>
      </c>
      <c r="AS216">
        <v>1106</v>
      </c>
      <c r="AT216">
        <v>1003</v>
      </c>
    </row>
    <row r="217" spans="36:46" x14ac:dyDescent="0.3">
      <c r="AJ217">
        <v>23685</v>
      </c>
      <c r="AK217" s="30">
        <v>41956</v>
      </c>
      <c r="AL217" t="s">
        <v>1159</v>
      </c>
      <c r="AM217">
        <v>53</v>
      </c>
      <c r="AN217" t="str">
        <f>VLOOKUP(Transaction[[#This Row],[Model No.]],$AV$2:$BD$100,2,TRUE)</f>
        <v>Ommegang Hennepin - 4 Pack</v>
      </c>
      <c r="AO217" s="21">
        <f>VLOOKUP(Transaction[[#This Row],[Model No.]],$AV$2:$BD$100,6,TRUE)</f>
        <v>14.99</v>
      </c>
      <c r="AP217" s="9">
        <v>2</v>
      </c>
      <c r="AQ217" s="5">
        <f>Transaction[[#This Row],[Price]]*Transaction[[#This Row],[Qty]]</f>
        <v>29.98</v>
      </c>
      <c r="AR217" s="5">
        <f>VLOOKUP(Transaction[[#This Row],[Model No.]],$AV$2:$BD$100,7,TRUE)*Transaction[[#This Row],[Qty]]</f>
        <v>8.9939999999999998</v>
      </c>
      <c r="AS217">
        <v>1102</v>
      </c>
      <c r="AT217">
        <v>1005</v>
      </c>
    </row>
    <row r="218" spans="36:46" x14ac:dyDescent="0.3">
      <c r="AJ218">
        <v>29788</v>
      </c>
      <c r="AK218" s="30">
        <v>41956</v>
      </c>
      <c r="AL218" t="s">
        <v>1574</v>
      </c>
      <c r="AM218">
        <v>67</v>
      </c>
      <c r="AN218" t="str">
        <f>VLOOKUP(Transaction[[#This Row],[Model No.]],$AV$2:$BD$100,2,TRUE)</f>
        <v>Oh Be Joyful Sweet Deutscher Qualitatswein Dornfelder</v>
      </c>
      <c r="AO218" s="21">
        <f>VLOOKUP(Transaction[[#This Row],[Model No.]],$AV$2:$BD$100,6,TRUE)</f>
        <v>12.99</v>
      </c>
      <c r="AP218" s="9">
        <v>2</v>
      </c>
      <c r="AQ218" s="5">
        <f>Transaction[[#This Row],[Price]]*Transaction[[#This Row],[Qty]]</f>
        <v>25.98</v>
      </c>
      <c r="AR218" s="5">
        <f>VLOOKUP(Transaction[[#This Row],[Model No.]],$AV$2:$BD$100,7,TRUE)*Transaction[[#This Row],[Qty]]</f>
        <v>10.392000000000001</v>
      </c>
      <c r="AS218">
        <v>1103</v>
      </c>
      <c r="AT218">
        <v>1009</v>
      </c>
    </row>
    <row r="219" spans="36:46" x14ac:dyDescent="0.3">
      <c r="AJ219">
        <v>54993</v>
      </c>
      <c r="AK219" s="30">
        <v>41959</v>
      </c>
      <c r="AL219" t="s">
        <v>1360</v>
      </c>
      <c r="AM219">
        <v>5</v>
      </c>
      <c r="AN219" t="str">
        <f>VLOOKUP(Transaction[[#This Row],[Model No.]],$AV$2:$BD$100,2,TRUE)</f>
        <v>Old Forester 1897 Bottled in Bond Kentucky Straight Bourbon Whisky</v>
      </c>
      <c r="AO219" s="21">
        <f>VLOOKUP(Transaction[[#This Row],[Model No.]],$AV$2:$BD$100,6,TRUE)</f>
        <v>46.99</v>
      </c>
      <c r="AP219" s="9">
        <v>2</v>
      </c>
      <c r="AQ219" s="5">
        <f>Transaction[[#This Row],[Price]]*Transaction[[#This Row],[Qty]]</f>
        <v>93.98</v>
      </c>
      <c r="AR219" s="5">
        <f>VLOOKUP(Transaction[[#This Row],[Model No.]],$AV$2:$BD$100,7,TRUE)*Transaction[[#This Row],[Qty]]</f>
        <v>18.796000000000003</v>
      </c>
      <c r="AS219">
        <v>1103</v>
      </c>
      <c r="AT219">
        <v>1007</v>
      </c>
    </row>
    <row r="220" spans="36:46" x14ac:dyDescent="0.3">
      <c r="AJ220">
        <v>95296</v>
      </c>
      <c r="AK220" s="30">
        <v>41960</v>
      </c>
      <c r="AL220" t="s">
        <v>1187</v>
      </c>
      <c r="AM220">
        <v>91</v>
      </c>
      <c r="AN220" t="str">
        <f>VLOOKUP(Transaction[[#This Row],[Model No.]],$AV$2:$BD$100,2,TRUE)</f>
        <v>Rex Goliath Free Range Giant 47 Pound Rooster Merlot</v>
      </c>
      <c r="AO220" s="21">
        <f>VLOOKUP(Transaction[[#This Row],[Model No.]],$AV$2:$BD$100,6,TRUE)</f>
        <v>7.79</v>
      </c>
      <c r="AP220" s="9">
        <v>3</v>
      </c>
      <c r="AQ220" s="5">
        <f>Transaction[[#This Row],[Price]]*Transaction[[#This Row],[Qty]]</f>
        <v>23.37</v>
      </c>
      <c r="AR220" s="5">
        <f>VLOOKUP(Transaction[[#This Row],[Model No.]],$AV$2:$BD$100,7,TRUE)*Transaction[[#This Row],[Qty]]</f>
        <v>2.3370000000000002</v>
      </c>
      <c r="AS220">
        <v>1103</v>
      </c>
      <c r="AT220">
        <v>1021</v>
      </c>
    </row>
    <row r="221" spans="36:46" x14ac:dyDescent="0.3">
      <c r="AJ221">
        <v>49293</v>
      </c>
      <c r="AK221" s="30">
        <v>41962</v>
      </c>
      <c r="AL221" t="s">
        <v>1146</v>
      </c>
      <c r="AM221">
        <v>4</v>
      </c>
      <c r="AN221" t="str">
        <f>VLOOKUP(Transaction[[#This Row],[Model No.]],$AV$2:$BD$100,2,TRUE)</f>
        <v>Stags' Leap Winery Cabernet Sauvignon</v>
      </c>
      <c r="AO221" s="21">
        <f>VLOOKUP(Transaction[[#This Row],[Model No.]],$AV$2:$BD$100,6,TRUE)</f>
        <v>54.99</v>
      </c>
      <c r="AP221" s="9">
        <v>5</v>
      </c>
      <c r="AQ221" s="5">
        <f>Transaction[[#This Row],[Price]]*Transaction[[#This Row],[Qty]]</f>
        <v>274.95</v>
      </c>
      <c r="AR221" s="5">
        <f>VLOOKUP(Transaction[[#This Row],[Model No.]],$AV$2:$BD$100,7,TRUE)*Transaction[[#This Row],[Qty]]</f>
        <v>27.495000000000005</v>
      </c>
      <c r="AS221">
        <v>1098</v>
      </c>
      <c r="AT221">
        <v>1011</v>
      </c>
    </row>
    <row r="222" spans="36:46" x14ac:dyDescent="0.3">
      <c r="AJ222">
        <v>44352</v>
      </c>
      <c r="AK222" s="30">
        <v>41962</v>
      </c>
      <c r="AL222" t="s">
        <v>500</v>
      </c>
      <c r="AM222">
        <v>27</v>
      </c>
      <c r="AN222" t="str">
        <f>VLOOKUP(Transaction[[#This Row],[Model No.]],$AV$2:$BD$100,2,TRUE)</f>
        <v>Prairie Organic Gin</v>
      </c>
      <c r="AO222" s="21">
        <f>VLOOKUP(Transaction[[#This Row],[Model No.]],$AV$2:$BD$100,6,TRUE)</f>
        <v>23.99</v>
      </c>
      <c r="AP222" s="9">
        <v>2</v>
      </c>
      <c r="AQ222" s="5">
        <f>Transaction[[#This Row],[Price]]*Transaction[[#This Row],[Qty]]</f>
        <v>47.98</v>
      </c>
      <c r="AR222" s="5">
        <f>VLOOKUP(Transaction[[#This Row],[Model No.]],$AV$2:$BD$100,7,TRUE)*Transaction[[#This Row],[Qty]]</f>
        <v>19.192</v>
      </c>
      <c r="AS222">
        <v>1106</v>
      </c>
      <c r="AT222">
        <v>1017</v>
      </c>
    </row>
    <row r="223" spans="36:46" x14ac:dyDescent="0.3">
      <c r="AJ223">
        <v>34917</v>
      </c>
      <c r="AK223" s="30">
        <v>41962</v>
      </c>
      <c r="AL223" t="s">
        <v>720</v>
      </c>
      <c r="AM223">
        <v>94</v>
      </c>
      <c r="AN223" t="str">
        <f>VLOOKUP(Transaction[[#This Row],[Model No.]],$AV$2:$BD$100,2,TRUE)</f>
        <v>Freixenet Blanc de Blancs Brut Cava Blend</v>
      </c>
      <c r="AO223" s="21">
        <f>VLOOKUP(Transaction[[#This Row],[Model No.]],$AV$2:$BD$100,6,TRUE)</f>
        <v>7.49</v>
      </c>
      <c r="AP223" s="9">
        <v>2</v>
      </c>
      <c r="AQ223" s="5">
        <f>Transaction[[#This Row],[Price]]*Transaction[[#This Row],[Qty]]</f>
        <v>14.98</v>
      </c>
      <c r="AR223" s="5">
        <f>VLOOKUP(Transaction[[#This Row],[Model No.]],$AV$2:$BD$100,7,TRUE)*Transaction[[#This Row],[Qty]]</f>
        <v>1.4980000000000002</v>
      </c>
      <c r="AS223">
        <v>1099</v>
      </c>
      <c r="AT223">
        <v>1003</v>
      </c>
    </row>
    <row r="224" spans="36:46" x14ac:dyDescent="0.3">
      <c r="AJ224">
        <v>60306</v>
      </c>
      <c r="AK224" s="30">
        <v>41963</v>
      </c>
      <c r="AL224" t="s">
        <v>1676</v>
      </c>
      <c r="AM224">
        <v>36</v>
      </c>
      <c r="AN224" t="str">
        <f>VLOOKUP(Transaction[[#This Row],[Model No.]],$AV$2:$BD$100,2,TRUE)</f>
        <v>Patricius Reserve Dry Furmint</v>
      </c>
      <c r="AO224" s="21">
        <f>VLOOKUP(Transaction[[#This Row],[Model No.]],$AV$2:$BD$100,6,TRUE)</f>
        <v>20.99</v>
      </c>
      <c r="AP224" s="9">
        <v>4</v>
      </c>
      <c r="AQ224" s="5">
        <f>Transaction[[#This Row],[Price]]*Transaction[[#This Row],[Qty]]</f>
        <v>83.96</v>
      </c>
      <c r="AR224" s="5">
        <f>VLOOKUP(Transaction[[#This Row],[Model No.]],$AV$2:$BD$100,7,TRUE)*Transaction[[#This Row],[Qty]]</f>
        <v>8.395999999999999</v>
      </c>
      <c r="AS224">
        <v>1099</v>
      </c>
      <c r="AT224">
        <v>1011</v>
      </c>
    </row>
    <row r="225" spans="36:46" x14ac:dyDescent="0.3">
      <c r="AJ225">
        <v>26263</v>
      </c>
      <c r="AK225" s="30">
        <v>41963</v>
      </c>
      <c r="AL225" t="s">
        <v>715</v>
      </c>
      <c r="AM225">
        <v>79</v>
      </c>
      <c r="AN225" t="str">
        <f>VLOOKUP(Transaction[[#This Row],[Model No.]],$AV$2:$BD$100,2,TRUE)</f>
        <v>Baron Herzog Jeunesse Chardonnay</v>
      </c>
      <c r="AO225" s="21">
        <f>VLOOKUP(Transaction[[#This Row],[Model No.]],$AV$2:$BD$100,6,TRUE)</f>
        <v>11.49</v>
      </c>
      <c r="AP225" s="9">
        <v>5</v>
      </c>
      <c r="AQ225" s="5">
        <f>Transaction[[#This Row],[Price]]*Transaction[[#This Row],[Qty]]</f>
        <v>57.45</v>
      </c>
      <c r="AR225" s="5">
        <f>VLOOKUP(Transaction[[#This Row],[Model No.]],$AV$2:$BD$100,7,TRUE)*Transaction[[#This Row],[Qty]]</f>
        <v>11.49</v>
      </c>
      <c r="AS225">
        <v>1107</v>
      </c>
      <c r="AT225">
        <v>1000</v>
      </c>
    </row>
    <row r="226" spans="36:46" x14ac:dyDescent="0.3">
      <c r="AJ226">
        <v>64921</v>
      </c>
      <c r="AK226" s="30">
        <v>41966</v>
      </c>
      <c r="AL226" t="s">
        <v>1437</v>
      </c>
      <c r="AM226">
        <v>19</v>
      </c>
      <c r="AN226" t="str">
        <f>VLOOKUP(Transaction[[#This Row],[Model No.]],$AV$2:$BD$100,2,TRUE)</f>
        <v>District Made Vodka</v>
      </c>
      <c r="AO226" s="21">
        <f>VLOOKUP(Transaction[[#This Row],[Model No.]],$AV$2:$BD$100,6,TRUE)</f>
        <v>29.99</v>
      </c>
      <c r="AP226" s="9">
        <v>3</v>
      </c>
      <c r="AQ226" s="5">
        <f>Transaction[[#This Row],[Price]]*Transaction[[#This Row],[Qty]]</f>
        <v>89.97</v>
      </c>
      <c r="AR226" s="5">
        <f>VLOOKUP(Transaction[[#This Row],[Model No.]],$AV$2:$BD$100,7,TRUE)*Transaction[[#This Row],[Qty]]</f>
        <v>26.991</v>
      </c>
      <c r="AS226">
        <v>1107</v>
      </c>
      <c r="AT226">
        <v>1002</v>
      </c>
    </row>
    <row r="227" spans="36:46" x14ac:dyDescent="0.3">
      <c r="AJ227">
        <v>45363</v>
      </c>
      <c r="AK227" s="30">
        <v>41974</v>
      </c>
      <c r="AL227" t="s">
        <v>1783</v>
      </c>
      <c r="AM227">
        <v>62</v>
      </c>
      <c r="AN227" t="str">
        <f>VLOOKUP(Transaction[[#This Row],[Model No.]],$AV$2:$BD$100,2,TRUE)</f>
        <v>Beerlao Dark Lager - 6 Pack</v>
      </c>
      <c r="AO227" s="21">
        <f>VLOOKUP(Transaction[[#This Row],[Model No.]],$AV$2:$BD$100,6,TRUE)</f>
        <v>12.99</v>
      </c>
      <c r="AP227" s="9">
        <v>3</v>
      </c>
      <c r="AQ227" s="5">
        <f>Transaction[[#This Row],[Price]]*Transaction[[#This Row],[Qty]]</f>
        <v>38.97</v>
      </c>
      <c r="AR227" s="5">
        <f>VLOOKUP(Transaction[[#This Row],[Model No.]],$AV$2:$BD$100,7,TRUE)*Transaction[[#This Row],[Qty]]</f>
        <v>11.690999999999999</v>
      </c>
      <c r="AS227">
        <v>1100</v>
      </c>
      <c r="AT227">
        <v>1001</v>
      </c>
    </row>
    <row r="228" spans="36:46" x14ac:dyDescent="0.3">
      <c r="AJ228">
        <v>89275</v>
      </c>
      <c r="AK228" s="30">
        <v>41975</v>
      </c>
      <c r="AL228" t="s">
        <v>633</v>
      </c>
      <c r="AM228">
        <v>85</v>
      </c>
      <c r="AN228" t="str">
        <f>VLOOKUP(Transaction[[#This Row],[Model No.]],$AV$2:$BD$100,2,TRUE)</f>
        <v>Shiner Sea Salt &amp; Lime - 6 Pack</v>
      </c>
      <c r="AO228" s="21">
        <f>VLOOKUP(Transaction[[#This Row],[Model No.]],$AV$2:$BD$100,6,TRUE)</f>
        <v>9.99</v>
      </c>
      <c r="AP228" s="9">
        <v>1</v>
      </c>
      <c r="AQ228" s="5">
        <f>Transaction[[#This Row],[Price]]*Transaction[[#This Row],[Qty]]</f>
        <v>9.99</v>
      </c>
      <c r="AR228" s="5">
        <f>VLOOKUP(Transaction[[#This Row],[Model No.]],$AV$2:$BD$100,7,TRUE)*Transaction[[#This Row],[Qty]]</f>
        <v>2.9969999999999999</v>
      </c>
      <c r="AS228">
        <v>1102</v>
      </c>
      <c r="AT228">
        <v>1004</v>
      </c>
    </row>
    <row r="229" spans="36:46" x14ac:dyDescent="0.3">
      <c r="AJ229">
        <v>51570</v>
      </c>
      <c r="AK229" s="30">
        <v>41976</v>
      </c>
      <c r="AL229" t="s">
        <v>1671</v>
      </c>
      <c r="AM229">
        <v>69</v>
      </c>
      <c r="AN229" t="str">
        <f>VLOOKUP(Transaction[[#This Row],[Model No.]],$AV$2:$BD$100,2,TRUE)</f>
        <v>Castillo de Maluenda Vinas Viejas Punto y Coma Garnacha</v>
      </c>
      <c r="AO229" s="21">
        <f>VLOOKUP(Transaction[[#This Row],[Model No.]],$AV$2:$BD$100,6,TRUE)</f>
        <v>12.99</v>
      </c>
      <c r="AP229" s="9">
        <v>2</v>
      </c>
      <c r="AQ229" s="5">
        <f>Transaction[[#This Row],[Price]]*Transaction[[#This Row],[Qty]]</f>
        <v>25.98</v>
      </c>
      <c r="AR229" s="5">
        <f>VLOOKUP(Transaction[[#This Row],[Model No.]],$AV$2:$BD$100,7,TRUE)*Transaction[[#This Row],[Qty]]</f>
        <v>10.392000000000001</v>
      </c>
      <c r="AS229">
        <v>1098</v>
      </c>
      <c r="AT229">
        <v>1006</v>
      </c>
    </row>
    <row r="230" spans="36:46" x14ac:dyDescent="0.3">
      <c r="AJ230">
        <v>23936</v>
      </c>
      <c r="AK230" s="30">
        <v>41978</v>
      </c>
      <c r="AL230" t="s">
        <v>901</v>
      </c>
      <c r="AM230">
        <v>13</v>
      </c>
      <c r="AN230" t="str">
        <f>VLOOKUP(Transaction[[#This Row],[Model No.]],$AV$2:$BD$100,2,TRUE)</f>
        <v>Luxardo Maraschino Liqueur</v>
      </c>
      <c r="AO230" s="21">
        <f>VLOOKUP(Transaction[[#This Row],[Model No.]],$AV$2:$BD$100,6,TRUE)</f>
        <v>36.99</v>
      </c>
      <c r="AP230" s="9">
        <v>1</v>
      </c>
      <c r="AQ230" s="5">
        <f>Transaction[[#This Row],[Price]]*Transaction[[#This Row],[Qty]]</f>
        <v>36.99</v>
      </c>
      <c r="AR230" s="5">
        <f>VLOOKUP(Transaction[[#This Row],[Model No.]],$AV$2:$BD$100,7,TRUE)*Transaction[[#This Row],[Qty]]</f>
        <v>11.097</v>
      </c>
      <c r="AS230">
        <v>1098</v>
      </c>
      <c r="AT230">
        <v>1011</v>
      </c>
    </row>
    <row r="231" spans="36:46" x14ac:dyDescent="0.3">
      <c r="AJ231">
        <v>34615</v>
      </c>
      <c r="AK231" s="30">
        <v>41980</v>
      </c>
      <c r="AL231" t="s">
        <v>1233</v>
      </c>
      <c r="AM231">
        <v>84</v>
      </c>
      <c r="AN231" t="str">
        <f>VLOOKUP(Transaction[[#This Row],[Model No.]],$AV$2:$BD$100,2,TRUE)</f>
        <v>UV Blue Raspberry Vodka</v>
      </c>
      <c r="AO231" s="21">
        <f>VLOOKUP(Transaction[[#This Row],[Model No.]],$AV$2:$BD$100,6,TRUE)</f>
        <v>10.49</v>
      </c>
      <c r="AP231" s="9">
        <v>3</v>
      </c>
      <c r="AQ231" s="5">
        <f>Transaction[[#This Row],[Price]]*Transaction[[#This Row],[Qty]]</f>
        <v>31.47</v>
      </c>
      <c r="AR231" s="5">
        <f>VLOOKUP(Transaction[[#This Row],[Model No.]],$AV$2:$BD$100,7,TRUE)*Transaction[[#This Row],[Qty]]</f>
        <v>9.4409999999999989</v>
      </c>
      <c r="AS231">
        <v>1102</v>
      </c>
      <c r="AT231">
        <v>1020</v>
      </c>
    </row>
    <row r="232" spans="36:46" x14ac:dyDescent="0.3">
      <c r="AJ232">
        <v>76098</v>
      </c>
      <c r="AK232" s="30">
        <v>41981</v>
      </c>
      <c r="AL232" t="s">
        <v>1372</v>
      </c>
      <c r="AM232">
        <v>19</v>
      </c>
      <c r="AN232" t="str">
        <f>VLOOKUP(Transaction[[#This Row],[Model No.]],$AV$2:$BD$100,2,TRUE)</f>
        <v>District Made Vodka</v>
      </c>
      <c r="AO232" s="21">
        <f>VLOOKUP(Transaction[[#This Row],[Model No.]],$AV$2:$BD$100,6,TRUE)</f>
        <v>29.99</v>
      </c>
      <c r="AP232" s="9">
        <v>3</v>
      </c>
      <c r="AQ232" s="5">
        <f>Transaction[[#This Row],[Price]]*Transaction[[#This Row],[Qty]]</f>
        <v>89.97</v>
      </c>
      <c r="AR232" s="5">
        <f>VLOOKUP(Transaction[[#This Row],[Model No.]],$AV$2:$BD$100,7,TRUE)*Transaction[[#This Row],[Qty]]</f>
        <v>26.991</v>
      </c>
      <c r="AS232">
        <v>1101</v>
      </c>
      <c r="AT232">
        <v>1012</v>
      </c>
    </row>
    <row r="233" spans="36:46" x14ac:dyDescent="0.3">
      <c r="AJ233">
        <v>49941</v>
      </c>
      <c r="AK233" s="30">
        <v>41981</v>
      </c>
      <c r="AL233" t="s">
        <v>1003</v>
      </c>
      <c r="AM233">
        <v>26</v>
      </c>
      <c r="AN233" t="str">
        <f>VLOOKUP(Transaction[[#This Row],[Model No.]],$AV$2:$BD$100,2,TRUE)</f>
        <v>Belhaven Scottish Stout - 4 Pack</v>
      </c>
      <c r="AO233" s="21">
        <f>VLOOKUP(Transaction[[#This Row],[Model No.]],$AV$2:$BD$100,6,TRUE)</f>
        <v>23.99</v>
      </c>
      <c r="AP233" s="9">
        <v>5</v>
      </c>
      <c r="AQ233" s="5">
        <f>Transaction[[#This Row],[Price]]*Transaction[[#This Row],[Qty]]</f>
        <v>119.94999999999999</v>
      </c>
      <c r="AR233" s="5">
        <f>VLOOKUP(Transaction[[#This Row],[Model No.]],$AV$2:$BD$100,7,TRUE)*Transaction[[#This Row],[Qty]]</f>
        <v>35.984999999999999</v>
      </c>
      <c r="AS233">
        <v>1100</v>
      </c>
      <c r="AT233">
        <v>1018</v>
      </c>
    </row>
    <row r="234" spans="36:46" x14ac:dyDescent="0.3">
      <c r="AJ234">
        <v>53752</v>
      </c>
      <c r="AK234" s="30">
        <v>41981</v>
      </c>
      <c r="AL234" t="s">
        <v>969</v>
      </c>
      <c r="AM234">
        <v>78</v>
      </c>
      <c r="AN234" t="str">
        <f>VLOOKUP(Transaction[[#This Row],[Model No.]],$AV$2:$BD$100,2,TRUE)</f>
        <v>Tomasello Winery Blueberry Wine Red Blend</v>
      </c>
      <c r="AO234" s="21">
        <f>VLOOKUP(Transaction[[#This Row],[Model No.]],$AV$2:$BD$100,6,TRUE)</f>
        <v>11.49</v>
      </c>
      <c r="AP234" s="9">
        <v>5</v>
      </c>
      <c r="AQ234" s="5">
        <f>Transaction[[#This Row],[Price]]*Transaction[[#This Row],[Qty]]</f>
        <v>57.45</v>
      </c>
      <c r="AR234" s="5">
        <f>VLOOKUP(Transaction[[#This Row],[Model No.]],$AV$2:$BD$100,7,TRUE)*Transaction[[#This Row],[Qty]]</f>
        <v>5.7450000000000001</v>
      </c>
      <c r="AS234">
        <v>1099</v>
      </c>
      <c r="AT234">
        <v>1015</v>
      </c>
    </row>
    <row r="235" spans="36:46" x14ac:dyDescent="0.3">
      <c r="AJ235">
        <v>58108</v>
      </c>
      <c r="AK235" s="30">
        <v>41982</v>
      </c>
      <c r="AL235" t="s">
        <v>1270</v>
      </c>
      <c r="AM235">
        <v>79</v>
      </c>
      <c r="AN235" t="str">
        <f>VLOOKUP(Transaction[[#This Row],[Model No.]],$AV$2:$BD$100,2,TRUE)</f>
        <v>Baron Herzog Jeunesse Chardonnay</v>
      </c>
      <c r="AO235" s="21">
        <f>VLOOKUP(Transaction[[#This Row],[Model No.]],$AV$2:$BD$100,6,TRUE)</f>
        <v>11.49</v>
      </c>
      <c r="AP235" s="9">
        <v>3</v>
      </c>
      <c r="AQ235" s="5">
        <f>Transaction[[#This Row],[Price]]*Transaction[[#This Row],[Qty]]</f>
        <v>34.47</v>
      </c>
      <c r="AR235" s="5">
        <f>VLOOKUP(Transaction[[#This Row],[Model No.]],$AV$2:$BD$100,7,TRUE)*Transaction[[#This Row],[Qty]]</f>
        <v>6.8940000000000001</v>
      </c>
      <c r="AS235">
        <v>1104</v>
      </c>
      <c r="AT235">
        <v>1008</v>
      </c>
    </row>
    <row r="236" spans="36:46" x14ac:dyDescent="0.3">
      <c r="AJ236">
        <v>38477</v>
      </c>
      <c r="AK236" s="30">
        <v>41984</v>
      </c>
      <c r="AL236" t="s">
        <v>1791</v>
      </c>
      <c r="AM236">
        <v>55</v>
      </c>
      <c r="AN236" t="str">
        <f>VLOOKUP(Transaction[[#This Row],[Model No.]],$AV$2:$BD$100,2,TRUE)</f>
        <v>Clos du Bois Hand Selected Lots Shiraz</v>
      </c>
      <c r="AO236" s="21">
        <f>VLOOKUP(Transaction[[#This Row],[Model No.]],$AV$2:$BD$100,6,TRUE)</f>
        <v>14.49</v>
      </c>
      <c r="AP236" s="9">
        <v>4</v>
      </c>
      <c r="AQ236" s="5">
        <f>Transaction[[#This Row],[Price]]*Transaction[[#This Row],[Qty]]</f>
        <v>57.96</v>
      </c>
      <c r="AR236" s="5">
        <f>VLOOKUP(Transaction[[#This Row],[Model No.]],$AV$2:$BD$100,7,TRUE)*Transaction[[#This Row],[Qty]]</f>
        <v>5.7960000000000003</v>
      </c>
      <c r="AS236">
        <v>1102</v>
      </c>
      <c r="AT236">
        <v>1012</v>
      </c>
    </row>
    <row r="237" spans="36:46" x14ac:dyDescent="0.3">
      <c r="AJ237">
        <v>92523</v>
      </c>
      <c r="AK237" s="30">
        <v>41988</v>
      </c>
      <c r="AL237" t="s">
        <v>750</v>
      </c>
      <c r="AM237">
        <v>91</v>
      </c>
      <c r="AN237" t="str">
        <f>VLOOKUP(Transaction[[#This Row],[Model No.]],$AV$2:$BD$100,2,TRUE)</f>
        <v>Rex Goliath Free Range Giant 47 Pound Rooster Merlot</v>
      </c>
      <c r="AO237" s="21">
        <f>VLOOKUP(Transaction[[#This Row],[Model No.]],$AV$2:$BD$100,6,TRUE)</f>
        <v>7.79</v>
      </c>
      <c r="AP237" s="9">
        <v>5</v>
      </c>
      <c r="AQ237" s="5">
        <f>Transaction[[#This Row],[Price]]*Transaction[[#This Row],[Qty]]</f>
        <v>38.950000000000003</v>
      </c>
      <c r="AR237" s="5">
        <f>VLOOKUP(Transaction[[#This Row],[Model No.]],$AV$2:$BD$100,7,TRUE)*Transaction[[#This Row],[Qty]]</f>
        <v>3.895</v>
      </c>
      <c r="AS237">
        <v>1105</v>
      </c>
      <c r="AT237">
        <v>1012</v>
      </c>
    </row>
    <row r="238" spans="36:46" x14ac:dyDescent="0.3">
      <c r="AJ238">
        <v>60593</v>
      </c>
      <c r="AK238" s="30">
        <v>41990</v>
      </c>
      <c r="AL238" t="s">
        <v>367</v>
      </c>
      <c r="AM238">
        <v>41</v>
      </c>
      <c r="AN238" t="str">
        <f>VLOOKUP(Transaction[[#This Row],[Model No.]],$AV$2:$BD$100,2,TRUE)</f>
        <v>Brunellesco Delle Venezie IGT Pinot Grigio</v>
      </c>
      <c r="AO238" s="21">
        <f>VLOOKUP(Transaction[[#This Row],[Model No.]],$AV$2:$BD$100,6,TRUE)</f>
        <v>17.39</v>
      </c>
      <c r="AP238" s="9">
        <v>5</v>
      </c>
      <c r="AQ238" s="5">
        <f>Transaction[[#This Row],[Price]]*Transaction[[#This Row],[Qty]]</f>
        <v>86.95</v>
      </c>
      <c r="AR238" s="5">
        <f>VLOOKUP(Transaction[[#This Row],[Model No.]],$AV$2:$BD$100,7,TRUE)*Transaction[[#This Row],[Qty]]</f>
        <v>8.6950000000000003</v>
      </c>
      <c r="AS238">
        <v>1098</v>
      </c>
      <c r="AT238">
        <v>1016</v>
      </c>
    </row>
    <row r="239" spans="36:46" x14ac:dyDescent="0.3">
      <c r="AJ239">
        <v>93475</v>
      </c>
      <c r="AK239" s="30">
        <v>41990</v>
      </c>
      <c r="AL239" t="s">
        <v>1156</v>
      </c>
      <c r="AM239">
        <v>72</v>
      </c>
      <c r="AN239" t="str">
        <f>VLOOKUP(Transaction[[#This Row],[Model No.]],$AV$2:$BD$100,2,TRUE)</f>
        <v>Pearl Wedding Cake Vodka</v>
      </c>
      <c r="AO239" s="21">
        <f>VLOOKUP(Transaction[[#This Row],[Model No.]],$AV$2:$BD$100,6,TRUE)</f>
        <v>12.49</v>
      </c>
      <c r="AP239" s="9">
        <v>3</v>
      </c>
      <c r="AQ239" s="5">
        <f>Transaction[[#This Row],[Price]]*Transaction[[#This Row],[Qty]]</f>
        <v>37.47</v>
      </c>
      <c r="AR239" s="5">
        <f>VLOOKUP(Transaction[[#This Row],[Model No.]],$AV$2:$BD$100,7,TRUE)*Transaction[[#This Row],[Qty]]</f>
        <v>11.241</v>
      </c>
      <c r="AS239">
        <v>1104</v>
      </c>
      <c r="AT239">
        <v>1009</v>
      </c>
    </row>
    <row r="240" spans="36:46" x14ac:dyDescent="0.3">
      <c r="AJ240">
        <v>74776</v>
      </c>
      <c r="AK240" s="30">
        <v>41990</v>
      </c>
      <c r="AL240" t="s">
        <v>1241</v>
      </c>
      <c r="AM240">
        <v>75</v>
      </c>
      <c r="AN240" t="str">
        <f>VLOOKUP(Transaction[[#This Row],[Model No.]],$AV$2:$BD$100,2,TRUE)</f>
        <v>Uinta Ready Set Gose - 6 Pack</v>
      </c>
      <c r="AO240" s="21">
        <f>VLOOKUP(Transaction[[#This Row],[Model No.]],$AV$2:$BD$100,6,TRUE)</f>
        <v>11.99</v>
      </c>
      <c r="AP240" s="9">
        <v>4</v>
      </c>
      <c r="AQ240" s="5">
        <f>Transaction[[#This Row],[Price]]*Transaction[[#This Row],[Qty]]</f>
        <v>47.96</v>
      </c>
      <c r="AR240" s="5">
        <f>VLOOKUP(Transaction[[#This Row],[Model No.]],$AV$2:$BD$100,7,TRUE)*Transaction[[#This Row],[Qty]]</f>
        <v>14.388</v>
      </c>
      <c r="AS240">
        <v>1101</v>
      </c>
      <c r="AT240">
        <v>1021</v>
      </c>
    </row>
    <row r="241" spans="36:46" x14ac:dyDescent="0.3">
      <c r="AJ241">
        <v>54484</v>
      </c>
      <c r="AK241" s="30">
        <v>41991</v>
      </c>
      <c r="AL241" t="s">
        <v>1727</v>
      </c>
      <c r="AM241">
        <v>93</v>
      </c>
      <c r="AN241" t="str">
        <f>VLOOKUP(Transaction[[#This Row],[Model No.]],$AV$2:$BD$100,2,TRUE)</f>
        <v>Beringer Vineyards Stone Cellars Shiraz</v>
      </c>
      <c r="AO241" s="21">
        <f>VLOOKUP(Transaction[[#This Row],[Model No.]],$AV$2:$BD$100,6,TRUE)</f>
        <v>7.49</v>
      </c>
      <c r="AP241" s="9">
        <v>3</v>
      </c>
      <c r="AQ241" s="5">
        <f>Transaction[[#This Row],[Price]]*Transaction[[#This Row],[Qty]]</f>
        <v>22.47</v>
      </c>
      <c r="AR241" s="5">
        <f>VLOOKUP(Transaction[[#This Row],[Model No.]],$AV$2:$BD$100,7,TRUE)*Transaction[[#This Row],[Qty]]</f>
        <v>2.2470000000000003</v>
      </c>
      <c r="AS241">
        <v>1100</v>
      </c>
      <c r="AT241">
        <v>1016</v>
      </c>
    </row>
    <row r="242" spans="36:46" x14ac:dyDescent="0.3">
      <c r="AJ242">
        <v>16547</v>
      </c>
      <c r="AK242" s="30">
        <v>41992</v>
      </c>
      <c r="AL242" t="s">
        <v>1895</v>
      </c>
      <c r="AM242">
        <v>37</v>
      </c>
      <c r="AN242" t="str">
        <f>VLOOKUP(Transaction[[#This Row],[Model No.]],$AV$2:$BD$100,2,TRUE)</f>
        <v>Francis Ford Coppola Diamond Collection Black Label Pavilion Chardonnay</v>
      </c>
      <c r="AO242" s="21">
        <f>VLOOKUP(Transaction[[#This Row],[Model No.]],$AV$2:$BD$100,6,TRUE)</f>
        <v>19.989999999999998</v>
      </c>
      <c r="AP242" s="9">
        <v>1</v>
      </c>
      <c r="AQ242" s="5">
        <f>Transaction[[#This Row],[Price]]*Transaction[[#This Row],[Qty]]</f>
        <v>19.989999999999998</v>
      </c>
      <c r="AR242" s="5">
        <f>VLOOKUP(Transaction[[#This Row],[Model No.]],$AV$2:$BD$100,7,TRUE)*Transaction[[#This Row],[Qty]]</f>
        <v>1.9989999999999999</v>
      </c>
      <c r="AS242">
        <v>1099</v>
      </c>
      <c r="AT242">
        <v>1017</v>
      </c>
    </row>
    <row r="243" spans="36:46" x14ac:dyDescent="0.3">
      <c r="AJ243">
        <v>73165</v>
      </c>
      <c r="AK243" s="30">
        <v>41993</v>
      </c>
      <c r="AL243" t="s">
        <v>635</v>
      </c>
      <c r="AM243">
        <v>47</v>
      </c>
      <c r="AN243" t="str">
        <f>VLOOKUP(Transaction[[#This Row],[Model No.]],$AV$2:$BD$100,2,TRUE)</f>
        <v>IL Tramonto Amaretto Liqueur</v>
      </c>
      <c r="AO243" s="21">
        <f>VLOOKUP(Transaction[[#This Row],[Model No.]],$AV$2:$BD$100,6,TRUE)</f>
        <v>15.99</v>
      </c>
      <c r="AP243" s="9">
        <v>3</v>
      </c>
      <c r="AQ243" s="5">
        <f>Transaction[[#This Row],[Price]]*Transaction[[#This Row],[Qty]]</f>
        <v>47.97</v>
      </c>
      <c r="AR243" s="5">
        <f>VLOOKUP(Transaction[[#This Row],[Model No.]],$AV$2:$BD$100,7,TRUE)*Transaction[[#This Row],[Qty]]</f>
        <v>14.390999999999998</v>
      </c>
      <c r="AS243">
        <v>1105</v>
      </c>
      <c r="AT243">
        <v>1005</v>
      </c>
    </row>
    <row r="244" spans="36:46" x14ac:dyDescent="0.3">
      <c r="AJ244">
        <v>11523</v>
      </c>
      <c r="AK244" s="30">
        <v>41993</v>
      </c>
      <c r="AL244" t="s">
        <v>1160</v>
      </c>
      <c r="AM244">
        <v>56</v>
      </c>
      <c r="AN244" t="str">
        <f>VLOOKUP(Transaction[[#This Row],[Model No.]],$AV$2:$BD$100,2,TRUE)</f>
        <v>Roy Pitz Sour Hound - 6 Pack</v>
      </c>
      <c r="AO244" s="21">
        <f>VLOOKUP(Transaction[[#This Row],[Model No.]],$AV$2:$BD$100,6,TRUE)</f>
        <v>13.99</v>
      </c>
      <c r="AP244" s="9">
        <v>2</v>
      </c>
      <c r="AQ244" s="5">
        <f>Transaction[[#This Row],[Price]]*Transaction[[#This Row],[Qty]]</f>
        <v>27.98</v>
      </c>
      <c r="AR244" s="5">
        <f>VLOOKUP(Transaction[[#This Row],[Model No.]],$AV$2:$BD$100,7,TRUE)*Transaction[[#This Row],[Qty]]</f>
        <v>8.3940000000000001</v>
      </c>
      <c r="AS244">
        <v>1105</v>
      </c>
      <c r="AT244">
        <v>1000</v>
      </c>
    </row>
    <row r="245" spans="36:46" x14ac:dyDescent="0.3">
      <c r="AJ245">
        <v>23473</v>
      </c>
      <c r="AK245" s="30">
        <v>41993</v>
      </c>
      <c r="AL245" t="s">
        <v>499</v>
      </c>
      <c r="AM245">
        <v>58</v>
      </c>
      <c r="AN245" t="str">
        <f>VLOOKUP(Transaction[[#This Row],[Model No.]],$AV$2:$BD$100,2,TRUE)</f>
        <v>Smirnoff Mango Vodka</v>
      </c>
      <c r="AO245" s="21">
        <f>VLOOKUP(Transaction[[#This Row],[Model No.]],$AV$2:$BD$100,6,TRUE)</f>
        <v>13.49</v>
      </c>
      <c r="AP245" s="9">
        <v>2</v>
      </c>
      <c r="AQ245" s="5">
        <f>Transaction[[#This Row],[Price]]*Transaction[[#This Row],[Qty]]</f>
        <v>26.98</v>
      </c>
      <c r="AR245" s="5">
        <f>VLOOKUP(Transaction[[#This Row],[Model No.]],$AV$2:$BD$100,7,TRUE)*Transaction[[#This Row],[Qty]]</f>
        <v>8.0939999999999994</v>
      </c>
      <c r="AS245">
        <v>1102</v>
      </c>
      <c r="AT245">
        <v>1001</v>
      </c>
    </row>
    <row r="246" spans="36:46" x14ac:dyDescent="0.3">
      <c r="AJ246">
        <v>15217</v>
      </c>
      <c r="AK246" s="30">
        <v>41993</v>
      </c>
      <c r="AL246" t="s">
        <v>580</v>
      </c>
      <c r="AM246">
        <v>91</v>
      </c>
      <c r="AN246" t="str">
        <f>VLOOKUP(Transaction[[#This Row],[Model No.]],$AV$2:$BD$100,2,TRUE)</f>
        <v>Rex Goliath Free Range Giant 47 Pound Rooster Merlot</v>
      </c>
      <c r="AO246" s="21">
        <f>VLOOKUP(Transaction[[#This Row],[Model No.]],$AV$2:$BD$100,6,TRUE)</f>
        <v>7.79</v>
      </c>
      <c r="AP246" s="9">
        <v>2</v>
      </c>
      <c r="AQ246" s="5">
        <f>Transaction[[#This Row],[Price]]*Transaction[[#This Row],[Qty]]</f>
        <v>15.58</v>
      </c>
      <c r="AR246" s="5">
        <f>VLOOKUP(Transaction[[#This Row],[Model No.]],$AV$2:$BD$100,7,TRUE)*Transaction[[#This Row],[Qty]]</f>
        <v>1.5580000000000001</v>
      </c>
      <c r="AS246">
        <v>1101</v>
      </c>
      <c r="AT246">
        <v>1011</v>
      </c>
    </row>
    <row r="247" spans="36:46" x14ac:dyDescent="0.3">
      <c r="AJ247">
        <v>34559</v>
      </c>
      <c r="AK247" s="30">
        <v>41995</v>
      </c>
      <c r="AL247" t="s">
        <v>1448</v>
      </c>
      <c r="AM247">
        <v>63</v>
      </c>
      <c r="AN247" t="str">
        <f>VLOOKUP(Transaction[[#This Row],[Model No.]],$AV$2:$BD$100,2,TRUE)</f>
        <v>Troegs LaGrave - 4 Pack</v>
      </c>
      <c r="AO247" s="21">
        <f>VLOOKUP(Transaction[[#This Row],[Model No.]],$AV$2:$BD$100,6,TRUE)</f>
        <v>12.99</v>
      </c>
      <c r="AP247" s="9">
        <v>1</v>
      </c>
      <c r="AQ247" s="5">
        <f>Transaction[[#This Row],[Price]]*Transaction[[#This Row],[Qty]]</f>
        <v>12.99</v>
      </c>
      <c r="AR247" s="5">
        <f>VLOOKUP(Transaction[[#This Row],[Model No.]],$AV$2:$BD$100,7,TRUE)*Transaction[[#This Row],[Qty]]</f>
        <v>3.8969999999999998</v>
      </c>
      <c r="AS247">
        <v>1105</v>
      </c>
      <c r="AT247">
        <v>1003</v>
      </c>
    </row>
    <row r="248" spans="36:46" x14ac:dyDescent="0.3">
      <c r="AJ248">
        <v>88040</v>
      </c>
      <c r="AK248" s="30">
        <v>41996</v>
      </c>
      <c r="AL248" t="s">
        <v>1215</v>
      </c>
      <c r="AM248">
        <v>55</v>
      </c>
      <c r="AN248" t="str">
        <f>VLOOKUP(Transaction[[#This Row],[Model No.]],$AV$2:$BD$100,2,TRUE)</f>
        <v>Clos du Bois Hand Selected Lots Shiraz</v>
      </c>
      <c r="AO248" s="21">
        <f>VLOOKUP(Transaction[[#This Row],[Model No.]],$AV$2:$BD$100,6,TRUE)</f>
        <v>14.49</v>
      </c>
      <c r="AP248" s="9">
        <v>3</v>
      </c>
      <c r="AQ248" s="5">
        <f>Transaction[[#This Row],[Price]]*Transaction[[#This Row],[Qty]]</f>
        <v>43.47</v>
      </c>
      <c r="AR248" s="5">
        <f>VLOOKUP(Transaction[[#This Row],[Model No.]],$AV$2:$BD$100,7,TRUE)*Transaction[[#This Row],[Qty]]</f>
        <v>4.3470000000000004</v>
      </c>
      <c r="AS248">
        <v>1101</v>
      </c>
      <c r="AT248">
        <v>1002</v>
      </c>
    </row>
    <row r="249" spans="36:46" x14ac:dyDescent="0.3">
      <c r="AJ249">
        <v>65976</v>
      </c>
      <c r="AK249" s="30">
        <v>41996</v>
      </c>
      <c r="AL249" t="s">
        <v>915</v>
      </c>
      <c r="AM249">
        <v>76</v>
      </c>
      <c r="AN249" t="str">
        <f>VLOOKUP(Transaction[[#This Row],[Model No.]],$AV$2:$BD$100,2,TRUE)</f>
        <v>Lagunitas Super Cluster Can - 6 Pack</v>
      </c>
      <c r="AO249" s="21">
        <f>VLOOKUP(Transaction[[#This Row],[Model No.]],$AV$2:$BD$100,6,TRUE)</f>
        <v>11.99</v>
      </c>
      <c r="AP249" s="9">
        <v>4</v>
      </c>
      <c r="AQ249" s="5">
        <f>Transaction[[#This Row],[Price]]*Transaction[[#This Row],[Qty]]</f>
        <v>47.96</v>
      </c>
      <c r="AR249" s="5">
        <f>VLOOKUP(Transaction[[#This Row],[Model No.]],$AV$2:$BD$100,7,TRUE)*Transaction[[#This Row],[Qty]]</f>
        <v>14.388</v>
      </c>
      <c r="AS249">
        <v>1103</v>
      </c>
      <c r="AT249">
        <v>1015</v>
      </c>
    </row>
    <row r="250" spans="36:46" x14ac:dyDescent="0.3">
      <c r="AJ250">
        <v>68242</v>
      </c>
      <c r="AK250" s="30">
        <v>41996</v>
      </c>
      <c r="AL250" t="s">
        <v>1643</v>
      </c>
      <c r="AM250">
        <v>82</v>
      </c>
      <c r="AN250" t="str">
        <f>VLOOKUP(Transaction[[#This Row],[Model No.]],$AV$2:$BD$100,2,TRUE)</f>
        <v>PInnacle Chocolate Whipped Vodka</v>
      </c>
      <c r="AO250" s="21">
        <f>VLOOKUP(Transaction[[#This Row],[Model No.]],$AV$2:$BD$100,6,TRUE)</f>
        <v>10.99</v>
      </c>
      <c r="AP250" s="9">
        <v>1</v>
      </c>
      <c r="AQ250" s="5">
        <f>Transaction[[#This Row],[Price]]*Transaction[[#This Row],[Qty]]</f>
        <v>10.99</v>
      </c>
      <c r="AR250" s="5">
        <f>VLOOKUP(Transaction[[#This Row],[Model No.]],$AV$2:$BD$100,7,TRUE)*Transaction[[#This Row],[Qty]]</f>
        <v>3.2970000000000002</v>
      </c>
      <c r="AS250">
        <v>1098</v>
      </c>
      <c r="AT250">
        <v>1003</v>
      </c>
    </row>
    <row r="251" spans="36:46" x14ac:dyDescent="0.3">
      <c r="AJ251">
        <v>61262</v>
      </c>
      <c r="AK251" s="30">
        <v>41998</v>
      </c>
      <c r="AL251" t="s">
        <v>1469</v>
      </c>
      <c r="AM251">
        <v>29</v>
      </c>
      <c r="AN251" t="str">
        <f>VLOOKUP(Transaction[[#This Row],[Model No.]],$AV$2:$BD$100,2,TRUE)</f>
        <v>SCHLAFLY STOUT BOUT SAMPLER   2/12 - 12 Pack</v>
      </c>
      <c r="AO251" s="21">
        <f>VLOOKUP(Transaction[[#This Row],[Model No.]],$AV$2:$BD$100,6,TRUE)</f>
        <v>22.99</v>
      </c>
      <c r="AP251" s="9">
        <v>4</v>
      </c>
      <c r="AQ251" s="5">
        <f>Transaction[[#This Row],[Price]]*Transaction[[#This Row],[Qty]]</f>
        <v>91.96</v>
      </c>
      <c r="AR251" s="5">
        <f>VLOOKUP(Transaction[[#This Row],[Model No.]],$AV$2:$BD$100,7,TRUE)*Transaction[[#This Row],[Qty]]</f>
        <v>27.587999999999997</v>
      </c>
      <c r="AS251">
        <v>1104</v>
      </c>
      <c r="AT251">
        <v>1011</v>
      </c>
    </row>
    <row r="252" spans="36:46" x14ac:dyDescent="0.3">
      <c r="AJ252">
        <v>80879</v>
      </c>
      <c r="AK252" s="30">
        <v>41999</v>
      </c>
      <c r="AL252" t="s">
        <v>395</v>
      </c>
      <c r="AM252">
        <v>7</v>
      </c>
      <c r="AN252" t="str">
        <f>VLOOKUP(Transaction[[#This Row],[Model No.]],$AV$2:$BD$100,2,TRUE)</f>
        <v>Glenkinchie Distillers Edition Single Malt Scotch Whisky</v>
      </c>
      <c r="AO252" s="21">
        <f>VLOOKUP(Transaction[[#This Row],[Model No.]],$AV$2:$BD$100,6,TRUE)</f>
        <v>45.99</v>
      </c>
      <c r="AP252" s="9">
        <v>3</v>
      </c>
      <c r="AQ252" s="5">
        <f>Transaction[[#This Row],[Price]]*Transaction[[#This Row],[Qty]]</f>
        <v>137.97</v>
      </c>
      <c r="AR252" s="5">
        <f>VLOOKUP(Transaction[[#This Row],[Model No.]],$AV$2:$BD$100,7,TRUE)*Transaction[[#This Row],[Qty]]</f>
        <v>41.391000000000005</v>
      </c>
      <c r="AS252">
        <v>1102</v>
      </c>
      <c r="AT252">
        <v>1001</v>
      </c>
    </row>
    <row r="253" spans="36:46" x14ac:dyDescent="0.3">
      <c r="AJ253">
        <v>86721</v>
      </c>
      <c r="AK253" s="30">
        <v>42000</v>
      </c>
      <c r="AL253" t="s">
        <v>1095</v>
      </c>
      <c r="AM253">
        <v>42</v>
      </c>
      <c r="AN253" t="str">
        <f>VLOOKUP(Transaction[[#This Row],[Model No.]],$AV$2:$BD$100,2,TRUE)</f>
        <v>Francis Ford Coppola Sofia Brut Rose Pinot Noir</v>
      </c>
      <c r="AO253" s="21">
        <f>VLOOKUP(Transaction[[#This Row],[Model No.]],$AV$2:$BD$100,6,TRUE)</f>
        <v>16.989999999999998</v>
      </c>
      <c r="AP253" s="9">
        <v>3</v>
      </c>
      <c r="AQ253" s="5">
        <f>Transaction[[#This Row],[Price]]*Transaction[[#This Row],[Qty]]</f>
        <v>50.97</v>
      </c>
      <c r="AR253" s="5">
        <f>VLOOKUP(Transaction[[#This Row],[Model No.]],$AV$2:$BD$100,7,TRUE)*Transaction[[#This Row],[Qty]]</f>
        <v>20.387999999999998</v>
      </c>
      <c r="AS253">
        <v>1098</v>
      </c>
      <c r="AT253">
        <v>1008</v>
      </c>
    </row>
    <row r="254" spans="36:46" x14ac:dyDescent="0.3">
      <c r="AJ254">
        <v>38296</v>
      </c>
      <c r="AK254" s="30">
        <v>42002</v>
      </c>
      <c r="AL254" t="s">
        <v>1229</v>
      </c>
      <c r="AM254">
        <v>76</v>
      </c>
      <c r="AN254" t="str">
        <f>VLOOKUP(Transaction[[#This Row],[Model No.]],$AV$2:$BD$100,2,TRUE)</f>
        <v>Lagunitas Super Cluster Can - 6 Pack</v>
      </c>
      <c r="AO254" s="21">
        <f>VLOOKUP(Transaction[[#This Row],[Model No.]],$AV$2:$BD$100,6,TRUE)</f>
        <v>11.99</v>
      </c>
      <c r="AP254" s="9">
        <v>2</v>
      </c>
      <c r="AQ254" s="5">
        <f>Transaction[[#This Row],[Price]]*Transaction[[#This Row],[Qty]]</f>
        <v>23.98</v>
      </c>
      <c r="AR254" s="5">
        <f>VLOOKUP(Transaction[[#This Row],[Model No.]],$AV$2:$BD$100,7,TRUE)*Transaction[[#This Row],[Qty]]</f>
        <v>7.194</v>
      </c>
      <c r="AS254">
        <v>1105</v>
      </c>
      <c r="AT254">
        <v>1021</v>
      </c>
    </row>
    <row r="255" spans="36:46" x14ac:dyDescent="0.3">
      <c r="AJ255">
        <v>33492</v>
      </c>
      <c r="AK255" s="30">
        <v>42003</v>
      </c>
      <c r="AL255" t="s">
        <v>417</v>
      </c>
      <c r="AM255">
        <v>25</v>
      </c>
      <c r="AN255" t="str">
        <f>VLOOKUP(Transaction[[#This Row],[Model No.]],$AV$2:$BD$100,2,TRUE)</f>
        <v>ICEHOUSE 4/6 LNNR - 24 Pack</v>
      </c>
      <c r="AO255" s="21">
        <f>VLOOKUP(Transaction[[#This Row],[Model No.]],$AV$2:$BD$100,6,TRUE)</f>
        <v>23.99</v>
      </c>
      <c r="AP255" s="9">
        <v>3</v>
      </c>
      <c r="AQ255" s="5">
        <f>Transaction[[#This Row],[Price]]*Transaction[[#This Row],[Qty]]</f>
        <v>71.97</v>
      </c>
      <c r="AR255" s="5">
        <f>VLOOKUP(Transaction[[#This Row],[Model No.]],$AV$2:$BD$100,7,TRUE)*Transaction[[#This Row],[Qty]]</f>
        <v>21.590999999999998</v>
      </c>
      <c r="AS255">
        <v>1106</v>
      </c>
      <c r="AT255">
        <v>1013</v>
      </c>
    </row>
    <row r="256" spans="36:46" x14ac:dyDescent="0.3">
      <c r="AJ256">
        <v>52748</v>
      </c>
      <c r="AK256" s="30">
        <v>42004</v>
      </c>
      <c r="AL256" t="s">
        <v>518</v>
      </c>
      <c r="AM256">
        <v>66</v>
      </c>
      <c r="AN256" t="str">
        <f>VLOOKUP(Transaction[[#This Row],[Model No.]],$AV$2:$BD$100,2,TRUE)</f>
        <v>Red Horse Beer - 6 Pack</v>
      </c>
      <c r="AO256" s="21">
        <f>VLOOKUP(Transaction[[#This Row],[Model No.]],$AV$2:$BD$100,6,TRUE)</f>
        <v>12.99</v>
      </c>
      <c r="AP256" s="9">
        <v>1</v>
      </c>
      <c r="AQ256" s="5">
        <f>Transaction[[#This Row],[Price]]*Transaction[[#This Row],[Qty]]</f>
        <v>12.99</v>
      </c>
      <c r="AR256" s="5">
        <f>VLOOKUP(Transaction[[#This Row],[Model No.]],$AV$2:$BD$100,7,TRUE)*Transaction[[#This Row],[Qty]]</f>
        <v>3.8969999999999998</v>
      </c>
      <c r="AS256">
        <v>1106</v>
      </c>
      <c r="AT256">
        <v>1013</v>
      </c>
    </row>
    <row r="257" spans="36:46" x14ac:dyDescent="0.3">
      <c r="AJ257">
        <v>29439</v>
      </c>
      <c r="AK257" s="30">
        <v>42005</v>
      </c>
      <c r="AL257" t="s">
        <v>1904</v>
      </c>
      <c r="AM257">
        <v>73</v>
      </c>
      <c r="AN257" t="str">
        <f>VLOOKUP(Transaction[[#This Row],[Model No.]],$AV$2:$BD$100,2,TRUE)</f>
        <v>Schlafly Oktoberfest - 6 Pack</v>
      </c>
      <c r="AO257" s="21">
        <f>VLOOKUP(Transaction[[#This Row],[Model No.]],$AV$2:$BD$100,6,TRUE)</f>
        <v>11.99</v>
      </c>
      <c r="AP257" s="9">
        <v>5</v>
      </c>
      <c r="AQ257" s="5">
        <f>Transaction[[#This Row],[Price]]*Transaction[[#This Row],[Qty]]</f>
        <v>59.95</v>
      </c>
      <c r="AR257" s="5">
        <f>VLOOKUP(Transaction[[#This Row],[Model No.]],$AV$2:$BD$100,7,TRUE)*Transaction[[#This Row],[Qty]]</f>
        <v>17.984999999999999</v>
      </c>
      <c r="AS257">
        <v>1103</v>
      </c>
      <c r="AT257">
        <v>1001</v>
      </c>
    </row>
    <row r="258" spans="36:46" x14ac:dyDescent="0.3">
      <c r="AJ258">
        <v>68753</v>
      </c>
      <c r="AK258" s="30">
        <v>42006</v>
      </c>
      <c r="AL258" t="s">
        <v>1206</v>
      </c>
      <c r="AM258">
        <v>15</v>
      </c>
      <c r="AN258" t="str">
        <f>VLOOKUP(Transaction[[#This Row],[Model No.]],$AV$2:$BD$100,2,TRUE)</f>
        <v>Wild Turkey 101 Kentucky Straight Bourbon Whiskey</v>
      </c>
      <c r="AO258" s="21">
        <f>VLOOKUP(Transaction[[#This Row],[Model No.]],$AV$2:$BD$100,6,TRUE)</f>
        <v>32.99</v>
      </c>
      <c r="AP258" s="9">
        <v>5</v>
      </c>
      <c r="AQ258" s="5">
        <f>Transaction[[#This Row],[Price]]*Transaction[[#This Row],[Qty]]</f>
        <v>164.95000000000002</v>
      </c>
      <c r="AR258" s="5">
        <f>VLOOKUP(Transaction[[#This Row],[Model No.]],$AV$2:$BD$100,7,TRUE)*Transaction[[#This Row],[Qty]]</f>
        <v>32.99</v>
      </c>
      <c r="AS258">
        <v>1101</v>
      </c>
      <c r="AT258">
        <v>1011</v>
      </c>
    </row>
    <row r="259" spans="36:46" x14ac:dyDescent="0.3">
      <c r="AJ259">
        <v>31992</v>
      </c>
      <c r="AK259" s="30">
        <v>42007</v>
      </c>
      <c r="AL259" t="s">
        <v>1048</v>
      </c>
      <c r="AM259">
        <v>35</v>
      </c>
      <c r="AN259" t="str">
        <f>VLOOKUP(Transaction[[#This Row],[Model No.]],$AV$2:$BD$100,2,TRUE)</f>
        <v>Troegenator Double Bock Can - 12 Pack</v>
      </c>
      <c r="AO259" s="21">
        <f>VLOOKUP(Transaction[[#This Row],[Model No.]],$AV$2:$BD$100,6,TRUE)</f>
        <v>20.99</v>
      </c>
      <c r="AP259" s="9">
        <v>5</v>
      </c>
      <c r="AQ259" s="5">
        <f>Transaction[[#This Row],[Price]]*Transaction[[#This Row],[Qty]]</f>
        <v>104.94999999999999</v>
      </c>
      <c r="AR259" s="5">
        <f>VLOOKUP(Transaction[[#This Row],[Model No.]],$AV$2:$BD$100,7,TRUE)*Transaction[[#This Row],[Qty]]</f>
        <v>31.484999999999999</v>
      </c>
      <c r="AS259">
        <v>1105</v>
      </c>
      <c r="AT259">
        <v>1015</v>
      </c>
    </row>
    <row r="260" spans="36:46" x14ac:dyDescent="0.3">
      <c r="AJ260">
        <v>41407</v>
      </c>
      <c r="AK260" s="30">
        <v>42009</v>
      </c>
      <c r="AL260" t="s">
        <v>868</v>
      </c>
      <c r="AM260">
        <v>22</v>
      </c>
      <c r="AN260" t="str">
        <f>VLOOKUP(Transaction[[#This Row],[Model No.]],$AV$2:$BD$100,2,TRUE)</f>
        <v>Efe Raki Black Triple Distilled Liqueur</v>
      </c>
      <c r="AO260" s="21">
        <f>VLOOKUP(Transaction[[#This Row],[Model No.]],$AV$2:$BD$100,6,TRUE)</f>
        <v>25.99</v>
      </c>
      <c r="AP260" s="9">
        <v>1</v>
      </c>
      <c r="AQ260" s="5">
        <f>Transaction[[#This Row],[Price]]*Transaction[[#This Row],[Qty]]</f>
        <v>25.99</v>
      </c>
      <c r="AR260" s="5">
        <f>VLOOKUP(Transaction[[#This Row],[Model No.]],$AV$2:$BD$100,7,TRUE)*Transaction[[#This Row],[Qty]]</f>
        <v>7.7969999999999988</v>
      </c>
      <c r="AS260">
        <v>1103</v>
      </c>
      <c r="AT260">
        <v>1004</v>
      </c>
    </row>
    <row r="261" spans="36:46" x14ac:dyDescent="0.3">
      <c r="AJ261">
        <v>23002</v>
      </c>
      <c r="AK261" s="30">
        <v>42009</v>
      </c>
      <c r="AL261" t="s">
        <v>758</v>
      </c>
      <c r="AM261">
        <v>51</v>
      </c>
      <c r="AN261" t="str">
        <f>VLOOKUP(Transaction[[#This Row],[Model No.]],$AV$2:$BD$100,2,TRUE)</f>
        <v>Waterbrook Cabernet Sauvignon</v>
      </c>
      <c r="AO261" s="21">
        <f>VLOOKUP(Transaction[[#This Row],[Model No.]],$AV$2:$BD$100,6,TRUE)</f>
        <v>14.99</v>
      </c>
      <c r="AP261" s="9">
        <v>5</v>
      </c>
      <c r="AQ261" s="5">
        <f>Transaction[[#This Row],[Price]]*Transaction[[#This Row],[Qty]]</f>
        <v>74.95</v>
      </c>
      <c r="AR261" s="5">
        <f>VLOOKUP(Transaction[[#This Row],[Model No.]],$AV$2:$BD$100,7,TRUE)*Transaction[[#This Row],[Qty]]</f>
        <v>7.495000000000001</v>
      </c>
      <c r="AS261">
        <v>1103</v>
      </c>
      <c r="AT261">
        <v>1018</v>
      </c>
    </row>
    <row r="262" spans="36:46" x14ac:dyDescent="0.3">
      <c r="AJ262">
        <v>70810</v>
      </c>
      <c r="AK262" s="30">
        <v>42009</v>
      </c>
      <c r="AL262" t="s">
        <v>1077</v>
      </c>
      <c r="AM262">
        <v>81</v>
      </c>
      <c r="AN262" t="str">
        <f>VLOOKUP(Transaction[[#This Row],[Model No.]],$AV$2:$BD$100,2,TRUE)</f>
        <v>TerraNoble Reserva La Higuera Vineyard Carmenere</v>
      </c>
      <c r="AO262" s="21">
        <f>VLOOKUP(Transaction[[#This Row],[Model No.]],$AV$2:$BD$100,6,TRUE)</f>
        <v>10.99</v>
      </c>
      <c r="AP262" s="9">
        <v>5</v>
      </c>
      <c r="AQ262" s="5">
        <f>Transaction[[#This Row],[Price]]*Transaction[[#This Row],[Qty]]</f>
        <v>54.95</v>
      </c>
      <c r="AR262" s="5">
        <f>VLOOKUP(Transaction[[#This Row],[Model No.]],$AV$2:$BD$100,7,TRUE)*Transaction[[#This Row],[Qty]]</f>
        <v>16.484999999999999</v>
      </c>
      <c r="AS262">
        <v>1102</v>
      </c>
      <c r="AT262">
        <v>1000</v>
      </c>
    </row>
    <row r="263" spans="36:46" x14ac:dyDescent="0.3">
      <c r="AJ263">
        <v>61300</v>
      </c>
      <c r="AK263" s="30">
        <v>42010</v>
      </c>
      <c r="AL263" t="s">
        <v>1628</v>
      </c>
      <c r="AM263">
        <v>69</v>
      </c>
      <c r="AN263" t="str">
        <f>VLOOKUP(Transaction[[#This Row],[Model No.]],$AV$2:$BD$100,2,TRUE)</f>
        <v>Castillo de Maluenda Vinas Viejas Punto y Coma Garnacha</v>
      </c>
      <c r="AO263" s="21">
        <f>VLOOKUP(Transaction[[#This Row],[Model No.]],$AV$2:$BD$100,6,TRUE)</f>
        <v>12.99</v>
      </c>
      <c r="AP263" s="9">
        <v>2</v>
      </c>
      <c r="AQ263" s="5">
        <f>Transaction[[#This Row],[Price]]*Transaction[[#This Row],[Qty]]</f>
        <v>25.98</v>
      </c>
      <c r="AR263" s="5">
        <f>VLOOKUP(Transaction[[#This Row],[Model No.]],$AV$2:$BD$100,7,TRUE)*Transaction[[#This Row],[Qty]]</f>
        <v>10.392000000000001</v>
      </c>
      <c r="AS263">
        <v>1102</v>
      </c>
      <c r="AT263">
        <v>1004</v>
      </c>
    </row>
    <row r="264" spans="36:46" x14ac:dyDescent="0.3">
      <c r="AJ264">
        <v>72364</v>
      </c>
      <c r="AK264" s="30">
        <v>42010</v>
      </c>
      <c r="AL264" t="s">
        <v>561</v>
      </c>
      <c r="AM264">
        <v>85</v>
      </c>
      <c r="AN264" t="str">
        <f>VLOOKUP(Transaction[[#This Row],[Model No.]],$AV$2:$BD$100,2,TRUE)</f>
        <v>Shiner Sea Salt &amp; Lime - 6 Pack</v>
      </c>
      <c r="AO264" s="21">
        <f>VLOOKUP(Transaction[[#This Row],[Model No.]],$AV$2:$BD$100,6,TRUE)</f>
        <v>9.99</v>
      </c>
      <c r="AP264" s="9">
        <v>2</v>
      </c>
      <c r="AQ264" s="5">
        <f>Transaction[[#This Row],[Price]]*Transaction[[#This Row],[Qty]]</f>
        <v>19.98</v>
      </c>
      <c r="AR264" s="5">
        <f>VLOOKUP(Transaction[[#This Row],[Model No.]],$AV$2:$BD$100,7,TRUE)*Transaction[[#This Row],[Qty]]</f>
        <v>5.9939999999999998</v>
      </c>
      <c r="AS264">
        <v>1105</v>
      </c>
      <c r="AT264">
        <v>1001</v>
      </c>
    </row>
    <row r="265" spans="36:46" x14ac:dyDescent="0.3">
      <c r="AJ265">
        <v>92831</v>
      </c>
      <c r="AK265" s="30">
        <v>42011</v>
      </c>
      <c r="AL265" t="s">
        <v>510</v>
      </c>
      <c r="AM265">
        <v>41</v>
      </c>
      <c r="AN265" t="str">
        <f>VLOOKUP(Transaction[[#This Row],[Model No.]],$AV$2:$BD$100,2,TRUE)</f>
        <v>Brunellesco Delle Venezie IGT Pinot Grigio</v>
      </c>
      <c r="AO265" s="21">
        <f>VLOOKUP(Transaction[[#This Row],[Model No.]],$AV$2:$BD$100,6,TRUE)</f>
        <v>17.39</v>
      </c>
      <c r="AP265" s="9">
        <v>4</v>
      </c>
      <c r="AQ265" s="5">
        <f>Transaction[[#This Row],[Price]]*Transaction[[#This Row],[Qty]]</f>
        <v>69.56</v>
      </c>
      <c r="AR265" s="5">
        <f>VLOOKUP(Transaction[[#This Row],[Model No.]],$AV$2:$BD$100,7,TRUE)*Transaction[[#This Row],[Qty]]</f>
        <v>6.9560000000000004</v>
      </c>
      <c r="AS265">
        <v>1098</v>
      </c>
      <c r="AT265">
        <v>1009</v>
      </c>
    </row>
    <row r="266" spans="36:46" x14ac:dyDescent="0.3">
      <c r="AJ266">
        <v>39194</v>
      </c>
      <c r="AK266" s="30">
        <v>42011</v>
      </c>
      <c r="AL266" t="s">
        <v>971</v>
      </c>
      <c r="AM266">
        <v>74</v>
      </c>
      <c r="AN266" t="str">
        <f>VLOOKUP(Transaction[[#This Row],[Model No.]],$AV$2:$BD$100,2,TRUE)</f>
        <v>UINTA PALE ALE NR - 6 Pack</v>
      </c>
      <c r="AO266" s="21">
        <f>VLOOKUP(Transaction[[#This Row],[Model No.]],$AV$2:$BD$100,6,TRUE)</f>
        <v>11.99</v>
      </c>
      <c r="AP266" s="9">
        <v>3</v>
      </c>
      <c r="AQ266" s="5">
        <f>Transaction[[#This Row],[Price]]*Transaction[[#This Row],[Qty]]</f>
        <v>35.97</v>
      </c>
      <c r="AR266" s="5">
        <f>VLOOKUP(Transaction[[#This Row],[Model No.]],$AV$2:$BD$100,7,TRUE)*Transaction[[#This Row],[Qty]]</f>
        <v>10.791</v>
      </c>
      <c r="AS266">
        <v>1100</v>
      </c>
      <c r="AT266">
        <v>1011</v>
      </c>
    </row>
    <row r="267" spans="36:46" x14ac:dyDescent="0.3">
      <c r="AJ267">
        <v>13828</v>
      </c>
      <c r="AK267" s="30">
        <v>42012</v>
      </c>
      <c r="AL267" t="s">
        <v>1656</v>
      </c>
      <c r="AM267">
        <v>87</v>
      </c>
      <c r="AN267" t="str">
        <f>VLOOKUP(Transaction[[#This Row],[Model No.]],$AV$2:$BD$100,2,TRUE)</f>
        <v>Cruzan 9 Spiced Rum</v>
      </c>
      <c r="AO267" s="21">
        <f>VLOOKUP(Transaction[[#This Row],[Model No.]],$AV$2:$BD$100,6,TRUE)</f>
        <v>9.49</v>
      </c>
      <c r="AP267" s="9">
        <v>4</v>
      </c>
      <c r="AQ267" s="5">
        <f>Transaction[[#This Row],[Price]]*Transaction[[#This Row],[Qty]]</f>
        <v>37.96</v>
      </c>
      <c r="AR267" s="5">
        <f>VLOOKUP(Transaction[[#This Row],[Model No.]],$AV$2:$BD$100,7,TRUE)*Transaction[[#This Row],[Qty]]</f>
        <v>7.5920000000000005</v>
      </c>
      <c r="AS267">
        <v>1103</v>
      </c>
      <c r="AT267">
        <v>1012</v>
      </c>
    </row>
    <row r="268" spans="36:46" x14ac:dyDescent="0.3">
      <c r="AJ268">
        <v>31058</v>
      </c>
      <c r="AK268" s="30">
        <v>42013</v>
      </c>
      <c r="AL268" t="s">
        <v>1364</v>
      </c>
      <c r="AM268">
        <v>48</v>
      </c>
      <c r="AN268" t="str">
        <f>VLOOKUP(Transaction[[#This Row],[Model No.]],$AV$2:$BD$100,2,TRUE)</f>
        <v>CH TOUR D'AURON</v>
      </c>
      <c r="AO268" s="21">
        <f>VLOOKUP(Transaction[[#This Row],[Model No.]],$AV$2:$BD$100,6,TRUE)</f>
        <v>15.99</v>
      </c>
      <c r="AP268" s="9">
        <v>2</v>
      </c>
      <c r="AQ268" s="5">
        <f>Transaction[[#This Row],[Price]]*Transaction[[#This Row],[Qty]]</f>
        <v>31.98</v>
      </c>
      <c r="AR268" s="5">
        <f>VLOOKUP(Transaction[[#This Row],[Model No.]],$AV$2:$BD$100,7,TRUE)*Transaction[[#This Row],[Qty]]</f>
        <v>12.792000000000002</v>
      </c>
      <c r="AS268">
        <v>1099</v>
      </c>
      <c r="AT268">
        <v>1001</v>
      </c>
    </row>
    <row r="269" spans="36:46" x14ac:dyDescent="0.3">
      <c r="AJ269">
        <v>97619</v>
      </c>
      <c r="AK269" s="30">
        <v>42013</v>
      </c>
      <c r="AL269" t="s">
        <v>898</v>
      </c>
      <c r="AM269">
        <v>60</v>
      </c>
      <c r="AN269" t="str">
        <f>VLOOKUP(Transaction[[#This Row],[Model No.]],$AV$2:$BD$100,2,TRUE)</f>
        <v>La Catrina Cabernet Sauvignon</v>
      </c>
      <c r="AO269" s="21">
        <f>VLOOKUP(Transaction[[#This Row],[Model No.]],$AV$2:$BD$100,6,TRUE)</f>
        <v>12.99</v>
      </c>
      <c r="AP269" s="9">
        <v>2</v>
      </c>
      <c r="AQ269" s="5">
        <f>Transaction[[#This Row],[Price]]*Transaction[[#This Row],[Qty]]</f>
        <v>25.98</v>
      </c>
      <c r="AR269" s="5">
        <f>VLOOKUP(Transaction[[#This Row],[Model No.]],$AV$2:$BD$100,7,TRUE)*Transaction[[#This Row],[Qty]]</f>
        <v>2.5980000000000003</v>
      </c>
      <c r="AS269">
        <v>1105</v>
      </c>
      <c r="AT269">
        <v>1019</v>
      </c>
    </row>
    <row r="270" spans="36:46" x14ac:dyDescent="0.3">
      <c r="AJ270">
        <v>44845</v>
      </c>
      <c r="AK270" s="30">
        <v>42014</v>
      </c>
      <c r="AL270" t="s">
        <v>702</v>
      </c>
      <c r="AM270">
        <v>67</v>
      </c>
      <c r="AN270" t="str">
        <f>VLOOKUP(Transaction[[#This Row],[Model No.]],$AV$2:$BD$100,2,TRUE)</f>
        <v>Oh Be Joyful Sweet Deutscher Qualitatswein Dornfelder</v>
      </c>
      <c r="AO270" s="21">
        <f>VLOOKUP(Transaction[[#This Row],[Model No.]],$AV$2:$BD$100,6,TRUE)</f>
        <v>12.99</v>
      </c>
      <c r="AP270" s="9">
        <v>3</v>
      </c>
      <c r="AQ270" s="5">
        <f>Transaction[[#This Row],[Price]]*Transaction[[#This Row],[Qty]]</f>
        <v>38.97</v>
      </c>
      <c r="AR270" s="5">
        <f>VLOOKUP(Transaction[[#This Row],[Model No.]],$AV$2:$BD$100,7,TRUE)*Transaction[[#This Row],[Qty]]</f>
        <v>15.588000000000001</v>
      </c>
      <c r="AS270">
        <v>1104</v>
      </c>
      <c r="AT270">
        <v>1017</v>
      </c>
    </row>
    <row r="271" spans="36:46" x14ac:dyDescent="0.3">
      <c r="AJ271">
        <v>98954</v>
      </c>
      <c r="AK271" s="30">
        <v>42015</v>
      </c>
      <c r="AL271" t="s">
        <v>433</v>
      </c>
      <c r="AM271">
        <v>33</v>
      </c>
      <c r="AN271" t="str">
        <f>VLOOKUP(Transaction[[#This Row],[Model No.]],$AV$2:$BD$100,2,TRUE)</f>
        <v>Saracina Unoaked Chardonnay</v>
      </c>
      <c r="AO271" s="21">
        <f>VLOOKUP(Transaction[[#This Row],[Model No.]],$AV$2:$BD$100,6,TRUE)</f>
        <v>20.99</v>
      </c>
      <c r="AP271" s="9">
        <v>3</v>
      </c>
      <c r="AQ271" s="5">
        <f>Transaction[[#This Row],[Price]]*Transaction[[#This Row],[Qty]]</f>
        <v>62.97</v>
      </c>
      <c r="AR271" s="5">
        <f>VLOOKUP(Transaction[[#This Row],[Model No.]],$AV$2:$BD$100,7,TRUE)*Transaction[[#This Row],[Qty]]</f>
        <v>12.593999999999998</v>
      </c>
      <c r="AS271">
        <v>1101</v>
      </c>
      <c r="AT271">
        <v>1016</v>
      </c>
    </row>
    <row r="272" spans="36:46" x14ac:dyDescent="0.3">
      <c r="AJ272">
        <v>83647</v>
      </c>
      <c r="AK272" s="30">
        <v>42017</v>
      </c>
      <c r="AL272" t="s">
        <v>1608</v>
      </c>
      <c r="AM272">
        <v>94</v>
      </c>
      <c r="AN272" t="str">
        <f>VLOOKUP(Transaction[[#This Row],[Model No.]],$AV$2:$BD$100,2,TRUE)</f>
        <v>Freixenet Blanc de Blancs Brut Cava Blend</v>
      </c>
      <c r="AO272" s="21">
        <f>VLOOKUP(Transaction[[#This Row],[Model No.]],$AV$2:$BD$100,6,TRUE)</f>
        <v>7.49</v>
      </c>
      <c r="AP272" s="9">
        <v>2</v>
      </c>
      <c r="AQ272" s="5">
        <f>Transaction[[#This Row],[Price]]*Transaction[[#This Row],[Qty]]</f>
        <v>14.98</v>
      </c>
      <c r="AR272" s="5">
        <f>VLOOKUP(Transaction[[#This Row],[Model No.]],$AV$2:$BD$100,7,TRUE)*Transaction[[#This Row],[Qty]]</f>
        <v>1.4980000000000002</v>
      </c>
      <c r="AS272">
        <v>1106</v>
      </c>
      <c r="AT272">
        <v>1019</v>
      </c>
    </row>
    <row r="273" spans="36:46" x14ac:dyDescent="0.3">
      <c r="AJ273">
        <v>53689</v>
      </c>
      <c r="AK273" s="30">
        <v>42018</v>
      </c>
      <c r="AL273" t="s">
        <v>1358</v>
      </c>
      <c r="AM273">
        <v>74</v>
      </c>
      <c r="AN273" t="str">
        <f>VLOOKUP(Transaction[[#This Row],[Model No.]],$AV$2:$BD$100,2,TRUE)</f>
        <v>UINTA PALE ALE NR - 6 Pack</v>
      </c>
      <c r="AO273" s="21">
        <f>VLOOKUP(Transaction[[#This Row],[Model No.]],$AV$2:$BD$100,6,TRUE)</f>
        <v>11.99</v>
      </c>
      <c r="AP273" s="9">
        <v>5</v>
      </c>
      <c r="AQ273" s="5">
        <f>Transaction[[#This Row],[Price]]*Transaction[[#This Row],[Qty]]</f>
        <v>59.95</v>
      </c>
      <c r="AR273" s="5">
        <f>VLOOKUP(Transaction[[#This Row],[Model No.]],$AV$2:$BD$100,7,TRUE)*Transaction[[#This Row],[Qty]]</f>
        <v>17.984999999999999</v>
      </c>
      <c r="AS273">
        <v>1105</v>
      </c>
      <c r="AT273">
        <v>1018</v>
      </c>
    </row>
    <row r="274" spans="36:46" x14ac:dyDescent="0.3">
      <c r="AJ274">
        <v>23699</v>
      </c>
      <c r="AK274" s="30">
        <v>42019</v>
      </c>
      <c r="AL274" t="s">
        <v>1883</v>
      </c>
      <c r="AM274">
        <v>71</v>
      </c>
      <c r="AN274" t="str">
        <f>VLOOKUP(Transaction[[#This Row],[Model No.]],$AV$2:$BD$100,2,TRUE)</f>
        <v>Flo Merlot</v>
      </c>
      <c r="AO274" s="21">
        <f>VLOOKUP(Transaction[[#This Row],[Model No.]],$AV$2:$BD$100,6,TRUE)</f>
        <v>12.49</v>
      </c>
      <c r="AP274" s="9">
        <v>3</v>
      </c>
      <c r="AQ274" s="5">
        <f>Transaction[[#This Row],[Price]]*Transaction[[#This Row],[Qty]]</f>
        <v>37.47</v>
      </c>
      <c r="AR274" s="5">
        <f>VLOOKUP(Transaction[[#This Row],[Model No.]],$AV$2:$BD$100,7,TRUE)*Transaction[[#This Row],[Qty]]</f>
        <v>3.7470000000000003</v>
      </c>
      <c r="AS274">
        <v>1100</v>
      </c>
      <c r="AT274">
        <v>1020</v>
      </c>
    </row>
    <row r="275" spans="36:46" x14ac:dyDescent="0.3">
      <c r="AJ275">
        <v>36480</v>
      </c>
      <c r="AK275" s="30">
        <v>42020</v>
      </c>
      <c r="AL275" t="s">
        <v>1648</v>
      </c>
      <c r="AM275">
        <v>15</v>
      </c>
      <c r="AN275" t="str">
        <f>VLOOKUP(Transaction[[#This Row],[Model No.]],$AV$2:$BD$100,2,TRUE)</f>
        <v>Wild Turkey 101 Kentucky Straight Bourbon Whiskey</v>
      </c>
      <c r="AO275" s="21">
        <f>VLOOKUP(Transaction[[#This Row],[Model No.]],$AV$2:$BD$100,6,TRUE)</f>
        <v>32.99</v>
      </c>
      <c r="AP275" s="9">
        <v>2</v>
      </c>
      <c r="AQ275" s="5">
        <f>Transaction[[#This Row],[Price]]*Transaction[[#This Row],[Qty]]</f>
        <v>65.98</v>
      </c>
      <c r="AR275" s="5">
        <f>VLOOKUP(Transaction[[#This Row],[Model No.]],$AV$2:$BD$100,7,TRUE)*Transaction[[#This Row],[Qty]]</f>
        <v>13.196000000000002</v>
      </c>
      <c r="AS275">
        <v>1103</v>
      </c>
      <c r="AT275">
        <v>1006</v>
      </c>
    </row>
    <row r="276" spans="36:46" x14ac:dyDescent="0.3">
      <c r="AJ276">
        <v>58020</v>
      </c>
      <c r="AK276" s="30">
        <v>42020</v>
      </c>
      <c r="AL276" t="s">
        <v>1464</v>
      </c>
      <c r="AM276">
        <v>33</v>
      </c>
      <c r="AN276" t="str">
        <f>VLOOKUP(Transaction[[#This Row],[Model No.]],$AV$2:$BD$100,2,TRUE)</f>
        <v>Saracina Unoaked Chardonnay</v>
      </c>
      <c r="AO276" s="21">
        <f>VLOOKUP(Transaction[[#This Row],[Model No.]],$AV$2:$BD$100,6,TRUE)</f>
        <v>20.99</v>
      </c>
      <c r="AP276" s="9">
        <v>1</v>
      </c>
      <c r="AQ276" s="5">
        <f>Transaction[[#This Row],[Price]]*Transaction[[#This Row],[Qty]]</f>
        <v>20.99</v>
      </c>
      <c r="AR276" s="5">
        <f>VLOOKUP(Transaction[[#This Row],[Model No.]],$AV$2:$BD$100,7,TRUE)*Transaction[[#This Row],[Qty]]</f>
        <v>4.1979999999999995</v>
      </c>
      <c r="AS276">
        <v>1099</v>
      </c>
      <c r="AT276">
        <v>1013</v>
      </c>
    </row>
    <row r="277" spans="36:46" x14ac:dyDescent="0.3">
      <c r="AJ277">
        <v>15499</v>
      </c>
      <c r="AK277" s="30">
        <v>42021</v>
      </c>
      <c r="AL277" t="s">
        <v>1274</v>
      </c>
      <c r="AM277">
        <v>81</v>
      </c>
      <c r="AN277" t="str">
        <f>VLOOKUP(Transaction[[#This Row],[Model No.]],$AV$2:$BD$100,2,TRUE)</f>
        <v>TerraNoble Reserva La Higuera Vineyard Carmenere</v>
      </c>
      <c r="AO277" s="21">
        <f>VLOOKUP(Transaction[[#This Row],[Model No.]],$AV$2:$BD$100,6,TRUE)</f>
        <v>10.99</v>
      </c>
      <c r="AP277" s="9">
        <v>5</v>
      </c>
      <c r="AQ277" s="5">
        <f>Transaction[[#This Row],[Price]]*Transaction[[#This Row],[Qty]]</f>
        <v>54.95</v>
      </c>
      <c r="AR277" s="5">
        <f>VLOOKUP(Transaction[[#This Row],[Model No.]],$AV$2:$BD$100,7,TRUE)*Transaction[[#This Row],[Qty]]</f>
        <v>16.484999999999999</v>
      </c>
      <c r="AS277">
        <v>1099</v>
      </c>
      <c r="AT277">
        <v>1012</v>
      </c>
    </row>
    <row r="278" spans="36:46" x14ac:dyDescent="0.3">
      <c r="AJ278">
        <v>93055</v>
      </c>
      <c r="AK278" s="30">
        <v>42022</v>
      </c>
      <c r="AL278" t="s">
        <v>676</v>
      </c>
      <c r="AM278">
        <v>98</v>
      </c>
      <c r="AN278" t="str">
        <f>VLOOKUP(Transaction[[#This Row],[Model No.]],$AV$2:$BD$100,2,TRUE)</f>
        <v>Wychwood Hobgoblin</v>
      </c>
      <c r="AO278" s="21">
        <f>VLOOKUP(Transaction[[#This Row],[Model No.]],$AV$2:$BD$100,6,TRUE)</f>
        <v>5.99</v>
      </c>
      <c r="AP278" s="9">
        <v>5</v>
      </c>
      <c r="AQ278" s="5">
        <f>Transaction[[#This Row],[Price]]*Transaction[[#This Row],[Qty]]</f>
        <v>29.950000000000003</v>
      </c>
      <c r="AR278" s="5">
        <f>VLOOKUP(Transaction[[#This Row],[Model No.]],$AV$2:$BD$100,7,TRUE)*Transaction[[#This Row],[Qty]]</f>
        <v>8.9849999999999994</v>
      </c>
      <c r="AS278">
        <v>1103</v>
      </c>
      <c r="AT278">
        <v>1009</v>
      </c>
    </row>
    <row r="279" spans="36:46" x14ac:dyDescent="0.3">
      <c r="AJ279">
        <v>88710</v>
      </c>
      <c r="AK279" s="30">
        <v>42023</v>
      </c>
      <c r="AL279" t="s">
        <v>501</v>
      </c>
      <c r="AM279">
        <v>35</v>
      </c>
      <c r="AN279" t="str">
        <f>VLOOKUP(Transaction[[#This Row],[Model No.]],$AV$2:$BD$100,2,TRUE)</f>
        <v>Troegenator Double Bock Can - 12 Pack</v>
      </c>
      <c r="AO279" s="21">
        <f>VLOOKUP(Transaction[[#This Row],[Model No.]],$AV$2:$BD$100,6,TRUE)</f>
        <v>20.99</v>
      </c>
      <c r="AP279" s="9">
        <v>1</v>
      </c>
      <c r="AQ279" s="5">
        <f>Transaction[[#This Row],[Price]]*Transaction[[#This Row],[Qty]]</f>
        <v>20.99</v>
      </c>
      <c r="AR279" s="5">
        <f>VLOOKUP(Transaction[[#This Row],[Model No.]],$AV$2:$BD$100,7,TRUE)*Transaction[[#This Row],[Qty]]</f>
        <v>6.2969999999999997</v>
      </c>
      <c r="AS279">
        <v>1107</v>
      </c>
      <c r="AT279">
        <v>1021</v>
      </c>
    </row>
    <row r="280" spans="36:46" x14ac:dyDescent="0.3">
      <c r="AJ280">
        <v>63868</v>
      </c>
      <c r="AK280" s="30">
        <v>42024</v>
      </c>
      <c r="AL280" t="s">
        <v>715</v>
      </c>
      <c r="AM280">
        <v>21</v>
      </c>
      <c r="AN280" t="str">
        <f>VLOOKUP(Transaction[[#This Row],[Model No.]],$AV$2:$BD$100,2,TRUE)</f>
        <v>Adelsheim Ribbon Springs Auxerrois</v>
      </c>
      <c r="AO280" s="21">
        <f>VLOOKUP(Transaction[[#This Row],[Model No.]],$AV$2:$BD$100,6,TRUE)</f>
        <v>25.99</v>
      </c>
      <c r="AP280" s="9">
        <v>3</v>
      </c>
      <c r="AQ280" s="5">
        <f>Transaction[[#This Row],[Price]]*Transaction[[#This Row],[Qty]]</f>
        <v>77.97</v>
      </c>
      <c r="AR280" s="5">
        <f>VLOOKUP(Transaction[[#This Row],[Model No.]],$AV$2:$BD$100,7,TRUE)*Transaction[[#This Row],[Qty]]</f>
        <v>7.7970000000000006</v>
      </c>
      <c r="AS280">
        <v>1104</v>
      </c>
      <c r="AT280">
        <v>1004</v>
      </c>
    </row>
    <row r="281" spans="36:46" x14ac:dyDescent="0.3">
      <c r="AJ281">
        <v>31564</v>
      </c>
      <c r="AK281" s="30">
        <v>42025</v>
      </c>
      <c r="AL281" t="s">
        <v>482</v>
      </c>
      <c r="AM281">
        <v>91</v>
      </c>
      <c r="AN281" t="str">
        <f>VLOOKUP(Transaction[[#This Row],[Model No.]],$AV$2:$BD$100,2,TRUE)</f>
        <v>Rex Goliath Free Range Giant 47 Pound Rooster Merlot</v>
      </c>
      <c r="AO281" s="21">
        <f>VLOOKUP(Transaction[[#This Row],[Model No.]],$AV$2:$BD$100,6,TRUE)</f>
        <v>7.79</v>
      </c>
      <c r="AP281" s="9">
        <v>2</v>
      </c>
      <c r="AQ281" s="5">
        <f>Transaction[[#This Row],[Price]]*Transaction[[#This Row],[Qty]]</f>
        <v>15.58</v>
      </c>
      <c r="AR281" s="5">
        <f>VLOOKUP(Transaction[[#This Row],[Model No.]],$AV$2:$BD$100,7,TRUE)*Transaction[[#This Row],[Qty]]</f>
        <v>1.5580000000000001</v>
      </c>
      <c r="AS281">
        <v>1101</v>
      </c>
      <c r="AT281">
        <v>1020</v>
      </c>
    </row>
    <row r="282" spans="36:46" x14ac:dyDescent="0.3">
      <c r="AJ282">
        <v>22473</v>
      </c>
      <c r="AK282" s="30">
        <v>42025</v>
      </c>
      <c r="AL282" t="s">
        <v>1816</v>
      </c>
      <c r="AM282">
        <v>94</v>
      </c>
      <c r="AN282" t="str">
        <f>VLOOKUP(Transaction[[#This Row],[Model No.]],$AV$2:$BD$100,2,TRUE)</f>
        <v>Freixenet Blanc de Blancs Brut Cava Blend</v>
      </c>
      <c r="AO282" s="21">
        <f>VLOOKUP(Transaction[[#This Row],[Model No.]],$AV$2:$BD$100,6,TRUE)</f>
        <v>7.49</v>
      </c>
      <c r="AP282" s="9">
        <v>4</v>
      </c>
      <c r="AQ282" s="5">
        <f>Transaction[[#This Row],[Price]]*Transaction[[#This Row],[Qty]]</f>
        <v>29.96</v>
      </c>
      <c r="AR282" s="5">
        <f>VLOOKUP(Transaction[[#This Row],[Model No.]],$AV$2:$BD$100,7,TRUE)*Transaction[[#This Row],[Qty]]</f>
        <v>2.9960000000000004</v>
      </c>
      <c r="AS282">
        <v>1098</v>
      </c>
      <c r="AT282">
        <v>1008</v>
      </c>
    </row>
    <row r="283" spans="36:46" x14ac:dyDescent="0.3">
      <c r="AJ283">
        <v>41924</v>
      </c>
      <c r="AK283" s="30">
        <v>42026</v>
      </c>
      <c r="AL283" t="s">
        <v>515</v>
      </c>
      <c r="AM283">
        <v>70</v>
      </c>
      <c r="AN283" t="str">
        <f>VLOOKUP(Transaction[[#This Row],[Model No.]],$AV$2:$BD$100,2,TRUE)</f>
        <v>Matchbook Rose Estate Bottled Tempranillo</v>
      </c>
      <c r="AO283" s="21">
        <f>VLOOKUP(Transaction[[#This Row],[Model No.]],$AV$2:$BD$100,6,TRUE)</f>
        <v>12.69</v>
      </c>
      <c r="AP283" s="9">
        <v>1</v>
      </c>
      <c r="AQ283" s="5">
        <f>Transaction[[#This Row],[Price]]*Transaction[[#This Row],[Qty]]</f>
        <v>12.69</v>
      </c>
      <c r="AR283" s="5">
        <f>VLOOKUP(Transaction[[#This Row],[Model No.]],$AV$2:$BD$100,7,TRUE)*Transaction[[#This Row],[Qty]]</f>
        <v>1.2690000000000001</v>
      </c>
      <c r="AS283">
        <v>1100</v>
      </c>
      <c r="AT283">
        <v>1005</v>
      </c>
    </row>
    <row r="284" spans="36:46" x14ac:dyDescent="0.3">
      <c r="AJ284">
        <v>20501</v>
      </c>
      <c r="AK284" s="30">
        <v>42027</v>
      </c>
      <c r="AL284" t="s">
        <v>1283</v>
      </c>
      <c r="AM284">
        <v>17</v>
      </c>
      <c r="AN284" t="str">
        <f>VLOOKUP(Transaction[[#This Row],[Model No.]],$AV$2:$BD$100,2,TRUE)</f>
        <v>Miller Lite Can - 24 Pack</v>
      </c>
      <c r="AO284" s="21">
        <f>VLOOKUP(Transaction[[#This Row],[Model No.]],$AV$2:$BD$100,6,TRUE)</f>
        <v>30.99</v>
      </c>
      <c r="AP284" s="9">
        <v>4</v>
      </c>
      <c r="AQ284" s="5">
        <f>Transaction[[#This Row],[Price]]*Transaction[[#This Row],[Qty]]</f>
        <v>123.96</v>
      </c>
      <c r="AR284" s="5">
        <f>VLOOKUP(Transaction[[#This Row],[Model No.]],$AV$2:$BD$100,7,TRUE)*Transaction[[#This Row],[Qty]]</f>
        <v>37.187999999999995</v>
      </c>
      <c r="AS284">
        <v>1098</v>
      </c>
      <c r="AT284">
        <v>1000</v>
      </c>
    </row>
    <row r="285" spans="36:46" x14ac:dyDescent="0.3">
      <c r="AJ285">
        <v>55979</v>
      </c>
      <c r="AK285" s="30">
        <v>42028</v>
      </c>
      <c r="AL285" t="s">
        <v>825</v>
      </c>
      <c r="AM285">
        <v>51</v>
      </c>
      <c r="AN285" t="str">
        <f>VLOOKUP(Transaction[[#This Row],[Model No.]],$AV$2:$BD$100,2,TRUE)</f>
        <v>Waterbrook Cabernet Sauvignon</v>
      </c>
      <c r="AO285" s="21">
        <f>VLOOKUP(Transaction[[#This Row],[Model No.]],$AV$2:$BD$100,6,TRUE)</f>
        <v>14.99</v>
      </c>
      <c r="AP285" s="9">
        <v>3</v>
      </c>
      <c r="AQ285" s="5">
        <f>Transaction[[#This Row],[Price]]*Transaction[[#This Row],[Qty]]</f>
        <v>44.97</v>
      </c>
      <c r="AR285" s="5">
        <f>VLOOKUP(Transaction[[#This Row],[Model No.]],$AV$2:$BD$100,7,TRUE)*Transaction[[#This Row],[Qty]]</f>
        <v>4.4969999999999999</v>
      </c>
      <c r="AS285">
        <v>1108</v>
      </c>
      <c r="AT285">
        <v>1021</v>
      </c>
    </row>
    <row r="286" spans="36:46" x14ac:dyDescent="0.3">
      <c r="AJ286">
        <v>75869</v>
      </c>
      <c r="AK286" s="30">
        <v>42029</v>
      </c>
      <c r="AL286" t="s">
        <v>347</v>
      </c>
      <c r="AM286">
        <v>61</v>
      </c>
      <c r="AN286" t="str">
        <f>VLOOKUP(Transaction[[#This Row],[Model No.]],$AV$2:$BD$100,2,TRUE)</f>
        <v>He'Brew Genesis Dry Hopped Session Ale - 6 Pack</v>
      </c>
      <c r="AO286" s="21">
        <f>VLOOKUP(Transaction[[#This Row],[Model No.]],$AV$2:$BD$100,6,TRUE)</f>
        <v>12.99</v>
      </c>
      <c r="AP286" s="9">
        <v>3</v>
      </c>
      <c r="AQ286" s="5">
        <f>Transaction[[#This Row],[Price]]*Transaction[[#This Row],[Qty]]</f>
        <v>38.97</v>
      </c>
      <c r="AR286" s="5">
        <f>VLOOKUP(Transaction[[#This Row],[Model No.]],$AV$2:$BD$100,7,TRUE)*Transaction[[#This Row],[Qty]]</f>
        <v>11.690999999999999</v>
      </c>
      <c r="AS286">
        <v>1100</v>
      </c>
      <c r="AT286">
        <v>1004</v>
      </c>
    </row>
    <row r="287" spans="36:46" x14ac:dyDescent="0.3">
      <c r="AJ287">
        <v>19005</v>
      </c>
      <c r="AK287" s="30">
        <v>42029</v>
      </c>
      <c r="AL287" t="s">
        <v>1415</v>
      </c>
      <c r="AM287">
        <v>83</v>
      </c>
      <c r="AN287" t="str">
        <f>VLOOKUP(Transaction[[#This Row],[Model No.]],$AV$2:$BD$100,2,TRUE)</f>
        <v>Pinnacle Cherry Whipped Vodka</v>
      </c>
      <c r="AO287" s="21">
        <f>VLOOKUP(Transaction[[#This Row],[Model No.]],$AV$2:$BD$100,6,TRUE)</f>
        <v>10.99</v>
      </c>
      <c r="AP287" s="9">
        <v>2</v>
      </c>
      <c r="AQ287" s="5">
        <f>Transaction[[#This Row],[Price]]*Transaction[[#This Row],[Qty]]</f>
        <v>21.98</v>
      </c>
      <c r="AR287" s="5">
        <f>VLOOKUP(Transaction[[#This Row],[Model No.]],$AV$2:$BD$100,7,TRUE)*Transaction[[#This Row],[Qty]]</f>
        <v>6.5940000000000003</v>
      </c>
      <c r="AS287">
        <v>1103</v>
      </c>
      <c r="AT287">
        <v>1004</v>
      </c>
    </row>
    <row r="288" spans="36:46" x14ac:dyDescent="0.3">
      <c r="AJ288">
        <v>42853</v>
      </c>
      <c r="AK288" s="30">
        <v>42031</v>
      </c>
      <c r="AL288" t="s">
        <v>693</v>
      </c>
      <c r="AM288">
        <v>49</v>
      </c>
      <c r="AN288" t="str">
        <f>VLOOKUP(Transaction[[#This Row],[Model No.]],$AV$2:$BD$100,2,TRUE)</f>
        <v>Marchesi di Barolo Ruvei Barbera d'Alba</v>
      </c>
      <c r="AO288" s="21">
        <f>VLOOKUP(Transaction[[#This Row],[Model No.]],$AV$2:$BD$100,6,TRUE)</f>
        <v>15.99</v>
      </c>
      <c r="AP288" s="9">
        <v>4</v>
      </c>
      <c r="AQ288" s="5">
        <f>Transaction[[#This Row],[Price]]*Transaction[[#This Row],[Qty]]</f>
        <v>63.96</v>
      </c>
      <c r="AR288" s="5">
        <f>VLOOKUP(Transaction[[#This Row],[Model No.]],$AV$2:$BD$100,7,TRUE)*Transaction[[#This Row],[Qty]]</f>
        <v>6.3960000000000008</v>
      </c>
      <c r="AS288">
        <v>1108</v>
      </c>
      <c r="AT288">
        <v>1014</v>
      </c>
    </row>
    <row r="289" spans="36:46" x14ac:dyDescent="0.3">
      <c r="AJ289">
        <v>89026</v>
      </c>
      <c r="AK289" s="30">
        <v>42032</v>
      </c>
      <c r="AL289" t="s">
        <v>343</v>
      </c>
      <c r="AM289">
        <v>21</v>
      </c>
      <c r="AN289" t="str">
        <f>VLOOKUP(Transaction[[#This Row],[Model No.]],$AV$2:$BD$100,2,TRUE)</f>
        <v>Adelsheim Ribbon Springs Auxerrois</v>
      </c>
      <c r="AO289" s="21">
        <f>VLOOKUP(Transaction[[#This Row],[Model No.]],$AV$2:$BD$100,6,TRUE)</f>
        <v>25.99</v>
      </c>
      <c r="AP289" s="9">
        <v>1</v>
      </c>
      <c r="AQ289" s="5">
        <f>Transaction[[#This Row],[Price]]*Transaction[[#This Row],[Qty]]</f>
        <v>25.99</v>
      </c>
      <c r="AR289" s="5">
        <f>VLOOKUP(Transaction[[#This Row],[Model No.]],$AV$2:$BD$100,7,TRUE)*Transaction[[#This Row],[Qty]]</f>
        <v>2.5990000000000002</v>
      </c>
      <c r="AS289">
        <v>1107</v>
      </c>
      <c r="AT289">
        <v>1006</v>
      </c>
    </row>
    <row r="290" spans="36:46" x14ac:dyDescent="0.3">
      <c r="AJ290">
        <v>33003</v>
      </c>
      <c r="AK290" s="30">
        <v>42033</v>
      </c>
      <c r="AL290" t="s">
        <v>381</v>
      </c>
      <c r="AM290">
        <v>81</v>
      </c>
      <c r="AN290" t="str">
        <f>VLOOKUP(Transaction[[#This Row],[Model No.]],$AV$2:$BD$100,2,TRUE)</f>
        <v>TerraNoble Reserva La Higuera Vineyard Carmenere</v>
      </c>
      <c r="AO290" s="21">
        <f>VLOOKUP(Transaction[[#This Row],[Model No.]],$AV$2:$BD$100,6,TRUE)</f>
        <v>10.99</v>
      </c>
      <c r="AP290" s="9">
        <v>2</v>
      </c>
      <c r="AQ290" s="5">
        <f>Transaction[[#This Row],[Price]]*Transaction[[#This Row],[Qty]]</f>
        <v>21.98</v>
      </c>
      <c r="AR290" s="5">
        <f>VLOOKUP(Transaction[[#This Row],[Model No.]],$AV$2:$BD$100,7,TRUE)*Transaction[[#This Row],[Qty]]</f>
        <v>6.5940000000000003</v>
      </c>
      <c r="AS290">
        <v>1103</v>
      </c>
      <c r="AT290">
        <v>1004</v>
      </c>
    </row>
    <row r="291" spans="36:46" x14ac:dyDescent="0.3">
      <c r="AJ291">
        <v>77988</v>
      </c>
      <c r="AK291" s="30">
        <v>42034</v>
      </c>
      <c r="AL291" t="s">
        <v>707</v>
      </c>
      <c r="AM291">
        <v>41</v>
      </c>
      <c r="AN291" t="str">
        <f>VLOOKUP(Transaction[[#This Row],[Model No.]],$AV$2:$BD$100,2,TRUE)</f>
        <v>Brunellesco Delle Venezie IGT Pinot Grigio</v>
      </c>
      <c r="AO291" s="21">
        <f>VLOOKUP(Transaction[[#This Row],[Model No.]],$AV$2:$BD$100,6,TRUE)</f>
        <v>17.39</v>
      </c>
      <c r="AP291" s="9">
        <v>2</v>
      </c>
      <c r="AQ291" s="5">
        <f>Transaction[[#This Row],[Price]]*Transaction[[#This Row],[Qty]]</f>
        <v>34.78</v>
      </c>
      <c r="AR291" s="5">
        <f>VLOOKUP(Transaction[[#This Row],[Model No.]],$AV$2:$BD$100,7,TRUE)*Transaction[[#This Row],[Qty]]</f>
        <v>3.4780000000000002</v>
      </c>
      <c r="AS291">
        <v>1108</v>
      </c>
      <c r="AT291">
        <v>1001</v>
      </c>
    </row>
    <row r="292" spans="36:46" x14ac:dyDescent="0.3">
      <c r="AJ292">
        <v>79789</v>
      </c>
      <c r="AK292" s="30">
        <v>42034</v>
      </c>
      <c r="AL292" t="s">
        <v>983</v>
      </c>
      <c r="AM292">
        <v>79</v>
      </c>
      <c r="AN292" t="str">
        <f>VLOOKUP(Transaction[[#This Row],[Model No.]],$AV$2:$BD$100,2,TRUE)</f>
        <v>Baron Herzog Jeunesse Chardonnay</v>
      </c>
      <c r="AO292" s="21">
        <f>VLOOKUP(Transaction[[#This Row],[Model No.]],$AV$2:$BD$100,6,TRUE)</f>
        <v>11.49</v>
      </c>
      <c r="AP292" s="9">
        <v>3</v>
      </c>
      <c r="AQ292" s="5">
        <f>Transaction[[#This Row],[Price]]*Transaction[[#This Row],[Qty]]</f>
        <v>34.47</v>
      </c>
      <c r="AR292" s="5">
        <f>VLOOKUP(Transaction[[#This Row],[Model No.]],$AV$2:$BD$100,7,TRUE)*Transaction[[#This Row],[Qty]]</f>
        <v>6.8940000000000001</v>
      </c>
      <c r="AS292">
        <v>1099</v>
      </c>
      <c r="AT292">
        <v>1005</v>
      </c>
    </row>
    <row r="293" spans="36:46" x14ac:dyDescent="0.3">
      <c r="AJ293">
        <v>87686</v>
      </c>
      <c r="AK293" s="30">
        <v>42036</v>
      </c>
      <c r="AL293" t="s">
        <v>636</v>
      </c>
      <c r="AM293">
        <v>77</v>
      </c>
      <c r="AN293" t="str">
        <f>VLOOKUP(Transaction[[#This Row],[Model No.]],$AV$2:$BD$100,2,TRUE)</f>
        <v>LA CHASSE PRETIGE CDR</v>
      </c>
      <c r="AO293" s="21">
        <f>VLOOKUP(Transaction[[#This Row],[Model No.]],$AV$2:$BD$100,6,TRUE)</f>
        <v>11.99</v>
      </c>
      <c r="AP293" s="9">
        <v>1</v>
      </c>
      <c r="AQ293" s="5">
        <f>Transaction[[#This Row],[Price]]*Transaction[[#This Row],[Qty]]</f>
        <v>11.99</v>
      </c>
      <c r="AR293" s="5">
        <f>VLOOKUP(Transaction[[#This Row],[Model No.]],$AV$2:$BD$100,7,TRUE)*Transaction[[#This Row],[Qty]]</f>
        <v>4.7960000000000003</v>
      </c>
      <c r="AS293">
        <v>1100</v>
      </c>
      <c r="AT293">
        <v>1010</v>
      </c>
    </row>
    <row r="294" spans="36:46" x14ac:dyDescent="0.3">
      <c r="AJ294">
        <v>57349</v>
      </c>
      <c r="AK294" s="30">
        <v>42036</v>
      </c>
      <c r="AL294" t="s">
        <v>627</v>
      </c>
      <c r="AM294">
        <v>85</v>
      </c>
      <c r="AN294" t="str">
        <f>VLOOKUP(Transaction[[#This Row],[Model No.]],$AV$2:$BD$100,2,TRUE)</f>
        <v>Shiner Sea Salt &amp; Lime - 6 Pack</v>
      </c>
      <c r="AO294" s="21">
        <f>VLOOKUP(Transaction[[#This Row],[Model No.]],$AV$2:$BD$100,6,TRUE)</f>
        <v>9.99</v>
      </c>
      <c r="AP294" s="9">
        <v>4</v>
      </c>
      <c r="AQ294" s="5">
        <f>Transaction[[#This Row],[Price]]*Transaction[[#This Row],[Qty]]</f>
        <v>39.96</v>
      </c>
      <c r="AR294" s="5">
        <f>VLOOKUP(Transaction[[#This Row],[Model No.]],$AV$2:$BD$100,7,TRUE)*Transaction[[#This Row],[Qty]]</f>
        <v>11.988</v>
      </c>
      <c r="AS294">
        <v>1100</v>
      </c>
      <c r="AT294">
        <v>1019</v>
      </c>
    </row>
    <row r="295" spans="36:46" x14ac:dyDescent="0.3">
      <c r="AJ295">
        <v>79556</v>
      </c>
      <c r="AK295" s="30">
        <v>42037</v>
      </c>
      <c r="AL295" t="s">
        <v>599</v>
      </c>
      <c r="AM295">
        <v>66</v>
      </c>
      <c r="AN295" t="str">
        <f>VLOOKUP(Transaction[[#This Row],[Model No.]],$AV$2:$BD$100,2,TRUE)</f>
        <v>Red Horse Beer - 6 Pack</v>
      </c>
      <c r="AO295" s="21">
        <f>VLOOKUP(Transaction[[#This Row],[Model No.]],$AV$2:$BD$100,6,TRUE)</f>
        <v>12.99</v>
      </c>
      <c r="AP295" s="9">
        <v>5</v>
      </c>
      <c r="AQ295" s="5">
        <f>Transaction[[#This Row],[Price]]*Transaction[[#This Row],[Qty]]</f>
        <v>64.95</v>
      </c>
      <c r="AR295" s="5">
        <f>VLOOKUP(Transaction[[#This Row],[Model No.]],$AV$2:$BD$100,7,TRUE)*Transaction[[#This Row],[Qty]]</f>
        <v>19.484999999999999</v>
      </c>
      <c r="AS295">
        <v>1106</v>
      </c>
      <c r="AT295">
        <v>1003</v>
      </c>
    </row>
    <row r="296" spans="36:46" x14ac:dyDescent="0.3">
      <c r="AJ296">
        <v>71683</v>
      </c>
      <c r="AK296" s="30">
        <v>42038</v>
      </c>
      <c r="AL296" t="s">
        <v>1406</v>
      </c>
      <c r="AM296">
        <v>19</v>
      </c>
      <c r="AN296" t="str">
        <f>VLOOKUP(Transaction[[#This Row],[Model No.]],$AV$2:$BD$100,2,TRUE)</f>
        <v>District Made Vodka</v>
      </c>
      <c r="AO296" s="21">
        <f>VLOOKUP(Transaction[[#This Row],[Model No.]],$AV$2:$BD$100,6,TRUE)</f>
        <v>29.99</v>
      </c>
      <c r="AP296" s="9">
        <v>5</v>
      </c>
      <c r="AQ296" s="5">
        <f>Transaction[[#This Row],[Price]]*Transaction[[#This Row],[Qty]]</f>
        <v>149.94999999999999</v>
      </c>
      <c r="AR296" s="5">
        <f>VLOOKUP(Transaction[[#This Row],[Model No.]],$AV$2:$BD$100,7,TRUE)*Transaction[[#This Row],[Qty]]</f>
        <v>44.984999999999999</v>
      </c>
      <c r="AS296">
        <v>1103</v>
      </c>
      <c r="AT296">
        <v>1000</v>
      </c>
    </row>
    <row r="297" spans="36:46" x14ac:dyDescent="0.3">
      <c r="AJ297">
        <v>74597</v>
      </c>
      <c r="AK297" s="30">
        <v>42038</v>
      </c>
      <c r="AL297" t="s">
        <v>437</v>
      </c>
      <c r="AM297">
        <v>77</v>
      </c>
      <c r="AN297" t="str">
        <f>VLOOKUP(Transaction[[#This Row],[Model No.]],$AV$2:$BD$100,2,TRUE)</f>
        <v>LA CHASSE PRETIGE CDR</v>
      </c>
      <c r="AO297" s="21">
        <f>VLOOKUP(Transaction[[#This Row],[Model No.]],$AV$2:$BD$100,6,TRUE)</f>
        <v>11.99</v>
      </c>
      <c r="AP297" s="9">
        <v>5</v>
      </c>
      <c r="AQ297" s="5">
        <f>Transaction[[#This Row],[Price]]*Transaction[[#This Row],[Qty]]</f>
        <v>59.95</v>
      </c>
      <c r="AR297" s="5">
        <f>VLOOKUP(Transaction[[#This Row],[Model No.]],$AV$2:$BD$100,7,TRUE)*Transaction[[#This Row],[Qty]]</f>
        <v>23.98</v>
      </c>
      <c r="AS297">
        <v>1098</v>
      </c>
      <c r="AT297">
        <v>1012</v>
      </c>
    </row>
    <row r="298" spans="36:46" x14ac:dyDescent="0.3">
      <c r="AJ298">
        <v>30171</v>
      </c>
      <c r="AK298" s="30">
        <v>42039</v>
      </c>
      <c r="AL298" t="s">
        <v>849</v>
      </c>
      <c r="AM298">
        <v>76</v>
      </c>
      <c r="AN298" t="str">
        <f>VLOOKUP(Transaction[[#This Row],[Model No.]],$AV$2:$BD$100,2,TRUE)</f>
        <v>Lagunitas Super Cluster Can - 6 Pack</v>
      </c>
      <c r="AO298" s="21">
        <f>VLOOKUP(Transaction[[#This Row],[Model No.]],$AV$2:$BD$100,6,TRUE)</f>
        <v>11.99</v>
      </c>
      <c r="AP298" s="9">
        <v>5</v>
      </c>
      <c r="AQ298" s="5">
        <f>Transaction[[#This Row],[Price]]*Transaction[[#This Row],[Qty]]</f>
        <v>59.95</v>
      </c>
      <c r="AR298" s="5">
        <f>VLOOKUP(Transaction[[#This Row],[Model No.]],$AV$2:$BD$100,7,TRUE)*Transaction[[#This Row],[Qty]]</f>
        <v>17.984999999999999</v>
      </c>
      <c r="AS298">
        <v>1107</v>
      </c>
      <c r="AT298">
        <v>1008</v>
      </c>
    </row>
    <row r="299" spans="36:46" x14ac:dyDescent="0.3">
      <c r="AJ299">
        <v>42186</v>
      </c>
      <c r="AK299" s="30">
        <v>42040</v>
      </c>
      <c r="AL299" t="s">
        <v>1416</v>
      </c>
      <c r="AM299">
        <v>97</v>
      </c>
      <c r="AN299" t="str">
        <f>VLOOKUP(Transaction[[#This Row],[Model No.]],$AV$2:$BD$100,2,TRUE)</f>
        <v>Sea Ridge Cabernet Sauvignon</v>
      </c>
      <c r="AO299" s="21">
        <f>VLOOKUP(Transaction[[#This Row],[Model No.]],$AV$2:$BD$100,6,TRUE)</f>
        <v>5.99</v>
      </c>
      <c r="AP299" s="9">
        <v>5</v>
      </c>
      <c r="AQ299" s="5">
        <f>Transaction[[#This Row],[Price]]*Transaction[[#This Row],[Qty]]</f>
        <v>29.950000000000003</v>
      </c>
      <c r="AR299" s="5">
        <f>VLOOKUP(Transaction[[#This Row],[Model No.]],$AV$2:$BD$100,7,TRUE)*Transaction[[#This Row],[Qty]]</f>
        <v>2.9950000000000006</v>
      </c>
      <c r="AS299">
        <v>1104</v>
      </c>
      <c r="AT299">
        <v>1008</v>
      </c>
    </row>
    <row r="300" spans="36:46" x14ac:dyDescent="0.3">
      <c r="AJ300">
        <v>31393</v>
      </c>
      <c r="AK300" s="30">
        <v>42041</v>
      </c>
      <c r="AL300" t="s">
        <v>1866</v>
      </c>
      <c r="AM300">
        <v>84</v>
      </c>
      <c r="AN300" t="str">
        <f>VLOOKUP(Transaction[[#This Row],[Model No.]],$AV$2:$BD$100,2,TRUE)</f>
        <v>UV Blue Raspberry Vodka</v>
      </c>
      <c r="AO300" s="21">
        <f>VLOOKUP(Transaction[[#This Row],[Model No.]],$AV$2:$BD$100,6,TRUE)</f>
        <v>10.49</v>
      </c>
      <c r="AP300" s="9">
        <v>4</v>
      </c>
      <c r="AQ300" s="5">
        <f>Transaction[[#This Row],[Price]]*Transaction[[#This Row],[Qty]]</f>
        <v>41.96</v>
      </c>
      <c r="AR300" s="5">
        <f>VLOOKUP(Transaction[[#This Row],[Model No.]],$AV$2:$BD$100,7,TRUE)*Transaction[[#This Row],[Qty]]</f>
        <v>12.587999999999999</v>
      </c>
      <c r="AS300">
        <v>1107</v>
      </c>
      <c r="AT300">
        <v>1001</v>
      </c>
    </row>
    <row r="301" spans="36:46" x14ac:dyDescent="0.3">
      <c r="AJ301">
        <v>37709</v>
      </c>
      <c r="AK301" s="30">
        <v>42046</v>
      </c>
      <c r="AL301" t="s">
        <v>685</v>
      </c>
      <c r="AM301">
        <v>76</v>
      </c>
      <c r="AN301" t="str">
        <f>VLOOKUP(Transaction[[#This Row],[Model No.]],$AV$2:$BD$100,2,TRUE)</f>
        <v>Lagunitas Super Cluster Can - 6 Pack</v>
      </c>
      <c r="AO301" s="21">
        <f>VLOOKUP(Transaction[[#This Row],[Model No.]],$AV$2:$BD$100,6,TRUE)</f>
        <v>11.99</v>
      </c>
      <c r="AP301" s="9">
        <v>4</v>
      </c>
      <c r="AQ301" s="5">
        <f>Transaction[[#This Row],[Price]]*Transaction[[#This Row],[Qty]]</f>
        <v>47.96</v>
      </c>
      <c r="AR301" s="5">
        <f>VLOOKUP(Transaction[[#This Row],[Model No.]],$AV$2:$BD$100,7,TRUE)*Transaction[[#This Row],[Qty]]</f>
        <v>14.388</v>
      </c>
      <c r="AS301">
        <v>1103</v>
      </c>
      <c r="AT301">
        <v>1003</v>
      </c>
    </row>
    <row r="302" spans="36:46" x14ac:dyDescent="0.3">
      <c r="AJ302">
        <v>17957</v>
      </c>
      <c r="AK302" s="30">
        <v>42048</v>
      </c>
      <c r="AL302" t="s">
        <v>1201</v>
      </c>
      <c r="AM302">
        <v>10</v>
      </c>
      <c r="AN302" t="str">
        <f>VLOOKUP(Transaction[[#This Row],[Model No.]],$AV$2:$BD$100,2,TRUE)</f>
        <v>Hum Botanical Spirit Liqueur</v>
      </c>
      <c r="AO302" s="21">
        <f>VLOOKUP(Transaction[[#This Row],[Model No.]],$AV$2:$BD$100,6,TRUE)</f>
        <v>41.99</v>
      </c>
      <c r="AP302" s="9">
        <v>5</v>
      </c>
      <c r="AQ302" s="5">
        <f>Transaction[[#This Row],[Price]]*Transaction[[#This Row],[Qty]]</f>
        <v>209.95000000000002</v>
      </c>
      <c r="AR302" s="5">
        <f>VLOOKUP(Transaction[[#This Row],[Model No.]],$AV$2:$BD$100,7,TRUE)*Transaction[[#This Row],[Qty]]</f>
        <v>62.984999999999999</v>
      </c>
      <c r="AS302">
        <v>1098</v>
      </c>
      <c r="AT302">
        <v>1012</v>
      </c>
    </row>
    <row r="303" spans="36:46" x14ac:dyDescent="0.3">
      <c r="AJ303">
        <v>53097</v>
      </c>
      <c r="AK303" s="30">
        <v>42048</v>
      </c>
      <c r="AL303" t="s">
        <v>1694</v>
      </c>
      <c r="AM303">
        <v>17</v>
      </c>
      <c r="AN303" t="str">
        <f>VLOOKUP(Transaction[[#This Row],[Model No.]],$AV$2:$BD$100,2,TRUE)</f>
        <v>Miller Lite Can - 24 Pack</v>
      </c>
      <c r="AO303" s="21">
        <f>VLOOKUP(Transaction[[#This Row],[Model No.]],$AV$2:$BD$100,6,TRUE)</f>
        <v>30.99</v>
      </c>
      <c r="AP303" s="9">
        <v>4</v>
      </c>
      <c r="AQ303" s="5">
        <f>Transaction[[#This Row],[Price]]*Transaction[[#This Row],[Qty]]</f>
        <v>123.96</v>
      </c>
      <c r="AR303" s="5">
        <f>VLOOKUP(Transaction[[#This Row],[Model No.]],$AV$2:$BD$100,7,TRUE)*Transaction[[#This Row],[Qty]]</f>
        <v>37.187999999999995</v>
      </c>
      <c r="AS303">
        <v>1099</v>
      </c>
      <c r="AT303">
        <v>1002</v>
      </c>
    </row>
    <row r="304" spans="36:46" x14ac:dyDescent="0.3">
      <c r="AJ304">
        <v>22883</v>
      </c>
      <c r="AK304" s="30">
        <v>42050</v>
      </c>
      <c r="AL304" t="s">
        <v>934</v>
      </c>
      <c r="AM304">
        <v>77</v>
      </c>
      <c r="AN304" t="str">
        <f>VLOOKUP(Transaction[[#This Row],[Model No.]],$AV$2:$BD$100,2,TRUE)</f>
        <v>LA CHASSE PRETIGE CDR</v>
      </c>
      <c r="AO304" s="21">
        <f>VLOOKUP(Transaction[[#This Row],[Model No.]],$AV$2:$BD$100,6,TRUE)</f>
        <v>11.99</v>
      </c>
      <c r="AP304" s="9">
        <v>5</v>
      </c>
      <c r="AQ304" s="5">
        <f>Transaction[[#This Row],[Price]]*Transaction[[#This Row],[Qty]]</f>
        <v>59.95</v>
      </c>
      <c r="AR304" s="5">
        <f>VLOOKUP(Transaction[[#This Row],[Model No.]],$AV$2:$BD$100,7,TRUE)*Transaction[[#This Row],[Qty]]</f>
        <v>23.98</v>
      </c>
      <c r="AS304">
        <v>1103</v>
      </c>
      <c r="AT304">
        <v>1012</v>
      </c>
    </row>
    <row r="305" spans="36:46" x14ac:dyDescent="0.3">
      <c r="AJ305">
        <v>36055</v>
      </c>
      <c r="AK305" s="30">
        <v>42052</v>
      </c>
      <c r="AL305" t="s">
        <v>903</v>
      </c>
      <c r="AM305">
        <v>19</v>
      </c>
      <c r="AN305" t="str">
        <f>VLOOKUP(Transaction[[#This Row],[Model No.]],$AV$2:$BD$100,2,TRUE)</f>
        <v>District Made Vodka</v>
      </c>
      <c r="AO305" s="21">
        <f>VLOOKUP(Transaction[[#This Row],[Model No.]],$AV$2:$BD$100,6,TRUE)</f>
        <v>29.99</v>
      </c>
      <c r="AP305" s="9">
        <v>3</v>
      </c>
      <c r="AQ305" s="5">
        <f>Transaction[[#This Row],[Price]]*Transaction[[#This Row],[Qty]]</f>
        <v>89.97</v>
      </c>
      <c r="AR305" s="5">
        <f>VLOOKUP(Transaction[[#This Row],[Model No.]],$AV$2:$BD$100,7,TRUE)*Transaction[[#This Row],[Qty]]</f>
        <v>26.991</v>
      </c>
      <c r="AS305">
        <v>1106</v>
      </c>
      <c r="AT305">
        <v>1004</v>
      </c>
    </row>
    <row r="306" spans="36:46" x14ac:dyDescent="0.3">
      <c r="AJ306">
        <v>52905</v>
      </c>
      <c r="AK306" s="30">
        <v>42052</v>
      </c>
      <c r="AL306" t="s">
        <v>438</v>
      </c>
      <c r="AM306">
        <v>31</v>
      </c>
      <c r="AN306" t="str">
        <f>VLOOKUP(Transaction[[#This Row],[Model No.]],$AV$2:$BD$100,2,TRUE)</f>
        <v>Gulden Draak 9000 Quadruple - 4 Pack</v>
      </c>
      <c r="AO306" s="21">
        <f>VLOOKUP(Transaction[[#This Row],[Model No.]],$AV$2:$BD$100,6,TRUE)</f>
        <v>21.99</v>
      </c>
      <c r="AP306" s="9">
        <v>3</v>
      </c>
      <c r="AQ306" s="5">
        <f>Transaction[[#This Row],[Price]]*Transaction[[#This Row],[Qty]]</f>
        <v>65.97</v>
      </c>
      <c r="AR306" s="5">
        <f>VLOOKUP(Transaction[[#This Row],[Model No.]],$AV$2:$BD$100,7,TRUE)*Transaction[[#This Row],[Qty]]</f>
        <v>19.790999999999997</v>
      </c>
      <c r="AS306">
        <v>1100</v>
      </c>
      <c r="AT306">
        <v>1013</v>
      </c>
    </row>
    <row r="307" spans="36:46" x14ac:dyDescent="0.3">
      <c r="AJ307">
        <v>10855</v>
      </c>
      <c r="AK307" s="30">
        <v>42053</v>
      </c>
      <c r="AL307" t="s">
        <v>1115</v>
      </c>
      <c r="AM307">
        <v>24</v>
      </c>
      <c r="AN307" t="str">
        <f>VLOOKUP(Transaction[[#This Row],[Model No.]],$AV$2:$BD$100,2,TRUE)</f>
        <v>Matchbook The Arsonist Bordeaux Blend</v>
      </c>
      <c r="AO307" s="21">
        <f>VLOOKUP(Transaction[[#This Row],[Model No.]],$AV$2:$BD$100,6,TRUE)</f>
        <v>24.99</v>
      </c>
      <c r="AP307" s="9">
        <v>3</v>
      </c>
      <c r="AQ307" s="5">
        <f>Transaction[[#This Row],[Price]]*Transaction[[#This Row],[Qty]]</f>
        <v>74.97</v>
      </c>
      <c r="AR307" s="5">
        <f>VLOOKUP(Transaction[[#This Row],[Model No.]],$AV$2:$BD$100,7,TRUE)*Transaction[[#This Row],[Qty]]</f>
        <v>7.4969999999999999</v>
      </c>
      <c r="AS307">
        <v>1106</v>
      </c>
      <c r="AT307">
        <v>1004</v>
      </c>
    </row>
    <row r="308" spans="36:46" x14ac:dyDescent="0.3">
      <c r="AJ308">
        <v>49752</v>
      </c>
      <c r="AK308" s="30">
        <v>42053</v>
      </c>
      <c r="AL308" t="s">
        <v>987</v>
      </c>
      <c r="AM308">
        <v>59</v>
      </c>
      <c r="AN308" t="str">
        <f>VLOOKUP(Transaction[[#This Row],[Model No.]],$AV$2:$BD$100,2,TRUE)</f>
        <v>Smirnoff Kissed Caramel Vodka</v>
      </c>
      <c r="AO308" s="21">
        <f>VLOOKUP(Transaction[[#This Row],[Model No.]],$AV$2:$BD$100,6,TRUE)</f>
        <v>13.49</v>
      </c>
      <c r="AP308" s="9">
        <v>2</v>
      </c>
      <c r="AQ308" s="5">
        <f>Transaction[[#This Row],[Price]]*Transaction[[#This Row],[Qty]]</f>
        <v>26.98</v>
      </c>
      <c r="AR308" s="5">
        <f>VLOOKUP(Transaction[[#This Row],[Model No.]],$AV$2:$BD$100,7,TRUE)*Transaction[[#This Row],[Qty]]</f>
        <v>8.0939999999999994</v>
      </c>
      <c r="AS308">
        <v>1107</v>
      </c>
      <c r="AT308">
        <v>1007</v>
      </c>
    </row>
    <row r="309" spans="36:46" x14ac:dyDescent="0.3">
      <c r="AJ309">
        <v>68417</v>
      </c>
      <c r="AK309" s="30">
        <v>42053</v>
      </c>
      <c r="AL309" t="s">
        <v>590</v>
      </c>
      <c r="AM309">
        <v>72</v>
      </c>
      <c r="AN309" t="str">
        <f>VLOOKUP(Transaction[[#This Row],[Model No.]],$AV$2:$BD$100,2,TRUE)</f>
        <v>Pearl Wedding Cake Vodka</v>
      </c>
      <c r="AO309" s="21">
        <f>VLOOKUP(Transaction[[#This Row],[Model No.]],$AV$2:$BD$100,6,TRUE)</f>
        <v>12.49</v>
      </c>
      <c r="AP309" s="9">
        <v>1</v>
      </c>
      <c r="AQ309" s="5">
        <f>Transaction[[#This Row],[Price]]*Transaction[[#This Row],[Qty]]</f>
        <v>12.49</v>
      </c>
      <c r="AR309" s="5">
        <f>VLOOKUP(Transaction[[#This Row],[Model No.]],$AV$2:$BD$100,7,TRUE)*Transaction[[#This Row],[Qty]]</f>
        <v>3.7469999999999999</v>
      </c>
      <c r="AS309">
        <v>1102</v>
      </c>
      <c r="AT309">
        <v>1011</v>
      </c>
    </row>
    <row r="310" spans="36:46" x14ac:dyDescent="0.3">
      <c r="AJ310">
        <v>44951</v>
      </c>
      <c r="AK310" s="30">
        <v>42054</v>
      </c>
      <c r="AL310" t="s">
        <v>820</v>
      </c>
      <c r="AM310">
        <v>56</v>
      </c>
      <c r="AN310" t="str">
        <f>VLOOKUP(Transaction[[#This Row],[Model No.]],$AV$2:$BD$100,2,TRUE)</f>
        <v>Roy Pitz Sour Hound - 6 Pack</v>
      </c>
      <c r="AO310" s="21">
        <f>VLOOKUP(Transaction[[#This Row],[Model No.]],$AV$2:$BD$100,6,TRUE)</f>
        <v>13.99</v>
      </c>
      <c r="AP310" s="9">
        <v>2</v>
      </c>
      <c r="AQ310" s="5">
        <f>Transaction[[#This Row],[Price]]*Transaction[[#This Row],[Qty]]</f>
        <v>27.98</v>
      </c>
      <c r="AR310" s="5">
        <f>VLOOKUP(Transaction[[#This Row],[Model No.]],$AV$2:$BD$100,7,TRUE)*Transaction[[#This Row],[Qty]]</f>
        <v>8.3940000000000001</v>
      </c>
      <c r="AS310">
        <v>1099</v>
      </c>
      <c r="AT310">
        <v>1010</v>
      </c>
    </row>
    <row r="311" spans="36:46" x14ac:dyDescent="0.3">
      <c r="AJ311">
        <v>77968</v>
      </c>
      <c r="AK311" s="30">
        <v>42055</v>
      </c>
      <c r="AL311" t="s">
        <v>621</v>
      </c>
      <c r="AM311">
        <v>95</v>
      </c>
      <c r="AN311" t="str">
        <f>VLOOKUP(Transaction[[#This Row],[Model No.]],$AV$2:$BD$100,2,TRUE)</f>
        <v>Kuromatsu Hakushika Chokara Extra Dry Sake</v>
      </c>
      <c r="AO311" s="21">
        <f>VLOOKUP(Transaction[[#This Row],[Model No.]],$AV$2:$BD$100,6,TRUE)</f>
        <v>7.49</v>
      </c>
      <c r="AP311" s="9">
        <v>4</v>
      </c>
      <c r="AQ311" s="5">
        <f>Transaction[[#This Row],[Price]]*Transaction[[#This Row],[Qty]]</f>
        <v>29.96</v>
      </c>
      <c r="AR311" s="5">
        <f>VLOOKUP(Transaction[[#This Row],[Model No.]],$AV$2:$BD$100,7,TRUE)*Transaction[[#This Row],[Qty]]</f>
        <v>2.9960000000000004</v>
      </c>
      <c r="AS311">
        <v>1104</v>
      </c>
      <c r="AT311">
        <v>1021</v>
      </c>
    </row>
    <row r="312" spans="36:46" x14ac:dyDescent="0.3">
      <c r="AJ312">
        <v>21800</v>
      </c>
      <c r="AK312" s="30">
        <v>42056</v>
      </c>
      <c r="AL312" t="s">
        <v>762</v>
      </c>
      <c r="AM312">
        <v>38</v>
      </c>
      <c r="AN312" t="str">
        <f>VLOOKUP(Transaction[[#This Row],[Model No.]],$AV$2:$BD$100,2,TRUE)</f>
        <v>CiROC Red Berry Vodka</v>
      </c>
      <c r="AO312" s="21">
        <f>VLOOKUP(Transaction[[#This Row],[Model No.]],$AV$2:$BD$100,6,TRUE)</f>
        <v>19.989999999999998</v>
      </c>
      <c r="AP312" s="9">
        <v>3</v>
      </c>
      <c r="AQ312" s="5">
        <f>Transaction[[#This Row],[Price]]*Transaction[[#This Row],[Qty]]</f>
        <v>59.97</v>
      </c>
      <c r="AR312" s="5">
        <f>VLOOKUP(Transaction[[#This Row],[Model No.]],$AV$2:$BD$100,7,TRUE)*Transaction[[#This Row],[Qty]]</f>
        <v>17.990999999999996</v>
      </c>
      <c r="AS312">
        <v>1099</v>
      </c>
      <c r="AT312">
        <v>1017</v>
      </c>
    </row>
    <row r="313" spans="36:46" x14ac:dyDescent="0.3">
      <c r="AJ313">
        <v>89196</v>
      </c>
      <c r="AK313" s="30">
        <v>42058</v>
      </c>
      <c r="AL313" t="s">
        <v>594</v>
      </c>
      <c r="AM313">
        <v>24</v>
      </c>
      <c r="AN313" t="str">
        <f>VLOOKUP(Transaction[[#This Row],[Model No.]],$AV$2:$BD$100,2,TRUE)</f>
        <v>Matchbook The Arsonist Bordeaux Blend</v>
      </c>
      <c r="AO313" s="21">
        <f>VLOOKUP(Transaction[[#This Row],[Model No.]],$AV$2:$BD$100,6,TRUE)</f>
        <v>24.99</v>
      </c>
      <c r="AP313" s="9">
        <v>2</v>
      </c>
      <c r="AQ313" s="5">
        <f>Transaction[[#This Row],[Price]]*Transaction[[#This Row],[Qty]]</f>
        <v>49.98</v>
      </c>
      <c r="AR313" s="5">
        <f>VLOOKUP(Transaction[[#This Row],[Model No.]],$AV$2:$BD$100,7,TRUE)*Transaction[[#This Row],[Qty]]</f>
        <v>4.9980000000000002</v>
      </c>
      <c r="AS313">
        <v>1102</v>
      </c>
      <c r="AT313">
        <v>1020</v>
      </c>
    </row>
    <row r="314" spans="36:46" x14ac:dyDescent="0.3">
      <c r="AJ314">
        <v>76794</v>
      </c>
      <c r="AK314" s="30">
        <v>42063</v>
      </c>
      <c r="AL314" t="s">
        <v>411</v>
      </c>
      <c r="AM314">
        <v>13</v>
      </c>
      <c r="AN314" t="str">
        <f>VLOOKUP(Transaction[[#This Row],[Model No.]],$AV$2:$BD$100,2,TRUE)</f>
        <v>Luxardo Maraschino Liqueur</v>
      </c>
      <c r="AO314" s="21">
        <f>VLOOKUP(Transaction[[#This Row],[Model No.]],$AV$2:$BD$100,6,TRUE)</f>
        <v>36.99</v>
      </c>
      <c r="AP314" s="9">
        <v>4</v>
      </c>
      <c r="AQ314" s="5">
        <f>Transaction[[#This Row],[Price]]*Transaction[[#This Row],[Qty]]</f>
        <v>147.96</v>
      </c>
      <c r="AR314" s="5">
        <f>VLOOKUP(Transaction[[#This Row],[Model No.]],$AV$2:$BD$100,7,TRUE)*Transaction[[#This Row],[Qty]]</f>
        <v>44.387999999999998</v>
      </c>
      <c r="AS314">
        <v>1099</v>
      </c>
      <c r="AT314">
        <v>1019</v>
      </c>
    </row>
    <row r="315" spans="36:46" x14ac:dyDescent="0.3">
      <c r="AJ315">
        <v>51863</v>
      </c>
      <c r="AK315" s="30">
        <v>42064</v>
      </c>
      <c r="AL315" t="s">
        <v>1065</v>
      </c>
      <c r="AM315">
        <v>78</v>
      </c>
      <c r="AN315" t="str">
        <f>VLOOKUP(Transaction[[#This Row],[Model No.]],$AV$2:$BD$100,2,TRUE)</f>
        <v>Tomasello Winery Blueberry Wine Red Blend</v>
      </c>
      <c r="AO315" s="21">
        <f>VLOOKUP(Transaction[[#This Row],[Model No.]],$AV$2:$BD$100,6,TRUE)</f>
        <v>11.49</v>
      </c>
      <c r="AP315" s="9">
        <v>4</v>
      </c>
      <c r="AQ315" s="5">
        <f>Transaction[[#This Row],[Price]]*Transaction[[#This Row],[Qty]]</f>
        <v>45.96</v>
      </c>
      <c r="AR315" s="5">
        <f>VLOOKUP(Transaction[[#This Row],[Model No.]],$AV$2:$BD$100,7,TRUE)*Transaction[[#This Row],[Qty]]</f>
        <v>4.5960000000000001</v>
      </c>
      <c r="AS315">
        <v>1106</v>
      </c>
      <c r="AT315">
        <v>1001</v>
      </c>
    </row>
    <row r="316" spans="36:46" x14ac:dyDescent="0.3">
      <c r="AJ316">
        <v>30395</v>
      </c>
      <c r="AK316" s="30">
        <v>42066</v>
      </c>
      <c r="AL316" t="s">
        <v>847</v>
      </c>
      <c r="AM316">
        <v>25</v>
      </c>
      <c r="AN316" t="str">
        <f>VLOOKUP(Transaction[[#This Row],[Model No.]],$AV$2:$BD$100,2,TRUE)</f>
        <v>ICEHOUSE 4/6 LNNR - 24 Pack</v>
      </c>
      <c r="AO316" s="21">
        <f>VLOOKUP(Transaction[[#This Row],[Model No.]],$AV$2:$BD$100,6,TRUE)</f>
        <v>23.99</v>
      </c>
      <c r="AP316" s="9">
        <v>3</v>
      </c>
      <c r="AQ316" s="5">
        <f>Transaction[[#This Row],[Price]]*Transaction[[#This Row],[Qty]]</f>
        <v>71.97</v>
      </c>
      <c r="AR316" s="5">
        <f>VLOOKUP(Transaction[[#This Row],[Model No.]],$AV$2:$BD$100,7,TRUE)*Transaction[[#This Row],[Qty]]</f>
        <v>21.590999999999998</v>
      </c>
      <c r="AS316">
        <v>1100</v>
      </c>
      <c r="AT316">
        <v>1021</v>
      </c>
    </row>
    <row r="317" spans="36:46" x14ac:dyDescent="0.3">
      <c r="AJ317">
        <v>76716</v>
      </c>
      <c r="AK317" s="30">
        <v>42071</v>
      </c>
      <c r="AL317" t="s">
        <v>1230</v>
      </c>
      <c r="AM317">
        <v>4</v>
      </c>
      <c r="AN317" t="str">
        <f>VLOOKUP(Transaction[[#This Row],[Model No.]],$AV$2:$BD$100,2,TRUE)</f>
        <v>Stags' Leap Winery Cabernet Sauvignon</v>
      </c>
      <c r="AO317" s="21">
        <f>VLOOKUP(Transaction[[#This Row],[Model No.]],$AV$2:$BD$100,6,TRUE)</f>
        <v>54.99</v>
      </c>
      <c r="AP317" s="9">
        <v>5</v>
      </c>
      <c r="AQ317" s="5">
        <f>Transaction[[#This Row],[Price]]*Transaction[[#This Row],[Qty]]</f>
        <v>274.95</v>
      </c>
      <c r="AR317" s="5">
        <f>VLOOKUP(Transaction[[#This Row],[Model No.]],$AV$2:$BD$100,7,TRUE)*Transaction[[#This Row],[Qty]]</f>
        <v>27.495000000000005</v>
      </c>
      <c r="AS317">
        <v>1107</v>
      </c>
      <c r="AT317">
        <v>1011</v>
      </c>
    </row>
    <row r="318" spans="36:46" x14ac:dyDescent="0.3">
      <c r="AJ318">
        <v>88349</v>
      </c>
      <c r="AK318" s="30">
        <v>42071</v>
      </c>
      <c r="AL318" t="s">
        <v>867</v>
      </c>
      <c r="AM318">
        <v>23</v>
      </c>
      <c r="AN318" t="str">
        <f>VLOOKUP(Transaction[[#This Row],[Model No.]],$AV$2:$BD$100,2,TRUE)</f>
        <v>Brinley Gold Shipwreck Mango Rum</v>
      </c>
      <c r="AO318" s="21">
        <f>VLOOKUP(Transaction[[#This Row],[Model No.]],$AV$2:$BD$100,6,TRUE)</f>
        <v>25.99</v>
      </c>
      <c r="AP318" s="9">
        <v>2</v>
      </c>
      <c r="AQ318" s="5">
        <f>Transaction[[#This Row],[Price]]*Transaction[[#This Row],[Qty]]</f>
        <v>51.98</v>
      </c>
      <c r="AR318" s="5">
        <f>VLOOKUP(Transaction[[#This Row],[Model No.]],$AV$2:$BD$100,7,TRUE)*Transaction[[#This Row],[Qty]]</f>
        <v>10.396000000000001</v>
      </c>
      <c r="AS318">
        <v>1101</v>
      </c>
      <c r="AT318">
        <v>1010</v>
      </c>
    </row>
    <row r="319" spans="36:46" x14ac:dyDescent="0.3">
      <c r="AJ319">
        <v>39036</v>
      </c>
      <c r="AK319" s="30">
        <v>42071</v>
      </c>
      <c r="AL319" t="s">
        <v>426</v>
      </c>
      <c r="AM319">
        <v>38</v>
      </c>
      <c r="AN319" t="str">
        <f>VLOOKUP(Transaction[[#This Row],[Model No.]],$AV$2:$BD$100,2,TRUE)</f>
        <v>CiROC Red Berry Vodka</v>
      </c>
      <c r="AO319" s="21">
        <f>VLOOKUP(Transaction[[#This Row],[Model No.]],$AV$2:$BD$100,6,TRUE)</f>
        <v>19.989999999999998</v>
      </c>
      <c r="AP319" s="9">
        <v>1</v>
      </c>
      <c r="AQ319" s="5">
        <f>Transaction[[#This Row],[Price]]*Transaction[[#This Row],[Qty]]</f>
        <v>19.989999999999998</v>
      </c>
      <c r="AR319" s="5">
        <f>VLOOKUP(Transaction[[#This Row],[Model No.]],$AV$2:$BD$100,7,TRUE)*Transaction[[#This Row],[Qty]]</f>
        <v>5.996999999999999</v>
      </c>
      <c r="AS319">
        <v>1104</v>
      </c>
      <c r="AT319">
        <v>1021</v>
      </c>
    </row>
    <row r="320" spans="36:46" x14ac:dyDescent="0.3">
      <c r="AJ320">
        <v>31083</v>
      </c>
      <c r="AK320" s="30">
        <v>42071</v>
      </c>
      <c r="AL320" t="s">
        <v>1554</v>
      </c>
      <c r="AM320">
        <v>56</v>
      </c>
      <c r="AN320" t="str">
        <f>VLOOKUP(Transaction[[#This Row],[Model No.]],$AV$2:$BD$100,2,TRUE)</f>
        <v>Roy Pitz Sour Hound - 6 Pack</v>
      </c>
      <c r="AO320" s="21">
        <f>VLOOKUP(Transaction[[#This Row],[Model No.]],$AV$2:$BD$100,6,TRUE)</f>
        <v>13.99</v>
      </c>
      <c r="AP320" s="9">
        <v>5</v>
      </c>
      <c r="AQ320" s="5">
        <f>Transaction[[#This Row],[Price]]*Transaction[[#This Row],[Qty]]</f>
        <v>69.95</v>
      </c>
      <c r="AR320" s="5">
        <f>VLOOKUP(Transaction[[#This Row],[Model No.]],$AV$2:$BD$100,7,TRUE)*Transaction[[#This Row],[Qty]]</f>
        <v>20.984999999999999</v>
      </c>
      <c r="AS320">
        <v>1100</v>
      </c>
      <c r="AT320">
        <v>1006</v>
      </c>
    </row>
    <row r="321" spans="36:46" x14ac:dyDescent="0.3">
      <c r="AJ321">
        <v>84559</v>
      </c>
      <c r="AK321" s="30">
        <v>42072</v>
      </c>
      <c r="AL321" t="s">
        <v>1803</v>
      </c>
      <c r="AM321">
        <v>17</v>
      </c>
      <c r="AN321" t="str">
        <f>VLOOKUP(Transaction[[#This Row],[Model No.]],$AV$2:$BD$100,2,TRUE)</f>
        <v>Miller Lite Can - 24 Pack</v>
      </c>
      <c r="AO321" s="21">
        <f>VLOOKUP(Transaction[[#This Row],[Model No.]],$AV$2:$BD$100,6,TRUE)</f>
        <v>30.99</v>
      </c>
      <c r="AP321" s="9">
        <v>3</v>
      </c>
      <c r="AQ321" s="5">
        <f>Transaction[[#This Row],[Price]]*Transaction[[#This Row],[Qty]]</f>
        <v>92.97</v>
      </c>
      <c r="AR321" s="5">
        <f>VLOOKUP(Transaction[[#This Row],[Model No.]],$AV$2:$BD$100,7,TRUE)*Transaction[[#This Row],[Qty]]</f>
        <v>27.890999999999998</v>
      </c>
      <c r="AS321">
        <v>1099</v>
      </c>
      <c r="AT321">
        <v>1004</v>
      </c>
    </row>
    <row r="322" spans="36:46" x14ac:dyDescent="0.3">
      <c r="AJ322">
        <v>92981</v>
      </c>
      <c r="AK322" s="30">
        <v>42075</v>
      </c>
      <c r="AL322" t="s">
        <v>899</v>
      </c>
      <c r="AM322">
        <v>64</v>
      </c>
      <c r="AN322" t="str">
        <f>VLOOKUP(Transaction[[#This Row],[Model No.]],$AV$2:$BD$100,2,TRUE)</f>
        <v>Maui Brewing Big Swell IPA - 6 Pack</v>
      </c>
      <c r="AO322" s="21">
        <f>VLOOKUP(Transaction[[#This Row],[Model No.]],$AV$2:$BD$100,6,TRUE)</f>
        <v>12.99</v>
      </c>
      <c r="AP322" s="9">
        <v>5</v>
      </c>
      <c r="AQ322" s="5">
        <f>Transaction[[#This Row],[Price]]*Transaction[[#This Row],[Qty]]</f>
        <v>64.95</v>
      </c>
      <c r="AR322" s="5">
        <f>VLOOKUP(Transaction[[#This Row],[Model No.]],$AV$2:$BD$100,7,TRUE)*Transaction[[#This Row],[Qty]]</f>
        <v>19.484999999999999</v>
      </c>
      <c r="AS322">
        <v>1100</v>
      </c>
      <c r="AT322">
        <v>1018</v>
      </c>
    </row>
    <row r="323" spans="36:46" x14ac:dyDescent="0.3">
      <c r="AJ323">
        <v>43386</v>
      </c>
      <c r="AK323" s="30">
        <v>42077</v>
      </c>
      <c r="AL323" t="s">
        <v>1374</v>
      </c>
      <c r="AM323">
        <v>83</v>
      </c>
      <c r="AN323" t="str">
        <f>VLOOKUP(Transaction[[#This Row],[Model No.]],$AV$2:$BD$100,2,TRUE)</f>
        <v>Pinnacle Cherry Whipped Vodka</v>
      </c>
      <c r="AO323" s="21">
        <f>VLOOKUP(Transaction[[#This Row],[Model No.]],$AV$2:$BD$100,6,TRUE)</f>
        <v>10.99</v>
      </c>
      <c r="AP323" s="9">
        <v>4</v>
      </c>
      <c r="AQ323" s="5">
        <f>Transaction[[#This Row],[Price]]*Transaction[[#This Row],[Qty]]</f>
        <v>43.96</v>
      </c>
      <c r="AR323" s="5">
        <f>VLOOKUP(Transaction[[#This Row],[Model No.]],$AV$2:$BD$100,7,TRUE)*Transaction[[#This Row],[Qty]]</f>
        <v>13.188000000000001</v>
      </c>
      <c r="AS323">
        <v>1104</v>
      </c>
      <c r="AT323">
        <v>1021</v>
      </c>
    </row>
    <row r="324" spans="36:46" x14ac:dyDescent="0.3">
      <c r="AJ324">
        <v>79810</v>
      </c>
      <c r="AK324" s="30">
        <v>42078</v>
      </c>
      <c r="AL324" t="s">
        <v>452</v>
      </c>
      <c r="AM324">
        <v>29</v>
      </c>
      <c r="AN324" t="str">
        <f>VLOOKUP(Transaction[[#This Row],[Model No.]],$AV$2:$BD$100,2,TRUE)</f>
        <v>SCHLAFLY STOUT BOUT SAMPLER   2/12 - 12 Pack</v>
      </c>
      <c r="AO324" s="21">
        <f>VLOOKUP(Transaction[[#This Row],[Model No.]],$AV$2:$BD$100,6,TRUE)</f>
        <v>22.99</v>
      </c>
      <c r="AP324" s="9">
        <v>3</v>
      </c>
      <c r="AQ324" s="5">
        <f>Transaction[[#This Row],[Price]]*Transaction[[#This Row],[Qty]]</f>
        <v>68.97</v>
      </c>
      <c r="AR324" s="5">
        <f>VLOOKUP(Transaction[[#This Row],[Model No.]],$AV$2:$BD$100,7,TRUE)*Transaction[[#This Row],[Qty]]</f>
        <v>20.690999999999999</v>
      </c>
      <c r="AS324">
        <v>1098</v>
      </c>
      <c r="AT324">
        <v>1002</v>
      </c>
    </row>
    <row r="325" spans="36:46" x14ac:dyDescent="0.3">
      <c r="AJ325">
        <v>44966</v>
      </c>
      <c r="AK325" s="30">
        <v>42079</v>
      </c>
      <c r="AL325" t="s">
        <v>603</v>
      </c>
      <c r="AM325">
        <v>37</v>
      </c>
      <c r="AN325" t="str">
        <f>VLOOKUP(Transaction[[#This Row],[Model No.]],$AV$2:$BD$100,2,TRUE)</f>
        <v>Francis Ford Coppola Diamond Collection Black Label Pavilion Chardonnay</v>
      </c>
      <c r="AO325" s="21">
        <f>VLOOKUP(Transaction[[#This Row],[Model No.]],$AV$2:$BD$100,6,TRUE)</f>
        <v>19.989999999999998</v>
      </c>
      <c r="AP325" s="9">
        <v>3</v>
      </c>
      <c r="AQ325" s="5">
        <f>Transaction[[#This Row],[Price]]*Transaction[[#This Row],[Qty]]</f>
        <v>59.97</v>
      </c>
      <c r="AR325" s="5">
        <f>VLOOKUP(Transaction[[#This Row],[Model No.]],$AV$2:$BD$100,7,TRUE)*Transaction[[#This Row],[Qty]]</f>
        <v>5.9969999999999999</v>
      </c>
      <c r="AS325">
        <v>1104</v>
      </c>
      <c r="AT325">
        <v>1015</v>
      </c>
    </row>
    <row r="326" spans="36:46" x14ac:dyDescent="0.3">
      <c r="AJ326">
        <v>77113</v>
      </c>
      <c r="AK326" s="30">
        <v>42080</v>
      </c>
      <c r="AL326" t="s">
        <v>1458</v>
      </c>
      <c r="AM326">
        <v>25</v>
      </c>
      <c r="AN326" t="str">
        <f>VLOOKUP(Transaction[[#This Row],[Model No.]],$AV$2:$BD$100,2,TRUE)</f>
        <v>ICEHOUSE 4/6 LNNR - 24 Pack</v>
      </c>
      <c r="AO326" s="21">
        <f>VLOOKUP(Transaction[[#This Row],[Model No.]],$AV$2:$BD$100,6,TRUE)</f>
        <v>23.99</v>
      </c>
      <c r="AP326" s="9">
        <v>1</v>
      </c>
      <c r="AQ326" s="5">
        <f>Transaction[[#This Row],[Price]]*Transaction[[#This Row],[Qty]]</f>
        <v>23.99</v>
      </c>
      <c r="AR326" s="5">
        <f>VLOOKUP(Transaction[[#This Row],[Model No.]],$AV$2:$BD$100,7,TRUE)*Transaction[[#This Row],[Qty]]</f>
        <v>7.1969999999999992</v>
      </c>
      <c r="AS326">
        <v>1101</v>
      </c>
      <c r="AT326">
        <v>1016</v>
      </c>
    </row>
    <row r="327" spans="36:46" x14ac:dyDescent="0.3">
      <c r="AJ327">
        <v>97403</v>
      </c>
      <c r="AK327" s="30">
        <v>42080</v>
      </c>
      <c r="AL327" t="s">
        <v>1091</v>
      </c>
      <c r="AM327">
        <v>77</v>
      </c>
      <c r="AN327" t="str">
        <f>VLOOKUP(Transaction[[#This Row],[Model No.]],$AV$2:$BD$100,2,TRUE)</f>
        <v>LA CHASSE PRETIGE CDR</v>
      </c>
      <c r="AO327" s="21">
        <f>VLOOKUP(Transaction[[#This Row],[Model No.]],$AV$2:$BD$100,6,TRUE)</f>
        <v>11.99</v>
      </c>
      <c r="AP327" s="9">
        <v>2</v>
      </c>
      <c r="AQ327" s="5">
        <f>Transaction[[#This Row],[Price]]*Transaction[[#This Row],[Qty]]</f>
        <v>23.98</v>
      </c>
      <c r="AR327" s="5">
        <f>VLOOKUP(Transaction[[#This Row],[Model No.]],$AV$2:$BD$100,7,TRUE)*Transaction[[#This Row],[Qty]]</f>
        <v>9.5920000000000005</v>
      </c>
      <c r="AS327">
        <v>1106</v>
      </c>
      <c r="AT327">
        <v>1009</v>
      </c>
    </row>
    <row r="328" spans="36:46" x14ac:dyDescent="0.3">
      <c r="AJ328">
        <v>82045</v>
      </c>
      <c r="AK328" s="30">
        <v>42081</v>
      </c>
      <c r="AL328" t="s">
        <v>373</v>
      </c>
      <c r="AM328">
        <v>47</v>
      </c>
      <c r="AN328" t="str">
        <f>VLOOKUP(Transaction[[#This Row],[Model No.]],$AV$2:$BD$100,2,TRUE)</f>
        <v>IL Tramonto Amaretto Liqueur</v>
      </c>
      <c r="AO328" s="21">
        <f>VLOOKUP(Transaction[[#This Row],[Model No.]],$AV$2:$BD$100,6,TRUE)</f>
        <v>15.99</v>
      </c>
      <c r="AP328" s="9">
        <v>2</v>
      </c>
      <c r="AQ328" s="5">
        <f>Transaction[[#This Row],[Price]]*Transaction[[#This Row],[Qty]]</f>
        <v>31.98</v>
      </c>
      <c r="AR328" s="5">
        <f>VLOOKUP(Transaction[[#This Row],[Model No.]],$AV$2:$BD$100,7,TRUE)*Transaction[[#This Row],[Qty]]</f>
        <v>9.5939999999999994</v>
      </c>
      <c r="AS328">
        <v>1108</v>
      </c>
      <c r="AT328">
        <v>1011</v>
      </c>
    </row>
    <row r="329" spans="36:46" x14ac:dyDescent="0.3">
      <c r="AJ329">
        <v>66683</v>
      </c>
      <c r="AK329" s="30">
        <v>42082</v>
      </c>
      <c r="AL329" t="s">
        <v>389</v>
      </c>
      <c r="AM329">
        <v>59</v>
      </c>
      <c r="AN329" t="str">
        <f>VLOOKUP(Transaction[[#This Row],[Model No.]],$AV$2:$BD$100,2,TRUE)</f>
        <v>Smirnoff Kissed Caramel Vodka</v>
      </c>
      <c r="AO329" s="21">
        <f>VLOOKUP(Transaction[[#This Row],[Model No.]],$AV$2:$BD$100,6,TRUE)</f>
        <v>13.49</v>
      </c>
      <c r="AP329" s="9">
        <v>3</v>
      </c>
      <c r="AQ329" s="5">
        <f>Transaction[[#This Row],[Price]]*Transaction[[#This Row],[Qty]]</f>
        <v>40.47</v>
      </c>
      <c r="AR329" s="5">
        <f>VLOOKUP(Transaction[[#This Row],[Model No.]],$AV$2:$BD$100,7,TRUE)*Transaction[[#This Row],[Qty]]</f>
        <v>12.140999999999998</v>
      </c>
      <c r="AS329">
        <v>1102</v>
      </c>
      <c r="AT329">
        <v>1016</v>
      </c>
    </row>
    <row r="330" spans="36:46" x14ac:dyDescent="0.3">
      <c r="AJ330">
        <v>48543</v>
      </c>
      <c r="AK330" s="30">
        <v>42083</v>
      </c>
      <c r="AL330" t="s">
        <v>944</v>
      </c>
      <c r="AM330">
        <v>55</v>
      </c>
      <c r="AN330" t="str">
        <f>VLOOKUP(Transaction[[#This Row],[Model No.]],$AV$2:$BD$100,2,TRUE)</f>
        <v>Clos du Bois Hand Selected Lots Shiraz</v>
      </c>
      <c r="AO330" s="21">
        <f>VLOOKUP(Transaction[[#This Row],[Model No.]],$AV$2:$BD$100,6,TRUE)</f>
        <v>14.49</v>
      </c>
      <c r="AP330" s="9">
        <v>3</v>
      </c>
      <c r="AQ330" s="5">
        <f>Transaction[[#This Row],[Price]]*Transaction[[#This Row],[Qty]]</f>
        <v>43.47</v>
      </c>
      <c r="AR330" s="5">
        <f>VLOOKUP(Transaction[[#This Row],[Model No.]],$AV$2:$BD$100,7,TRUE)*Transaction[[#This Row],[Qty]]</f>
        <v>4.3470000000000004</v>
      </c>
      <c r="AS330">
        <v>1102</v>
      </c>
      <c r="AT330">
        <v>1009</v>
      </c>
    </row>
    <row r="331" spans="36:46" x14ac:dyDescent="0.3">
      <c r="AJ331">
        <v>14333</v>
      </c>
      <c r="AK331" s="30">
        <v>42083</v>
      </c>
      <c r="AL331" t="s">
        <v>562</v>
      </c>
      <c r="AM331">
        <v>57</v>
      </c>
      <c r="AN331" t="str">
        <f>VLOOKUP(Transaction[[#This Row],[Model No.]],$AV$2:$BD$100,2,TRUE)</f>
        <v>Familia Dante Twelve Months Oak Aged Toscana IGT Sangiovese</v>
      </c>
      <c r="AO331" s="21">
        <f>VLOOKUP(Transaction[[#This Row],[Model No.]],$AV$2:$BD$100,6,TRUE)</f>
        <v>13.69</v>
      </c>
      <c r="AP331" s="9">
        <v>3</v>
      </c>
      <c r="AQ331" s="5">
        <f>Transaction[[#This Row],[Price]]*Transaction[[#This Row],[Qty]]</f>
        <v>41.07</v>
      </c>
      <c r="AR331" s="5">
        <f>VLOOKUP(Transaction[[#This Row],[Model No.]],$AV$2:$BD$100,7,TRUE)*Transaction[[#This Row],[Qty]]</f>
        <v>4.1070000000000002</v>
      </c>
      <c r="AS331">
        <v>1107</v>
      </c>
      <c r="AT331">
        <v>1015</v>
      </c>
    </row>
    <row r="332" spans="36:46" x14ac:dyDescent="0.3">
      <c r="AJ332">
        <v>80519</v>
      </c>
      <c r="AK332" s="30">
        <v>42086</v>
      </c>
      <c r="AL332" t="s">
        <v>1827</v>
      </c>
      <c r="AM332">
        <v>19</v>
      </c>
      <c r="AN332" t="str">
        <f>VLOOKUP(Transaction[[#This Row],[Model No.]],$AV$2:$BD$100,2,TRUE)</f>
        <v>District Made Vodka</v>
      </c>
      <c r="AO332" s="21">
        <f>VLOOKUP(Transaction[[#This Row],[Model No.]],$AV$2:$BD$100,6,TRUE)</f>
        <v>29.99</v>
      </c>
      <c r="AP332" s="9">
        <v>1</v>
      </c>
      <c r="AQ332" s="5">
        <f>Transaction[[#This Row],[Price]]*Transaction[[#This Row],[Qty]]</f>
        <v>29.99</v>
      </c>
      <c r="AR332" s="5">
        <f>VLOOKUP(Transaction[[#This Row],[Model No.]],$AV$2:$BD$100,7,TRUE)*Transaction[[#This Row],[Qty]]</f>
        <v>8.9969999999999999</v>
      </c>
      <c r="AS332">
        <v>1107</v>
      </c>
      <c r="AT332">
        <v>1012</v>
      </c>
    </row>
    <row r="333" spans="36:46" x14ac:dyDescent="0.3">
      <c r="AJ333">
        <v>50677</v>
      </c>
      <c r="AK333" s="30">
        <v>42086</v>
      </c>
      <c r="AL333" t="s">
        <v>1266</v>
      </c>
      <c r="AM333">
        <v>20</v>
      </c>
      <c r="AN333" t="str">
        <f>VLOOKUP(Transaction[[#This Row],[Model No.]],$AV$2:$BD$100,2,TRUE)</f>
        <v>Stonewall American Rum</v>
      </c>
      <c r="AO333" s="21">
        <f>VLOOKUP(Transaction[[#This Row],[Model No.]],$AV$2:$BD$100,6,TRUE)</f>
        <v>27.99</v>
      </c>
      <c r="AP333" s="9">
        <v>5</v>
      </c>
      <c r="AQ333" s="5">
        <f>Transaction[[#This Row],[Price]]*Transaction[[#This Row],[Qty]]</f>
        <v>139.94999999999999</v>
      </c>
      <c r="AR333" s="5">
        <f>VLOOKUP(Transaction[[#This Row],[Model No.]],$AV$2:$BD$100,7,TRUE)*Transaction[[#This Row],[Qty]]</f>
        <v>27.99</v>
      </c>
      <c r="AS333">
        <v>1107</v>
      </c>
      <c r="AT333">
        <v>1012</v>
      </c>
    </row>
    <row r="334" spans="36:46" x14ac:dyDescent="0.3">
      <c r="AJ334">
        <v>52098</v>
      </c>
      <c r="AK334" s="30">
        <v>42087</v>
      </c>
      <c r="AL334" t="s">
        <v>1594</v>
      </c>
      <c r="AM334">
        <v>2</v>
      </c>
      <c r="AN334" t="str">
        <f>VLOOKUP(Transaction[[#This Row],[Model No.]],$AV$2:$BD$100,2,TRUE)</f>
        <v>Grand Marnier Cuvee 1880 Liqueur</v>
      </c>
      <c r="AO334" s="21">
        <f>VLOOKUP(Transaction[[#This Row],[Model No.]],$AV$2:$BD$100,6,TRUE)</f>
        <v>286.99</v>
      </c>
      <c r="AP334" s="9">
        <v>1</v>
      </c>
      <c r="AQ334" s="5">
        <f>Transaction[[#This Row],[Price]]*Transaction[[#This Row],[Qty]]</f>
        <v>286.99</v>
      </c>
      <c r="AR334" s="5">
        <f>VLOOKUP(Transaction[[#This Row],[Model No.]],$AV$2:$BD$100,7,TRUE)*Transaction[[#This Row],[Qty]]</f>
        <v>86.096999999999994</v>
      </c>
      <c r="AS334">
        <v>1102</v>
      </c>
      <c r="AT334">
        <v>1007</v>
      </c>
    </row>
    <row r="335" spans="36:46" x14ac:dyDescent="0.3">
      <c r="AJ335">
        <v>46415</v>
      </c>
      <c r="AK335" s="30">
        <v>42087</v>
      </c>
      <c r="AL335" t="s">
        <v>476</v>
      </c>
      <c r="AM335">
        <v>6</v>
      </c>
      <c r="AN335" t="str">
        <f>VLOOKUP(Transaction[[#This Row],[Model No.]],$AV$2:$BD$100,2,TRUE)</f>
        <v>Agricola Punica Barrua Isola Dei Nuraghi IGT Carignan</v>
      </c>
      <c r="AO335" s="21">
        <f>VLOOKUP(Transaction[[#This Row],[Model No.]],$AV$2:$BD$100,6,TRUE)</f>
        <v>46.99</v>
      </c>
      <c r="AP335" s="9">
        <v>3</v>
      </c>
      <c r="AQ335" s="5">
        <f>Transaction[[#This Row],[Price]]*Transaction[[#This Row],[Qty]]</f>
        <v>140.97</v>
      </c>
      <c r="AR335" s="5">
        <f>VLOOKUP(Transaction[[#This Row],[Model No.]],$AV$2:$BD$100,7,TRUE)*Transaction[[#This Row],[Qty]]</f>
        <v>14.097000000000001</v>
      </c>
      <c r="AS335">
        <v>1098</v>
      </c>
      <c r="AT335">
        <v>1020</v>
      </c>
    </row>
    <row r="336" spans="36:46" x14ac:dyDescent="0.3">
      <c r="AJ336">
        <v>10965</v>
      </c>
      <c r="AK336" s="30">
        <v>42092</v>
      </c>
      <c r="AL336" t="s">
        <v>1538</v>
      </c>
      <c r="AM336">
        <v>53</v>
      </c>
      <c r="AN336" t="str">
        <f>VLOOKUP(Transaction[[#This Row],[Model No.]],$AV$2:$BD$100,2,TRUE)</f>
        <v>Ommegang Hennepin - 4 Pack</v>
      </c>
      <c r="AO336" s="21">
        <f>VLOOKUP(Transaction[[#This Row],[Model No.]],$AV$2:$BD$100,6,TRUE)</f>
        <v>14.99</v>
      </c>
      <c r="AP336" s="9">
        <v>4</v>
      </c>
      <c r="AQ336" s="5">
        <f>Transaction[[#This Row],[Price]]*Transaction[[#This Row],[Qty]]</f>
        <v>59.96</v>
      </c>
      <c r="AR336" s="5">
        <f>VLOOKUP(Transaction[[#This Row],[Model No.]],$AV$2:$BD$100,7,TRUE)*Transaction[[#This Row],[Qty]]</f>
        <v>17.988</v>
      </c>
      <c r="AS336">
        <v>1100</v>
      </c>
      <c r="AT336">
        <v>1017</v>
      </c>
    </row>
    <row r="337" spans="36:46" x14ac:dyDescent="0.3">
      <c r="AJ337">
        <v>81638</v>
      </c>
      <c r="AK337" s="30">
        <v>42094</v>
      </c>
      <c r="AL337" t="s">
        <v>1634</v>
      </c>
      <c r="AM337">
        <v>15</v>
      </c>
      <c r="AN337" t="str">
        <f>VLOOKUP(Transaction[[#This Row],[Model No.]],$AV$2:$BD$100,2,TRUE)</f>
        <v>Wild Turkey 101 Kentucky Straight Bourbon Whiskey</v>
      </c>
      <c r="AO337" s="21">
        <f>VLOOKUP(Transaction[[#This Row],[Model No.]],$AV$2:$BD$100,6,TRUE)</f>
        <v>32.99</v>
      </c>
      <c r="AP337" s="9">
        <v>2</v>
      </c>
      <c r="AQ337" s="5">
        <f>Transaction[[#This Row],[Price]]*Transaction[[#This Row],[Qty]]</f>
        <v>65.98</v>
      </c>
      <c r="AR337" s="5">
        <f>VLOOKUP(Transaction[[#This Row],[Model No.]],$AV$2:$BD$100,7,TRUE)*Transaction[[#This Row],[Qty]]</f>
        <v>13.196000000000002</v>
      </c>
      <c r="AS337">
        <v>1101</v>
      </c>
      <c r="AT337">
        <v>1010</v>
      </c>
    </row>
    <row r="338" spans="36:46" x14ac:dyDescent="0.3">
      <c r="AJ338">
        <v>10342</v>
      </c>
      <c r="AK338" s="30">
        <v>42094</v>
      </c>
      <c r="AL338" t="s">
        <v>1517</v>
      </c>
      <c r="AM338">
        <v>38</v>
      </c>
      <c r="AN338" t="str">
        <f>VLOOKUP(Transaction[[#This Row],[Model No.]],$AV$2:$BD$100,2,TRUE)</f>
        <v>CiROC Red Berry Vodka</v>
      </c>
      <c r="AO338" s="21">
        <f>VLOOKUP(Transaction[[#This Row],[Model No.]],$AV$2:$BD$100,6,TRUE)</f>
        <v>19.989999999999998</v>
      </c>
      <c r="AP338" s="9">
        <v>5</v>
      </c>
      <c r="AQ338" s="5">
        <f>Transaction[[#This Row],[Price]]*Transaction[[#This Row],[Qty]]</f>
        <v>99.949999999999989</v>
      </c>
      <c r="AR338" s="5">
        <f>VLOOKUP(Transaction[[#This Row],[Model No.]],$AV$2:$BD$100,7,TRUE)*Transaction[[#This Row],[Qty]]</f>
        <v>29.984999999999996</v>
      </c>
      <c r="AS338">
        <v>1100</v>
      </c>
      <c r="AT338">
        <v>1012</v>
      </c>
    </row>
    <row r="339" spans="36:46" x14ac:dyDescent="0.3">
      <c r="AJ339">
        <v>83384</v>
      </c>
      <c r="AK339" s="30">
        <v>42095</v>
      </c>
      <c r="AL339" t="s">
        <v>571</v>
      </c>
      <c r="AM339">
        <v>82</v>
      </c>
      <c r="AN339" t="str">
        <f>VLOOKUP(Transaction[[#This Row],[Model No.]],$AV$2:$BD$100,2,TRUE)</f>
        <v>PInnacle Chocolate Whipped Vodka</v>
      </c>
      <c r="AO339" s="21">
        <f>VLOOKUP(Transaction[[#This Row],[Model No.]],$AV$2:$BD$100,6,TRUE)</f>
        <v>10.99</v>
      </c>
      <c r="AP339" s="9">
        <v>4</v>
      </c>
      <c r="AQ339" s="5">
        <f>Transaction[[#This Row],[Price]]*Transaction[[#This Row],[Qty]]</f>
        <v>43.96</v>
      </c>
      <c r="AR339" s="5">
        <f>VLOOKUP(Transaction[[#This Row],[Model No.]],$AV$2:$BD$100,7,TRUE)*Transaction[[#This Row],[Qty]]</f>
        <v>13.188000000000001</v>
      </c>
      <c r="AS339">
        <v>1100</v>
      </c>
      <c r="AT339">
        <v>1014</v>
      </c>
    </row>
    <row r="340" spans="36:46" x14ac:dyDescent="0.3">
      <c r="AJ340">
        <v>11504</v>
      </c>
      <c r="AK340" s="30">
        <v>42096</v>
      </c>
      <c r="AL340" t="s">
        <v>439</v>
      </c>
      <c r="AM340">
        <v>64</v>
      </c>
      <c r="AN340" t="str">
        <f>VLOOKUP(Transaction[[#This Row],[Model No.]],$AV$2:$BD$100,2,TRUE)</f>
        <v>Maui Brewing Big Swell IPA - 6 Pack</v>
      </c>
      <c r="AO340" s="21">
        <f>VLOOKUP(Transaction[[#This Row],[Model No.]],$AV$2:$BD$100,6,TRUE)</f>
        <v>12.99</v>
      </c>
      <c r="AP340" s="9">
        <v>2</v>
      </c>
      <c r="AQ340" s="5">
        <f>Transaction[[#This Row],[Price]]*Transaction[[#This Row],[Qty]]</f>
        <v>25.98</v>
      </c>
      <c r="AR340" s="5">
        <f>VLOOKUP(Transaction[[#This Row],[Model No.]],$AV$2:$BD$100,7,TRUE)*Transaction[[#This Row],[Qty]]</f>
        <v>7.7939999999999996</v>
      </c>
      <c r="AS340">
        <v>1100</v>
      </c>
      <c r="AT340">
        <v>1000</v>
      </c>
    </row>
    <row r="341" spans="36:46" x14ac:dyDescent="0.3">
      <c r="AJ341">
        <v>80278</v>
      </c>
      <c r="AK341" s="30">
        <v>42097</v>
      </c>
      <c r="AL341" t="s">
        <v>1350</v>
      </c>
      <c r="AM341">
        <v>20</v>
      </c>
      <c r="AN341" t="str">
        <f>VLOOKUP(Transaction[[#This Row],[Model No.]],$AV$2:$BD$100,2,TRUE)</f>
        <v>Stonewall American Rum</v>
      </c>
      <c r="AO341" s="21">
        <f>VLOOKUP(Transaction[[#This Row],[Model No.]],$AV$2:$BD$100,6,TRUE)</f>
        <v>27.99</v>
      </c>
      <c r="AP341" s="9">
        <v>4</v>
      </c>
      <c r="AQ341" s="5">
        <f>Transaction[[#This Row],[Price]]*Transaction[[#This Row],[Qty]]</f>
        <v>111.96</v>
      </c>
      <c r="AR341" s="5">
        <f>VLOOKUP(Transaction[[#This Row],[Model No.]],$AV$2:$BD$100,7,TRUE)*Transaction[[#This Row],[Qty]]</f>
        <v>22.391999999999999</v>
      </c>
      <c r="AS341">
        <v>1104</v>
      </c>
      <c r="AT341">
        <v>1007</v>
      </c>
    </row>
    <row r="342" spans="36:46" x14ac:dyDescent="0.3">
      <c r="AJ342">
        <v>86302</v>
      </c>
      <c r="AK342" s="30">
        <v>42098</v>
      </c>
      <c r="AL342" t="s">
        <v>473</v>
      </c>
      <c r="AM342">
        <v>44</v>
      </c>
      <c r="AN342" t="str">
        <f>VLOOKUP(Transaction[[#This Row],[Model No.]],$AV$2:$BD$100,2,TRUE)</f>
        <v>Brasserie de Silly Saison - 4 Pack</v>
      </c>
      <c r="AO342" s="21">
        <f>VLOOKUP(Transaction[[#This Row],[Model No.]],$AV$2:$BD$100,6,TRUE)</f>
        <v>16.989999999999998</v>
      </c>
      <c r="AP342" s="9">
        <v>5</v>
      </c>
      <c r="AQ342" s="5">
        <f>Transaction[[#This Row],[Price]]*Transaction[[#This Row],[Qty]]</f>
        <v>84.949999999999989</v>
      </c>
      <c r="AR342" s="5">
        <f>VLOOKUP(Transaction[[#This Row],[Model No.]],$AV$2:$BD$100,7,TRUE)*Transaction[[#This Row],[Qty]]</f>
        <v>25.484999999999999</v>
      </c>
      <c r="AS342">
        <v>1103</v>
      </c>
      <c r="AT342">
        <v>1008</v>
      </c>
    </row>
    <row r="343" spans="36:46" x14ac:dyDescent="0.3">
      <c r="AJ343">
        <v>66680</v>
      </c>
      <c r="AK343" s="30">
        <v>42098</v>
      </c>
      <c r="AL343" t="s">
        <v>1551</v>
      </c>
      <c r="AM343">
        <v>96</v>
      </c>
      <c r="AN343" t="str">
        <f>VLOOKUP(Transaction[[#This Row],[Model No.]],$AV$2:$BD$100,2,TRUE)</f>
        <v>Arbor Mist Blackberry Merlot</v>
      </c>
      <c r="AO343" s="21">
        <f>VLOOKUP(Transaction[[#This Row],[Model No.]],$AV$2:$BD$100,6,TRUE)</f>
        <v>6.19</v>
      </c>
      <c r="AP343" s="9">
        <v>2</v>
      </c>
      <c r="AQ343" s="5">
        <f>Transaction[[#This Row],[Price]]*Transaction[[#This Row],[Qty]]</f>
        <v>12.38</v>
      </c>
      <c r="AR343" s="5">
        <f>VLOOKUP(Transaction[[#This Row],[Model No.]],$AV$2:$BD$100,7,TRUE)*Transaction[[#This Row],[Qty]]</f>
        <v>1.2380000000000002</v>
      </c>
      <c r="AS343">
        <v>1105</v>
      </c>
      <c r="AT343">
        <v>1012</v>
      </c>
    </row>
    <row r="344" spans="36:46" x14ac:dyDescent="0.3">
      <c r="AJ344">
        <v>33814</v>
      </c>
      <c r="AK344" s="30">
        <v>42099</v>
      </c>
      <c r="AL344" t="s">
        <v>1295</v>
      </c>
      <c r="AM344">
        <v>65</v>
      </c>
      <c r="AN344" t="str">
        <f>VLOOKUP(Transaction[[#This Row],[Model No.]],$AV$2:$BD$100,2,TRUE)</f>
        <v>Shipyard Summer Ale - 6 Pack</v>
      </c>
      <c r="AO344" s="21">
        <f>VLOOKUP(Transaction[[#This Row],[Model No.]],$AV$2:$BD$100,6,TRUE)</f>
        <v>12.99</v>
      </c>
      <c r="AP344" s="9">
        <v>2</v>
      </c>
      <c r="AQ344" s="5">
        <f>Transaction[[#This Row],[Price]]*Transaction[[#This Row],[Qty]]</f>
        <v>25.98</v>
      </c>
      <c r="AR344" s="5">
        <f>VLOOKUP(Transaction[[#This Row],[Model No.]],$AV$2:$BD$100,7,TRUE)*Transaction[[#This Row],[Qty]]</f>
        <v>7.7939999999999996</v>
      </c>
      <c r="AS344">
        <v>1104</v>
      </c>
      <c r="AT344">
        <v>1001</v>
      </c>
    </row>
    <row r="345" spans="36:46" x14ac:dyDescent="0.3">
      <c r="AJ345">
        <v>28426</v>
      </c>
      <c r="AK345" s="30">
        <v>42100</v>
      </c>
      <c r="AL345" t="s">
        <v>1707</v>
      </c>
      <c r="AM345">
        <v>13</v>
      </c>
      <c r="AN345" t="str">
        <f>VLOOKUP(Transaction[[#This Row],[Model No.]],$AV$2:$BD$100,2,TRUE)</f>
        <v>Luxardo Maraschino Liqueur</v>
      </c>
      <c r="AO345" s="21">
        <f>VLOOKUP(Transaction[[#This Row],[Model No.]],$AV$2:$BD$100,6,TRUE)</f>
        <v>36.99</v>
      </c>
      <c r="AP345" s="9">
        <v>1</v>
      </c>
      <c r="AQ345" s="5">
        <f>Transaction[[#This Row],[Price]]*Transaction[[#This Row],[Qty]]</f>
        <v>36.99</v>
      </c>
      <c r="AR345" s="5">
        <f>VLOOKUP(Transaction[[#This Row],[Model No.]],$AV$2:$BD$100,7,TRUE)*Transaction[[#This Row],[Qty]]</f>
        <v>11.097</v>
      </c>
      <c r="AS345">
        <v>1104</v>
      </c>
      <c r="AT345">
        <v>1010</v>
      </c>
    </row>
    <row r="346" spans="36:46" x14ac:dyDescent="0.3">
      <c r="AJ346">
        <v>52265</v>
      </c>
      <c r="AK346" s="30">
        <v>42100</v>
      </c>
      <c r="AL346" t="s">
        <v>423</v>
      </c>
      <c r="AM346">
        <v>36</v>
      </c>
      <c r="AN346" t="str">
        <f>VLOOKUP(Transaction[[#This Row],[Model No.]],$AV$2:$BD$100,2,TRUE)</f>
        <v>Patricius Reserve Dry Furmint</v>
      </c>
      <c r="AO346" s="21">
        <f>VLOOKUP(Transaction[[#This Row],[Model No.]],$AV$2:$BD$100,6,TRUE)</f>
        <v>20.99</v>
      </c>
      <c r="AP346" s="9">
        <v>5</v>
      </c>
      <c r="AQ346" s="5">
        <f>Transaction[[#This Row],[Price]]*Transaction[[#This Row],[Qty]]</f>
        <v>104.94999999999999</v>
      </c>
      <c r="AR346" s="5">
        <f>VLOOKUP(Transaction[[#This Row],[Model No.]],$AV$2:$BD$100,7,TRUE)*Transaction[[#This Row],[Qty]]</f>
        <v>10.494999999999999</v>
      </c>
      <c r="AS346">
        <v>1098</v>
      </c>
      <c r="AT346">
        <v>1006</v>
      </c>
    </row>
    <row r="347" spans="36:46" x14ac:dyDescent="0.3">
      <c r="AJ347">
        <v>67356</v>
      </c>
      <c r="AK347" s="30">
        <v>42100</v>
      </c>
      <c r="AL347" t="s">
        <v>892</v>
      </c>
      <c r="AM347">
        <v>77</v>
      </c>
      <c r="AN347" t="str">
        <f>VLOOKUP(Transaction[[#This Row],[Model No.]],$AV$2:$BD$100,2,TRUE)</f>
        <v>LA CHASSE PRETIGE CDR</v>
      </c>
      <c r="AO347" s="21">
        <f>VLOOKUP(Transaction[[#This Row],[Model No.]],$AV$2:$BD$100,6,TRUE)</f>
        <v>11.99</v>
      </c>
      <c r="AP347" s="9">
        <v>3</v>
      </c>
      <c r="AQ347" s="5">
        <f>Transaction[[#This Row],[Price]]*Transaction[[#This Row],[Qty]]</f>
        <v>35.97</v>
      </c>
      <c r="AR347" s="5">
        <f>VLOOKUP(Transaction[[#This Row],[Model No.]],$AV$2:$BD$100,7,TRUE)*Transaction[[#This Row],[Qty]]</f>
        <v>14.388000000000002</v>
      </c>
      <c r="AS347">
        <v>1103</v>
      </c>
      <c r="AT347">
        <v>1014</v>
      </c>
    </row>
    <row r="348" spans="36:46" x14ac:dyDescent="0.3">
      <c r="AJ348">
        <v>12634</v>
      </c>
      <c r="AK348" s="30">
        <v>42101</v>
      </c>
      <c r="AL348" t="s">
        <v>749</v>
      </c>
      <c r="AM348">
        <v>1</v>
      </c>
      <c r="AN348" t="str">
        <f>VLOOKUP(Transaction[[#This Row],[Model No.]],$AV$2:$BD$100,2,TRUE)</f>
        <v>Forager's Keep 26 Year Old Single Malt Scotch Whisky</v>
      </c>
      <c r="AO348" s="21">
        <f>VLOOKUP(Transaction[[#This Row],[Model No.]],$AV$2:$BD$100,6,TRUE)</f>
        <v>325.99</v>
      </c>
      <c r="AP348" s="9">
        <v>1</v>
      </c>
      <c r="AQ348" s="5">
        <f>Transaction[[#This Row],[Price]]*Transaction[[#This Row],[Qty]]</f>
        <v>325.99</v>
      </c>
      <c r="AR348" s="5">
        <f>VLOOKUP(Transaction[[#This Row],[Model No.]],$AV$2:$BD$100,7,TRUE)*Transaction[[#This Row],[Qty]]</f>
        <v>97.796999999999997</v>
      </c>
      <c r="AS348">
        <v>1100</v>
      </c>
      <c r="AT348">
        <v>1010</v>
      </c>
    </row>
    <row r="349" spans="36:46" x14ac:dyDescent="0.3">
      <c r="AJ349">
        <v>89126</v>
      </c>
      <c r="AK349" s="30">
        <v>42101</v>
      </c>
      <c r="AL349" t="s">
        <v>1124</v>
      </c>
      <c r="AM349">
        <v>63</v>
      </c>
      <c r="AN349" t="str">
        <f>VLOOKUP(Transaction[[#This Row],[Model No.]],$AV$2:$BD$100,2,TRUE)</f>
        <v>Troegs LaGrave - 4 Pack</v>
      </c>
      <c r="AO349" s="21">
        <f>VLOOKUP(Transaction[[#This Row],[Model No.]],$AV$2:$BD$100,6,TRUE)</f>
        <v>12.99</v>
      </c>
      <c r="AP349" s="9">
        <v>2</v>
      </c>
      <c r="AQ349" s="5">
        <f>Transaction[[#This Row],[Price]]*Transaction[[#This Row],[Qty]]</f>
        <v>25.98</v>
      </c>
      <c r="AR349" s="5">
        <f>VLOOKUP(Transaction[[#This Row],[Model No.]],$AV$2:$BD$100,7,TRUE)*Transaction[[#This Row],[Qty]]</f>
        <v>7.7939999999999996</v>
      </c>
      <c r="AS349">
        <v>1108</v>
      </c>
      <c r="AT349">
        <v>1009</v>
      </c>
    </row>
    <row r="350" spans="36:46" x14ac:dyDescent="0.3">
      <c r="AJ350">
        <v>74151</v>
      </c>
      <c r="AK350" s="30">
        <v>42102</v>
      </c>
      <c r="AL350" t="s">
        <v>1760</v>
      </c>
      <c r="AM350">
        <v>49</v>
      </c>
      <c r="AN350" t="str">
        <f>VLOOKUP(Transaction[[#This Row],[Model No.]],$AV$2:$BD$100,2,TRUE)</f>
        <v>Marchesi di Barolo Ruvei Barbera d'Alba</v>
      </c>
      <c r="AO350" s="21">
        <f>VLOOKUP(Transaction[[#This Row],[Model No.]],$AV$2:$BD$100,6,TRUE)</f>
        <v>15.99</v>
      </c>
      <c r="AP350" s="9">
        <v>1</v>
      </c>
      <c r="AQ350" s="5">
        <f>Transaction[[#This Row],[Price]]*Transaction[[#This Row],[Qty]]</f>
        <v>15.99</v>
      </c>
      <c r="AR350" s="5">
        <f>VLOOKUP(Transaction[[#This Row],[Model No.]],$AV$2:$BD$100,7,TRUE)*Transaction[[#This Row],[Qty]]</f>
        <v>1.5990000000000002</v>
      </c>
      <c r="AS350">
        <v>1106</v>
      </c>
      <c r="AT350">
        <v>1018</v>
      </c>
    </row>
    <row r="351" spans="36:46" x14ac:dyDescent="0.3">
      <c r="AJ351">
        <v>50423</v>
      </c>
      <c r="AK351" s="30">
        <v>42102</v>
      </c>
      <c r="AL351" t="s">
        <v>356</v>
      </c>
      <c r="AM351">
        <v>77</v>
      </c>
      <c r="AN351" t="str">
        <f>VLOOKUP(Transaction[[#This Row],[Model No.]],$AV$2:$BD$100,2,TRUE)</f>
        <v>LA CHASSE PRETIGE CDR</v>
      </c>
      <c r="AO351" s="21">
        <f>VLOOKUP(Transaction[[#This Row],[Model No.]],$AV$2:$BD$100,6,TRUE)</f>
        <v>11.99</v>
      </c>
      <c r="AP351" s="9">
        <v>5</v>
      </c>
      <c r="AQ351" s="5">
        <f>Transaction[[#This Row],[Price]]*Transaction[[#This Row],[Qty]]</f>
        <v>59.95</v>
      </c>
      <c r="AR351" s="5">
        <f>VLOOKUP(Transaction[[#This Row],[Model No.]],$AV$2:$BD$100,7,TRUE)*Transaction[[#This Row],[Qty]]</f>
        <v>23.98</v>
      </c>
      <c r="AS351">
        <v>1098</v>
      </c>
      <c r="AT351">
        <v>1003</v>
      </c>
    </row>
    <row r="352" spans="36:46" x14ac:dyDescent="0.3">
      <c r="AJ352">
        <v>31171</v>
      </c>
      <c r="AK352" s="30">
        <v>42102</v>
      </c>
      <c r="AL352" t="s">
        <v>530</v>
      </c>
      <c r="AM352">
        <v>93</v>
      </c>
      <c r="AN352" t="str">
        <f>VLOOKUP(Transaction[[#This Row],[Model No.]],$AV$2:$BD$100,2,TRUE)</f>
        <v>Beringer Vineyards Stone Cellars Shiraz</v>
      </c>
      <c r="AO352" s="21">
        <f>VLOOKUP(Transaction[[#This Row],[Model No.]],$AV$2:$BD$100,6,TRUE)</f>
        <v>7.49</v>
      </c>
      <c r="AP352" s="9">
        <v>4</v>
      </c>
      <c r="AQ352" s="5">
        <f>Transaction[[#This Row],[Price]]*Transaction[[#This Row],[Qty]]</f>
        <v>29.96</v>
      </c>
      <c r="AR352" s="5">
        <f>VLOOKUP(Transaction[[#This Row],[Model No.]],$AV$2:$BD$100,7,TRUE)*Transaction[[#This Row],[Qty]]</f>
        <v>2.9960000000000004</v>
      </c>
      <c r="AS352">
        <v>1098</v>
      </c>
      <c r="AT352">
        <v>1019</v>
      </c>
    </row>
    <row r="353" spans="36:46" x14ac:dyDescent="0.3">
      <c r="AJ353">
        <v>40043</v>
      </c>
      <c r="AK353" s="30">
        <v>42103</v>
      </c>
      <c r="AL353" t="s">
        <v>1631</v>
      </c>
      <c r="AM353">
        <v>28</v>
      </c>
      <c r="AN353" t="str">
        <f>VLOOKUP(Transaction[[#This Row],[Model No.]],$AV$2:$BD$100,2,TRUE)</f>
        <v>Quinta de Soalheiro Soalheiro Alvarinho</v>
      </c>
      <c r="AO353" s="21">
        <f>VLOOKUP(Transaction[[#This Row],[Model No.]],$AV$2:$BD$100,6,TRUE)</f>
        <v>23.99</v>
      </c>
      <c r="AP353" s="9">
        <v>2</v>
      </c>
      <c r="AQ353" s="5">
        <f>Transaction[[#This Row],[Price]]*Transaction[[#This Row],[Qty]]</f>
        <v>47.98</v>
      </c>
      <c r="AR353" s="5">
        <f>VLOOKUP(Transaction[[#This Row],[Model No.]],$AV$2:$BD$100,7,TRUE)*Transaction[[#This Row],[Qty]]</f>
        <v>19.192</v>
      </c>
      <c r="AS353">
        <v>1102</v>
      </c>
      <c r="AT353">
        <v>1012</v>
      </c>
    </row>
    <row r="354" spans="36:46" x14ac:dyDescent="0.3">
      <c r="AJ354">
        <v>27694</v>
      </c>
      <c r="AK354" s="30">
        <v>42103</v>
      </c>
      <c r="AL354" t="s">
        <v>640</v>
      </c>
      <c r="AM354">
        <v>30</v>
      </c>
      <c r="AN354" t="str">
        <f>VLOOKUP(Transaction[[#This Row],[Model No.]],$AV$2:$BD$100,2,TRUE)</f>
        <v>Kahlua Cinnamon Spice Liqueur</v>
      </c>
      <c r="AO354" s="21">
        <f>VLOOKUP(Transaction[[#This Row],[Model No.]],$AV$2:$BD$100,6,TRUE)</f>
        <v>22.99</v>
      </c>
      <c r="AP354" s="9">
        <v>1</v>
      </c>
      <c r="AQ354" s="5">
        <f>Transaction[[#This Row],[Price]]*Transaction[[#This Row],[Qty]]</f>
        <v>22.99</v>
      </c>
      <c r="AR354" s="5">
        <f>VLOOKUP(Transaction[[#This Row],[Model No.]],$AV$2:$BD$100,7,TRUE)*Transaction[[#This Row],[Qty]]</f>
        <v>6.8969999999999994</v>
      </c>
      <c r="AS354">
        <v>1107</v>
      </c>
      <c r="AT354">
        <v>1001</v>
      </c>
    </row>
    <row r="355" spans="36:46" x14ac:dyDescent="0.3">
      <c r="AJ355">
        <v>58234</v>
      </c>
      <c r="AK355" s="30">
        <v>42104</v>
      </c>
      <c r="AL355" t="s">
        <v>842</v>
      </c>
      <c r="AM355">
        <v>34</v>
      </c>
      <c r="AN355" t="str">
        <f>VLOOKUP(Transaction[[#This Row],[Model No.]],$AV$2:$BD$100,2,TRUE)</f>
        <v>The Eyrie Vineyards Pinot Gris</v>
      </c>
      <c r="AO355" s="21">
        <f>VLOOKUP(Transaction[[#This Row],[Model No.]],$AV$2:$BD$100,6,TRUE)</f>
        <v>20.99</v>
      </c>
      <c r="AP355" s="9">
        <v>1</v>
      </c>
      <c r="AQ355" s="5">
        <f>Transaction[[#This Row],[Price]]*Transaction[[#This Row],[Qty]]</f>
        <v>20.99</v>
      </c>
      <c r="AR355" s="5">
        <f>VLOOKUP(Transaction[[#This Row],[Model No.]],$AV$2:$BD$100,7,TRUE)*Transaction[[#This Row],[Qty]]</f>
        <v>4.1979999999999995</v>
      </c>
      <c r="AS355">
        <v>1105</v>
      </c>
      <c r="AT355">
        <v>1021</v>
      </c>
    </row>
    <row r="356" spans="36:46" x14ac:dyDescent="0.3">
      <c r="AJ356">
        <v>53209</v>
      </c>
      <c r="AK356" s="30">
        <v>42105</v>
      </c>
      <c r="AL356" t="s">
        <v>982</v>
      </c>
      <c r="AM356">
        <v>56</v>
      </c>
      <c r="AN356" t="str">
        <f>VLOOKUP(Transaction[[#This Row],[Model No.]],$AV$2:$BD$100,2,TRUE)</f>
        <v>Roy Pitz Sour Hound - 6 Pack</v>
      </c>
      <c r="AO356" s="21">
        <f>VLOOKUP(Transaction[[#This Row],[Model No.]],$AV$2:$BD$100,6,TRUE)</f>
        <v>13.99</v>
      </c>
      <c r="AP356" s="9">
        <v>5</v>
      </c>
      <c r="AQ356" s="5">
        <f>Transaction[[#This Row],[Price]]*Transaction[[#This Row],[Qty]]</f>
        <v>69.95</v>
      </c>
      <c r="AR356" s="5">
        <f>VLOOKUP(Transaction[[#This Row],[Model No.]],$AV$2:$BD$100,7,TRUE)*Transaction[[#This Row],[Qty]]</f>
        <v>20.984999999999999</v>
      </c>
      <c r="AS356">
        <v>1101</v>
      </c>
      <c r="AT356">
        <v>1002</v>
      </c>
    </row>
    <row r="357" spans="36:46" x14ac:dyDescent="0.3">
      <c r="AJ357">
        <v>75216</v>
      </c>
      <c r="AK357" s="30">
        <v>42106</v>
      </c>
      <c r="AL357" t="s">
        <v>318</v>
      </c>
      <c r="AM357">
        <v>82</v>
      </c>
      <c r="AN357" t="str">
        <f>VLOOKUP(Transaction[[#This Row],[Model No.]],$AV$2:$BD$100,2,TRUE)</f>
        <v>PInnacle Chocolate Whipped Vodka</v>
      </c>
      <c r="AO357" s="21">
        <f>VLOOKUP(Transaction[[#This Row],[Model No.]],$AV$2:$BD$100,6,TRUE)</f>
        <v>10.99</v>
      </c>
      <c r="AP357" s="9">
        <v>5</v>
      </c>
      <c r="AQ357" s="5">
        <f>Transaction[[#This Row],[Price]]*Transaction[[#This Row],[Qty]]</f>
        <v>54.95</v>
      </c>
      <c r="AR357" s="5">
        <f>VLOOKUP(Transaction[[#This Row],[Model No.]],$AV$2:$BD$100,7,TRUE)*Transaction[[#This Row],[Qty]]</f>
        <v>16.484999999999999</v>
      </c>
      <c r="AS357">
        <v>1102</v>
      </c>
      <c r="AT357">
        <v>1007</v>
      </c>
    </row>
    <row r="358" spans="36:46" x14ac:dyDescent="0.3">
      <c r="AJ358">
        <v>68718</v>
      </c>
      <c r="AK358" s="30">
        <v>42107</v>
      </c>
      <c r="AL358" t="s">
        <v>688</v>
      </c>
      <c r="AM358">
        <v>59</v>
      </c>
      <c r="AN358" t="str">
        <f>VLOOKUP(Transaction[[#This Row],[Model No.]],$AV$2:$BD$100,2,TRUE)</f>
        <v>Smirnoff Kissed Caramel Vodka</v>
      </c>
      <c r="AO358" s="21">
        <f>VLOOKUP(Transaction[[#This Row],[Model No.]],$AV$2:$BD$100,6,TRUE)</f>
        <v>13.49</v>
      </c>
      <c r="AP358" s="9">
        <v>1</v>
      </c>
      <c r="AQ358" s="5">
        <f>Transaction[[#This Row],[Price]]*Transaction[[#This Row],[Qty]]</f>
        <v>13.49</v>
      </c>
      <c r="AR358" s="5">
        <f>VLOOKUP(Transaction[[#This Row],[Model No.]],$AV$2:$BD$100,7,TRUE)*Transaction[[#This Row],[Qty]]</f>
        <v>4.0469999999999997</v>
      </c>
      <c r="AS358">
        <v>1098</v>
      </c>
      <c r="AT358">
        <v>1000</v>
      </c>
    </row>
    <row r="359" spans="36:46" x14ac:dyDescent="0.3">
      <c r="AJ359">
        <v>99059</v>
      </c>
      <c r="AK359" s="30">
        <v>42108</v>
      </c>
      <c r="AL359" t="s">
        <v>1524</v>
      </c>
      <c r="AM359">
        <v>34</v>
      </c>
      <c r="AN359" t="str">
        <f>VLOOKUP(Transaction[[#This Row],[Model No.]],$AV$2:$BD$100,2,TRUE)</f>
        <v>The Eyrie Vineyards Pinot Gris</v>
      </c>
      <c r="AO359" s="21">
        <f>VLOOKUP(Transaction[[#This Row],[Model No.]],$AV$2:$BD$100,6,TRUE)</f>
        <v>20.99</v>
      </c>
      <c r="AP359" s="9">
        <v>5</v>
      </c>
      <c r="AQ359" s="5">
        <f>Transaction[[#This Row],[Price]]*Transaction[[#This Row],[Qty]]</f>
        <v>104.94999999999999</v>
      </c>
      <c r="AR359" s="5">
        <f>VLOOKUP(Transaction[[#This Row],[Model No.]],$AV$2:$BD$100,7,TRUE)*Transaction[[#This Row],[Qty]]</f>
        <v>20.99</v>
      </c>
      <c r="AS359">
        <v>1101</v>
      </c>
      <c r="AT359">
        <v>1000</v>
      </c>
    </row>
    <row r="360" spans="36:46" x14ac:dyDescent="0.3">
      <c r="AJ360">
        <v>87946</v>
      </c>
      <c r="AK360" s="30">
        <v>42109</v>
      </c>
      <c r="AL360" t="s">
        <v>806</v>
      </c>
      <c r="AM360">
        <v>21</v>
      </c>
      <c r="AN360" t="str">
        <f>VLOOKUP(Transaction[[#This Row],[Model No.]],$AV$2:$BD$100,2,TRUE)</f>
        <v>Adelsheim Ribbon Springs Auxerrois</v>
      </c>
      <c r="AO360" s="21">
        <f>VLOOKUP(Transaction[[#This Row],[Model No.]],$AV$2:$BD$100,6,TRUE)</f>
        <v>25.99</v>
      </c>
      <c r="AP360" s="9">
        <v>1</v>
      </c>
      <c r="AQ360" s="5">
        <f>Transaction[[#This Row],[Price]]*Transaction[[#This Row],[Qty]]</f>
        <v>25.99</v>
      </c>
      <c r="AR360" s="5">
        <f>VLOOKUP(Transaction[[#This Row],[Model No.]],$AV$2:$BD$100,7,TRUE)*Transaction[[#This Row],[Qty]]</f>
        <v>2.5990000000000002</v>
      </c>
      <c r="AS360">
        <v>1105</v>
      </c>
      <c r="AT360">
        <v>1003</v>
      </c>
    </row>
    <row r="361" spans="36:46" x14ac:dyDescent="0.3">
      <c r="AJ361">
        <v>78975</v>
      </c>
      <c r="AK361" s="30">
        <v>42110</v>
      </c>
      <c r="AL361" t="s">
        <v>1294</v>
      </c>
      <c r="AM361">
        <v>53</v>
      </c>
      <c r="AN361" t="str">
        <f>VLOOKUP(Transaction[[#This Row],[Model No.]],$AV$2:$BD$100,2,TRUE)</f>
        <v>Ommegang Hennepin - 4 Pack</v>
      </c>
      <c r="AO361" s="21">
        <f>VLOOKUP(Transaction[[#This Row],[Model No.]],$AV$2:$BD$100,6,TRUE)</f>
        <v>14.99</v>
      </c>
      <c r="AP361" s="9">
        <v>3</v>
      </c>
      <c r="AQ361" s="5">
        <f>Transaction[[#This Row],[Price]]*Transaction[[#This Row],[Qty]]</f>
        <v>44.97</v>
      </c>
      <c r="AR361" s="5">
        <f>VLOOKUP(Transaction[[#This Row],[Model No.]],$AV$2:$BD$100,7,TRUE)*Transaction[[#This Row],[Qty]]</f>
        <v>13.491</v>
      </c>
      <c r="AS361">
        <v>1106</v>
      </c>
      <c r="AT361">
        <v>1007</v>
      </c>
    </row>
    <row r="362" spans="36:46" x14ac:dyDescent="0.3">
      <c r="AJ362">
        <v>33854</v>
      </c>
      <c r="AK362" s="30">
        <v>42112</v>
      </c>
      <c r="AL362" t="s">
        <v>578</v>
      </c>
      <c r="AM362">
        <v>81</v>
      </c>
      <c r="AN362" t="str">
        <f>VLOOKUP(Transaction[[#This Row],[Model No.]],$AV$2:$BD$100,2,TRUE)</f>
        <v>TerraNoble Reserva La Higuera Vineyard Carmenere</v>
      </c>
      <c r="AO362" s="21">
        <f>VLOOKUP(Transaction[[#This Row],[Model No.]],$AV$2:$BD$100,6,TRUE)</f>
        <v>10.99</v>
      </c>
      <c r="AP362" s="9">
        <v>2</v>
      </c>
      <c r="AQ362" s="5">
        <f>Transaction[[#This Row],[Price]]*Transaction[[#This Row],[Qty]]</f>
        <v>21.98</v>
      </c>
      <c r="AR362" s="5">
        <f>VLOOKUP(Transaction[[#This Row],[Model No.]],$AV$2:$BD$100,7,TRUE)*Transaction[[#This Row],[Qty]]</f>
        <v>6.5940000000000003</v>
      </c>
      <c r="AS362">
        <v>1105</v>
      </c>
      <c r="AT362">
        <v>1002</v>
      </c>
    </row>
    <row r="363" spans="36:46" x14ac:dyDescent="0.3">
      <c r="AJ363">
        <v>42936</v>
      </c>
      <c r="AK363" s="30">
        <v>42113</v>
      </c>
      <c r="AL363" t="s">
        <v>1472</v>
      </c>
      <c r="AM363">
        <v>98</v>
      </c>
      <c r="AN363" t="str">
        <f>VLOOKUP(Transaction[[#This Row],[Model No.]],$AV$2:$BD$100,2,TRUE)</f>
        <v>Wychwood Hobgoblin</v>
      </c>
      <c r="AO363" s="21">
        <f>VLOOKUP(Transaction[[#This Row],[Model No.]],$AV$2:$BD$100,6,TRUE)</f>
        <v>5.99</v>
      </c>
      <c r="AP363" s="9">
        <v>2</v>
      </c>
      <c r="AQ363" s="5">
        <f>Transaction[[#This Row],[Price]]*Transaction[[#This Row],[Qty]]</f>
        <v>11.98</v>
      </c>
      <c r="AR363" s="5">
        <f>VLOOKUP(Transaction[[#This Row],[Model No.]],$AV$2:$BD$100,7,TRUE)*Transaction[[#This Row],[Qty]]</f>
        <v>3.5939999999999999</v>
      </c>
      <c r="AS363">
        <v>1107</v>
      </c>
      <c r="AT363">
        <v>1009</v>
      </c>
    </row>
    <row r="364" spans="36:46" x14ac:dyDescent="0.3">
      <c r="AJ364">
        <v>96190</v>
      </c>
      <c r="AK364" s="30">
        <v>42114</v>
      </c>
      <c r="AL364" t="s">
        <v>1780</v>
      </c>
      <c r="AM364">
        <v>78</v>
      </c>
      <c r="AN364" t="str">
        <f>VLOOKUP(Transaction[[#This Row],[Model No.]],$AV$2:$BD$100,2,TRUE)</f>
        <v>Tomasello Winery Blueberry Wine Red Blend</v>
      </c>
      <c r="AO364" s="21">
        <f>VLOOKUP(Transaction[[#This Row],[Model No.]],$AV$2:$BD$100,6,TRUE)</f>
        <v>11.49</v>
      </c>
      <c r="AP364" s="9">
        <v>2</v>
      </c>
      <c r="AQ364" s="5">
        <f>Transaction[[#This Row],[Price]]*Transaction[[#This Row],[Qty]]</f>
        <v>22.98</v>
      </c>
      <c r="AR364" s="5">
        <f>VLOOKUP(Transaction[[#This Row],[Model No.]],$AV$2:$BD$100,7,TRUE)*Transaction[[#This Row],[Qty]]</f>
        <v>2.298</v>
      </c>
      <c r="AS364">
        <v>1098</v>
      </c>
      <c r="AT364">
        <v>1013</v>
      </c>
    </row>
    <row r="365" spans="36:46" x14ac:dyDescent="0.3">
      <c r="AJ365">
        <v>41940</v>
      </c>
      <c r="AK365" s="30">
        <v>42115</v>
      </c>
      <c r="AL365" t="s">
        <v>1508</v>
      </c>
      <c r="AM365">
        <v>58</v>
      </c>
      <c r="AN365" t="str">
        <f>VLOOKUP(Transaction[[#This Row],[Model No.]],$AV$2:$BD$100,2,TRUE)</f>
        <v>Smirnoff Mango Vodka</v>
      </c>
      <c r="AO365" s="21">
        <f>VLOOKUP(Transaction[[#This Row],[Model No.]],$AV$2:$BD$100,6,TRUE)</f>
        <v>13.49</v>
      </c>
      <c r="AP365" s="9">
        <v>3</v>
      </c>
      <c r="AQ365" s="5">
        <f>Transaction[[#This Row],[Price]]*Transaction[[#This Row],[Qty]]</f>
        <v>40.47</v>
      </c>
      <c r="AR365" s="5">
        <f>VLOOKUP(Transaction[[#This Row],[Model No.]],$AV$2:$BD$100,7,TRUE)*Transaction[[#This Row],[Qty]]</f>
        <v>12.140999999999998</v>
      </c>
      <c r="AS365">
        <v>1108</v>
      </c>
      <c r="AT365">
        <v>1006</v>
      </c>
    </row>
    <row r="366" spans="36:46" x14ac:dyDescent="0.3">
      <c r="AJ366">
        <v>98817</v>
      </c>
      <c r="AK366" s="30">
        <v>42117</v>
      </c>
      <c r="AL366" t="s">
        <v>1253</v>
      </c>
      <c r="AM366">
        <v>37</v>
      </c>
      <c r="AN366" t="str">
        <f>VLOOKUP(Transaction[[#This Row],[Model No.]],$AV$2:$BD$100,2,TRUE)</f>
        <v>Francis Ford Coppola Diamond Collection Black Label Pavilion Chardonnay</v>
      </c>
      <c r="AO366" s="21">
        <f>VLOOKUP(Transaction[[#This Row],[Model No.]],$AV$2:$BD$100,6,TRUE)</f>
        <v>19.989999999999998</v>
      </c>
      <c r="AP366" s="9">
        <v>5</v>
      </c>
      <c r="AQ366" s="5">
        <f>Transaction[[#This Row],[Price]]*Transaction[[#This Row],[Qty]]</f>
        <v>99.949999999999989</v>
      </c>
      <c r="AR366" s="5">
        <f>VLOOKUP(Transaction[[#This Row],[Model No.]],$AV$2:$BD$100,7,TRUE)*Transaction[[#This Row],[Qty]]</f>
        <v>9.9949999999999992</v>
      </c>
      <c r="AS366">
        <v>1103</v>
      </c>
      <c r="AT366">
        <v>1008</v>
      </c>
    </row>
    <row r="367" spans="36:46" x14ac:dyDescent="0.3">
      <c r="AJ367">
        <v>34324</v>
      </c>
      <c r="AK367" s="30">
        <v>42117</v>
      </c>
      <c r="AL367" t="s">
        <v>1223</v>
      </c>
      <c r="AM367">
        <v>65</v>
      </c>
      <c r="AN367" t="str">
        <f>VLOOKUP(Transaction[[#This Row],[Model No.]],$AV$2:$BD$100,2,TRUE)</f>
        <v>Shipyard Summer Ale - 6 Pack</v>
      </c>
      <c r="AO367" s="21">
        <f>VLOOKUP(Transaction[[#This Row],[Model No.]],$AV$2:$BD$100,6,TRUE)</f>
        <v>12.99</v>
      </c>
      <c r="AP367" s="9">
        <v>2</v>
      </c>
      <c r="AQ367" s="5">
        <f>Transaction[[#This Row],[Price]]*Transaction[[#This Row],[Qty]]</f>
        <v>25.98</v>
      </c>
      <c r="AR367" s="5">
        <f>VLOOKUP(Transaction[[#This Row],[Model No.]],$AV$2:$BD$100,7,TRUE)*Transaction[[#This Row],[Qty]]</f>
        <v>7.7939999999999996</v>
      </c>
      <c r="AS367">
        <v>1103</v>
      </c>
      <c r="AT367">
        <v>1011</v>
      </c>
    </row>
    <row r="368" spans="36:46" x14ac:dyDescent="0.3">
      <c r="AJ368">
        <v>22342</v>
      </c>
      <c r="AK368" s="30">
        <v>42117</v>
      </c>
      <c r="AL368" t="s">
        <v>1314</v>
      </c>
      <c r="AM368">
        <v>74</v>
      </c>
      <c r="AN368" t="str">
        <f>VLOOKUP(Transaction[[#This Row],[Model No.]],$AV$2:$BD$100,2,TRUE)</f>
        <v>UINTA PALE ALE NR - 6 Pack</v>
      </c>
      <c r="AO368" s="21">
        <f>VLOOKUP(Transaction[[#This Row],[Model No.]],$AV$2:$BD$100,6,TRUE)</f>
        <v>11.99</v>
      </c>
      <c r="AP368" s="9">
        <v>2</v>
      </c>
      <c r="AQ368" s="5">
        <f>Transaction[[#This Row],[Price]]*Transaction[[#This Row],[Qty]]</f>
        <v>23.98</v>
      </c>
      <c r="AR368" s="5">
        <f>VLOOKUP(Transaction[[#This Row],[Model No.]],$AV$2:$BD$100,7,TRUE)*Transaction[[#This Row],[Qty]]</f>
        <v>7.194</v>
      </c>
      <c r="AS368">
        <v>1101</v>
      </c>
      <c r="AT368">
        <v>1002</v>
      </c>
    </row>
    <row r="369" spans="36:46" x14ac:dyDescent="0.3">
      <c r="AJ369">
        <v>44265</v>
      </c>
      <c r="AK369" s="30">
        <v>42118</v>
      </c>
      <c r="AL369" t="s">
        <v>529</v>
      </c>
      <c r="AM369">
        <v>73</v>
      </c>
      <c r="AN369" t="str">
        <f>VLOOKUP(Transaction[[#This Row],[Model No.]],$AV$2:$BD$100,2,TRUE)</f>
        <v>Schlafly Oktoberfest - 6 Pack</v>
      </c>
      <c r="AO369" s="21">
        <f>VLOOKUP(Transaction[[#This Row],[Model No.]],$AV$2:$BD$100,6,TRUE)</f>
        <v>11.99</v>
      </c>
      <c r="AP369" s="9">
        <v>5</v>
      </c>
      <c r="AQ369" s="5">
        <f>Transaction[[#This Row],[Price]]*Transaction[[#This Row],[Qty]]</f>
        <v>59.95</v>
      </c>
      <c r="AR369" s="5">
        <f>VLOOKUP(Transaction[[#This Row],[Model No.]],$AV$2:$BD$100,7,TRUE)*Transaction[[#This Row],[Qty]]</f>
        <v>17.984999999999999</v>
      </c>
      <c r="AS369">
        <v>1105</v>
      </c>
      <c r="AT369">
        <v>1007</v>
      </c>
    </row>
    <row r="370" spans="36:46" x14ac:dyDescent="0.3">
      <c r="AJ370">
        <v>51293</v>
      </c>
      <c r="AK370" s="30">
        <v>42120</v>
      </c>
      <c r="AL370" t="s">
        <v>1530</v>
      </c>
      <c r="AM370">
        <v>12</v>
      </c>
      <c r="AN370" t="str">
        <f>VLOOKUP(Transaction[[#This Row],[Model No.]],$AV$2:$BD$100,2,TRUE)</f>
        <v>Cuvaison Pinot Noir</v>
      </c>
      <c r="AO370" s="21">
        <f>VLOOKUP(Transaction[[#This Row],[Model No.]],$AV$2:$BD$100,6,TRUE)</f>
        <v>36.99</v>
      </c>
      <c r="AP370" s="9">
        <v>5</v>
      </c>
      <c r="AQ370" s="5">
        <f>Transaction[[#This Row],[Price]]*Transaction[[#This Row],[Qty]]</f>
        <v>184.95000000000002</v>
      </c>
      <c r="AR370" s="5">
        <f>VLOOKUP(Transaction[[#This Row],[Model No.]],$AV$2:$BD$100,7,TRUE)*Transaction[[#This Row],[Qty]]</f>
        <v>18.495000000000001</v>
      </c>
      <c r="AS370">
        <v>1099</v>
      </c>
      <c r="AT370">
        <v>1020</v>
      </c>
    </row>
    <row r="371" spans="36:46" x14ac:dyDescent="0.3">
      <c r="AJ371">
        <v>33231</v>
      </c>
      <c r="AK371" s="30">
        <v>42121</v>
      </c>
      <c r="AL371" t="s">
        <v>614</v>
      </c>
      <c r="AM371">
        <v>32</v>
      </c>
      <c r="AN371" t="str">
        <f>VLOOKUP(Transaction[[#This Row],[Model No.]],$AV$2:$BD$100,2,TRUE)</f>
        <v>Sugar Island Spiced Rum</v>
      </c>
      <c r="AO371" s="21">
        <f>VLOOKUP(Transaction[[#This Row],[Model No.]],$AV$2:$BD$100,6,TRUE)</f>
        <v>21.99</v>
      </c>
      <c r="AP371" s="9">
        <v>1</v>
      </c>
      <c r="AQ371" s="5">
        <f>Transaction[[#This Row],[Price]]*Transaction[[#This Row],[Qty]]</f>
        <v>21.99</v>
      </c>
      <c r="AR371" s="5">
        <f>VLOOKUP(Transaction[[#This Row],[Model No.]],$AV$2:$BD$100,7,TRUE)*Transaction[[#This Row],[Qty]]</f>
        <v>4.3979999999999997</v>
      </c>
      <c r="AS371">
        <v>1105</v>
      </c>
      <c r="AT371">
        <v>1007</v>
      </c>
    </row>
    <row r="372" spans="36:46" x14ac:dyDescent="0.3">
      <c r="AJ372">
        <v>15398</v>
      </c>
      <c r="AK372" s="30">
        <v>42121</v>
      </c>
      <c r="AL372" t="s">
        <v>1600</v>
      </c>
      <c r="AM372">
        <v>78</v>
      </c>
      <c r="AN372" t="str">
        <f>VLOOKUP(Transaction[[#This Row],[Model No.]],$AV$2:$BD$100,2,TRUE)</f>
        <v>Tomasello Winery Blueberry Wine Red Blend</v>
      </c>
      <c r="AO372" s="21">
        <f>VLOOKUP(Transaction[[#This Row],[Model No.]],$AV$2:$BD$100,6,TRUE)</f>
        <v>11.49</v>
      </c>
      <c r="AP372" s="9">
        <v>2</v>
      </c>
      <c r="AQ372" s="5">
        <f>Transaction[[#This Row],[Price]]*Transaction[[#This Row],[Qty]]</f>
        <v>22.98</v>
      </c>
      <c r="AR372" s="5">
        <f>VLOOKUP(Transaction[[#This Row],[Model No.]],$AV$2:$BD$100,7,TRUE)*Transaction[[#This Row],[Qty]]</f>
        <v>2.298</v>
      </c>
      <c r="AS372">
        <v>1098</v>
      </c>
      <c r="AT372">
        <v>1013</v>
      </c>
    </row>
    <row r="373" spans="36:46" x14ac:dyDescent="0.3">
      <c r="AJ373">
        <v>29411</v>
      </c>
      <c r="AK373" s="30">
        <v>42122</v>
      </c>
      <c r="AL373" t="s">
        <v>1092</v>
      </c>
      <c r="AM373">
        <v>61</v>
      </c>
      <c r="AN373" t="str">
        <f>VLOOKUP(Transaction[[#This Row],[Model No.]],$AV$2:$BD$100,2,TRUE)</f>
        <v>He'Brew Genesis Dry Hopped Session Ale - 6 Pack</v>
      </c>
      <c r="AO373" s="21">
        <f>VLOOKUP(Transaction[[#This Row],[Model No.]],$AV$2:$BD$100,6,TRUE)</f>
        <v>12.99</v>
      </c>
      <c r="AP373" s="9">
        <v>2</v>
      </c>
      <c r="AQ373" s="5">
        <f>Transaction[[#This Row],[Price]]*Transaction[[#This Row],[Qty]]</f>
        <v>25.98</v>
      </c>
      <c r="AR373" s="5">
        <f>VLOOKUP(Transaction[[#This Row],[Model No.]],$AV$2:$BD$100,7,TRUE)*Transaction[[#This Row],[Qty]]</f>
        <v>7.7939999999999996</v>
      </c>
      <c r="AS373">
        <v>1101</v>
      </c>
      <c r="AT373">
        <v>1013</v>
      </c>
    </row>
    <row r="374" spans="36:46" x14ac:dyDescent="0.3">
      <c r="AJ374">
        <v>32845</v>
      </c>
      <c r="AK374" s="30">
        <v>42123</v>
      </c>
      <c r="AL374" t="s">
        <v>517</v>
      </c>
      <c r="AM374">
        <v>1</v>
      </c>
      <c r="AN374" t="str">
        <f>VLOOKUP(Transaction[[#This Row],[Model No.]],$AV$2:$BD$100,2,TRUE)</f>
        <v>Forager's Keep 26 Year Old Single Malt Scotch Whisky</v>
      </c>
      <c r="AO374" s="21">
        <f>VLOOKUP(Transaction[[#This Row],[Model No.]],$AV$2:$BD$100,6,TRUE)</f>
        <v>325.99</v>
      </c>
      <c r="AP374" s="9">
        <v>1</v>
      </c>
      <c r="AQ374" s="5">
        <f>Transaction[[#This Row],[Price]]*Transaction[[#This Row],[Qty]]</f>
        <v>325.99</v>
      </c>
      <c r="AR374" s="5">
        <f>VLOOKUP(Transaction[[#This Row],[Model No.]],$AV$2:$BD$100,7,TRUE)*Transaction[[#This Row],[Qty]]</f>
        <v>97.796999999999997</v>
      </c>
      <c r="AS374">
        <v>1098</v>
      </c>
      <c r="AT374">
        <v>1009</v>
      </c>
    </row>
    <row r="375" spans="36:46" x14ac:dyDescent="0.3">
      <c r="AJ375">
        <v>43172</v>
      </c>
      <c r="AK375" s="30">
        <v>42127</v>
      </c>
      <c r="AL375" t="s">
        <v>1480</v>
      </c>
      <c r="AM375">
        <v>68</v>
      </c>
      <c r="AN375" t="str">
        <f>VLOOKUP(Transaction[[#This Row],[Model No.]],$AV$2:$BD$100,2,TRUE)</f>
        <v>Conti Beretta Estate Bottled Friuli Grave Pinot Grigio</v>
      </c>
      <c r="AO375" s="21">
        <f>VLOOKUP(Transaction[[#This Row],[Model No.]],$AV$2:$BD$100,6,TRUE)</f>
        <v>12.99</v>
      </c>
      <c r="AP375" s="9">
        <v>3</v>
      </c>
      <c r="AQ375" s="5">
        <f>Transaction[[#This Row],[Price]]*Transaction[[#This Row],[Qty]]</f>
        <v>38.97</v>
      </c>
      <c r="AR375" s="5">
        <f>VLOOKUP(Transaction[[#This Row],[Model No.]],$AV$2:$BD$100,7,TRUE)*Transaction[[#This Row],[Qty]]</f>
        <v>3.8970000000000002</v>
      </c>
      <c r="AS375">
        <v>1101</v>
      </c>
      <c r="AT375">
        <v>1014</v>
      </c>
    </row>
    <row r="376" spans="36:46" x14ac:dyDescent="0.3">
      <c r="AJ376">
        <v>94663</v>
      </c>
      <c r="AK376" s="30">
        <v>42129</v>
      </c>
      <c r="AL376" t="s">
        <v>477</v>
      </c>
      <c r="AM376">
        <v>73</v>
      </c>
      <c r="AN376" t="str">
        <f>VLOOKUP(Transaction[[#This Row],[Model No.]],$AV$2:$BD$100,2,TRUE)</f>
        <v>Schlafly Oktoberfest - 6 Pack</v>
      </c>
      <c r="AO376" s="21">
        <f>VLOOKUP(Transaction[[#This Row],[Model No.]],$AV$2:$BD$100,6,TRUE)</f>
        <v>11.99</v>
      </c>
      <c r="AP376" s="9">
        <v>3</v>
      </c>
      <c r="AQ376" s="5">
        <f>Transaction[[#This Row],[Price]]*Transaction[[#This Row],[Qty]]</f>
        <v>35.97</v>
      </c>
      <c r="AR376" s="5">
        <f>VLOOKUP(Transaction[[#This Row],[Model No.]],$AV$2:$BD$100,7,TRUE)*Transaction[[#This Row],[Qty]]</f>
        <v>10.791</v>
      </c>
      <c r="AS376">
        <v>1101</v>
      </c>
      <c r="AT376">
        <v>1006</v>
      </c>
    </row>
    <row r="377" spans="36:46" x14ac:dyDescent="0.3">
      <c r="AJ377">
        <v>30208</v>
      </c>
      <c r="AK377" s="30">
        <v>42129</v>
      </c>
      <c r="AL377" t="s">
        <v>369</v>
      </c>
      <c r="AM377">
        <v>84</v>
      </c>
      <c r="AN377" t="str">
        <f>VLOOKUP(Transaction[[#This Row],[Model No.]],$AV$2:$BD$100,2,TRUE)</f>
        <v>UV Blue Raspberry Vodka</v>
      </c>
      <c r="AO377" s="21">
        <f>VLOOKUP(Transaction[[#This Row],[Model No.]],$AV$2:$BD$100,6,TRUE)</f>
        <v>10.49</v>
      </c>
      <c r="AP377" s="9">
        <v>5</v>
      </c>
      <c r="AQ377" s="5">
        <f>Transaction[[#This Row],[Price]]*Transaction[[#This Row],[Qty]]</f>
        <v>52.45</v>
      </c>
      <c r="AR377" s="5">
        <f>VLOOKUP(Transaction[[#This Row],[Model No.]],$AV$2:$BD$100,7,TRUE)*Transaction[[#This Row],[Qty]]</f>
        <v>15.734999999999999</v>
      </c>
      <c r="AS377">
        <v>1103</v>
      </c>
      <c r="AT377">
        <v>1021</v>
      </c>
    </row>
    <row r="378" spans="36:46" x14ac:dyDescent="0.3">
      <c r="AJ378">
        <v>36901</v>
      </c>
      <c r="AK378" s="30">
        <v>42130</v>
      </c>
      <c r="AL378" t="s">
        <v>380</v>
      </c>
      <c r="AM378">
        <v>40</v>
      </c>
      <c r="AN378" t="str">
        <f>VLOOKUP(Transaction[[#This Row],[Model No.]],$AV$2:$BD$100,2,TRUE)</f>
        <v>Takara Can Chu Hi JPop Grapefruit - 6 Pack</v>
      </c>
      <c r="AO378" s="21">
        <f>VLOOKUP(Transaction[[#This Row],[Model No.]],$AV$2:$BD$100,6,TRUE)</f>
        <v>17.989999999999998</v>
      </c>
      <c r="AP378" s="9">
        <v>4</v>
      </c>
      <c r="AQ378" s="5">
        <f>Transaction[[#This Row],[Price]]*Transaction[[#This Row],[Qty]]</f>
        <v>71.959999999999994</v>
      </c>
      <c r="AR378" s="5">
        <f>VLOOKUP(Transaction[[#This Row],[Model No.]],$AV$2:$BD$100,7,TRUE)*Transaction[[#This Row],[Qty]]</f>
        <v>21.587999999999997</v>
      </c>
      <c r="AS378">
        <v>1104</v>
      </c>
      <c r="AT378">
        <v>1009</v>
      </c>
    </row>
    <row r="379" spans="36:46" x14ac:dyDescent="0.3">
      <c r="AJ379">
        <v>16535</v>
      </c>
      <c r="AK379" s="30">
        <v>42130</v>
      </c>
      <c r="AL379" t="s">
        <v>1409</v>
      </c>
      <c r="AM379">
        <v>69</v>
      </c>
      <c r="AN379" t="str">
        <f>VLOOKUP(Transaction[[#This Row],[Model No.]],$AV$2:$BD$100,2,TRUE)</f>
        <v>Castillo de Maluenda Vinas Viejas Punto y Coma Garnacha</v>
      </c>
      <c r="AO379" s="21">
        <f>VLOOKUP(Transaction[[#This Row],[Model No.]],$AV$2:$BD$100,6,TRUE)</f>
        <v>12.99</v>
      </c>
      <c r="AP379" s="9">
        <v>5</v>
      </c>
      <c r="AQ379" s="5">
        <f>Transaction[[#This Row],[Price]]*Transaction[[#This Row],[Qty]]</f>
        <v>64.95</v>
      </c>
      <c r="AR379" s="5">
        <f>VLOOKUP(Transaction[[#This Row],[Model No.]],$AV$2:$BD$100,7,TRUE)*Transaction[[#This Row],[Qty]]</f>
        <v>25.980000000000004</v>
      </c>
      <c r="AS379">
        <v>1105</v>
      </c>
      <c r="AT379">
        <v>1015</v>
      </c>
    </row>
    <row r="380" spans="36:46" x14ac:dyDescent="0.3">
      <c r="AJ380">
        <v>30010</v>
      </c>
      <c r="AK380" s="30">
        <v>42132</v>
      </c>
      <c r="AL380" t="s">
        <v>1313</v>
      </c>
      <c r="AM380">
        <v>48</v>
      </c>
      <c r="AN380" t="str">
        <f>VLOOKUP(Transaction[[#This Row],[Model No.]],$AV$2:$BD$100,2,TRUE)</f>
        <v>CH TOUR D'AURON</v>
      </c>
      <c r="AO380" s="21">
        <f>VLOOKUP(Transaction[[#This Row],[Model No.]],$AV$2:$BD$100,6,TRUE)</f>
        <v>15.99</v>
      </c>
      <c r="AP380" s="9">
        <v>3</v>
      </c>
      <c r="AQ380" s="5">
        <f>Transaction[[#This Row],[Price]]*Transaction[[#This Row],[Qty]]</f>
        <v>47.97</v>
      </c>
      <c r="AR380" s="5">
        <f>VLOOKUP(Transaction[[#This Row],[Model No.]],$AV$2:$BD$100,7,TRUE)*Transaction[[#This Row],[Qty]]</f>
        <v>19.188000000000002</v>
      </c>
      <c r="AS380">
        <v>1101</v>
      </c>
      <c r="AT380">
        <v>1020</v>
      </c>
    </row>
    <row r="381" spans="36:46" x14ac:dyDescent="0.3">
      <c r="AJ381">
        <v>35263</v>
      </c>
      <c r="AK381" s="30">
        <v>42133</v>
      </c>
      <c r="AL381" t="s">
        <v>1641</v>
      </c>
      <c r="AM381">
        <v>34</v>
      </c>
      <c r="AN381" t="str">
        <f>VLOOKUP(Transaction[[#This Row],[Model No.]],$AV$2:$BD$100,2,TRUE)</f>
        <v>The Eyrie Vineyards Pinot Gris</v>
      </c>
      <c r="AO381" s="21">
        <f>VLOOKUP(Transaction[[#This Row],[Model No.]],$AV$2:$BD$100,6,TRUE)</f>
        <v>20.99</v>
      </c>
      <c r="AP381" s="9">
        <v>5</v>
      </c>
      <c r="AQ381" s="5">
        <f>Transaction[[#This Row],[Price]]*Transaction[[#This Row],[Qty]]</f>
        <v>104.94999999999999</v>
      </c>
      <c r="AR381" s="5">
        <f>VLOOKUP(Transaction[[#This Row],[Model No.]],$AV$2:$BD$100,7,TRUE)*Transaction[[#This Row],[Qty]]</f>
        <v>20.99</v>
      </c>
      <c r="AS381">
        <v>1102</v>
      </c>
      <c r="AT381">
        <v>1002</v>
      </c>
    </row>
    <row r="382" spans="36:46" x14ac:dyDescent="0.3">
      <c r="AJ382">
        <v>72231</v>
      </c>
      <c r="AK382" s="30">
        <v>42135</v>
      </c>
      <c r="AL382" t="s">
        <v>1563</v>
      </c>
      <c r="AM382">
        <v>95</v>
      </c>
      <c r="AN382" t="str">
        <f>VLOOKUP(Transaction[[#This Row],[Model No.]],$AV$2:$BD$100,2,TRUE)</f>
        <v>Kuromatsu Hakushika Chokara Extra Dry Sake</v>
      </c>
      <c r="AO382" s="21">
        <f>VLOOKUP(Transaction[[#This Row],[Model No.]],$AV$2:$BD$100,6,TRUE)</f>
        <v>7.49</v>
      </c>
      <c r="AP382" s="9">
        <v>4</v>
      </c>
      <c r="AQ382" s="5">
        <f>Transaction[[#This Row],[Price]]*Transaction[[#This Row],[Qty]]</f>
        <v>29.96</v>
      </c>
      <c r="AR382" s="5">
        <f>VLOOKUP(Transaction[[#This Row],[Model No.]],$AV$2:$BD$100,7,TRUE)*Transaction[[#This Row],[Qty]]</f>
        <v>2.9960000000000004</v>
      </c>
      <c r="AS382">
        <v>1106</v>
      </c>
      <c r="AT382">
        <v>1002</v>
      </c>
    </row>
    <row r="383" spans="36:46" x14ac:dyDescent="0.3">
      <c r="AJ383">
        <v>86088</v>
      </c>
      <c r="AK383" s="30">
        <v>42136</v>
      </c>
      <c r="AL383" t="s">
        <v>1168</v>
      </c>
      <c r="AM383">
        <v>94</v>
      </c>
      <c r="AN383" t="str">
        <f>VLOOKUP(Transaction[[#This Row],[Model No.]],$AV$2:$BD$100,2,TRUE)</f>
        <v>Freixenet Blanc de Blancs Brut Cava Blend</v>
      </c>
      <c r="AO383" s="21">
        <f>VLOOKUP(Transaction[[#This Row],[Model No.]],$AV$2:$BD$100,6,TRUE)</f>
        <v>7.49</v>
      </c>
      <c r="AP383" s="9">
        <v>1</v>
      </c>
      <c r="AQ383" s="5">
        <f>Transaction[[#This Row],[Price]]*Transaction[[#This Row],[Qty]]</f>
        <v>7.49</v>
      </c>
      <c r="AR383" s="5">
        <f>VLOOKUP(Transaction[[#This Row],[Model No.]],$AV$2:$BD$100,7,TRUE)*Transaction[[#This Row],[Qty]]</f>
        <v>0.74900000000000011</v>
      </c>
      <c r="AS383">
        <v>1098</v>
      </c>
      <c r="AT383">
        <v>1007</v>
      </c>
    </row>
    <row r="384" spans="36:46" x14ac:dyDescent="0.3">
      <c r="AJ384">
        <v>63581</v>
      </c>
      <c r="AK384" s="30">
        <v>42139</v>
      </c>
      <c r="AL384" t="s">
        <v>1848</v>
      </c>
      <c r="AM384">
        <v>15</v>
      </c>
      <c r="AN384" t="str">
        <f>VLOOKUP(Transaction[[#This Row],[Model No.]],$AV$2:$BD$100,2,TRUE)</f>
        <v>Wild Turkey 101 Kentucky Straight Bourbon Whiskey</v>
      </c>
      <c r="AO384" s="21">
        <f>VLOOKUP(Transaction[[#This Row],[Model No.]],$AV$2:$BD$100,6,TRUE)</f>
        <v>32.99</v>
      </c>
      <c r="AP384" s="9">
        <v>1</v>
      </c>
      <c r="AQ384" s="5">
        <f>Transaction[[#This Row],[Price]]*Transaction[[#This Row],[Qty]]</f>
        <v>32.99</v>
      </c>
      <c r="AR384" s="5">
        <f>VLOOKUP(Transaction[[#This Row],[Model No.]],$AV$2:$BD$100,7,TRUE)*Transaction[[#This Row],[Qty]]</f>
        <v>6.5980000000000008</v>
      </c>
      <c r="AS384">
        <v>1099</v>
      </c>
      <c r="AT384">
        <v>1016</v>
      </c>
    </row>
    <row r="385" spans="36:46" x14ac:dyDescent="0.3">
      <c r="AJ385">
        <v>56857</v>
      </c>
      <c r="AK385" s="30">
        <v>42139</v>
      </c>
      <c r="AL385" t="s">
        <v>782</v>
      </c>
      <c r="AM385">
        <v>29</v>
      </c>
      <c r="AN385" t="str">
        <f>VLOOKUP(Transaction[[#This Row],[Model No.]],$AV$2:$BD$100,2,TRUE)</f>
        <v>SCHLAFLY STOUT BOUT SAMPLER   2/12 - 12 Pack</v>
      </c>
      <c r="AO385" s="21">
        <f>VLOOKUP(Transaction[[#This Row],[Model No.]],$AV$2:$BD$100,6,TRUE)</f>
        <v>22.99</v>
      </c>
      <c r="AP385" s="9">
        <v>2</v>
      </c>
      <c r="AQ385" s="5">
        <f>Transaction[[#This Row],[Price]]*Transaction[[#This Row],[Qty]]</f>
        <v>45.98</v>
      </c>
      <c r="AR385" s="5">
        <f>VLOOKUP(Transaction[[#This Row],[Model No.]],$AV$2:$BD$100,7,TRUE)*Transaction[[#This Row],[Qty]]</f>
        <v>13.793999999999999</v>
      </c>
      <c r="AS385">
        <v>1101</v>
      </c>
      <c r="AT385">
        <v>1007</v>
      </c>
    </row>
    <row r="386" spans="36:46" x14ac:dyDescent="0.3">
      <c r="AJ386">
        <v>56804</v>
      </c>
      <c r="AK386" s="30">
        <v>42140</v>
      </c>
      <c r="AL386" t="s">
        <v>494</v>
      </c>
      <c r="AM386">
        <v>61</v>
      </c>
      <c r="AN386" t="str">
        <f>VLOOKUP(Transaction[[#This Row],[Model No.]],$AV$2:$BD$100,2,TRUE)</f>
        <v>He'Brew Genesis Dry Hopped Session Ale - 6 Pack</v>
      </c>
      <c r="AO386" s="21">
        <f>VLOOKUP(Transaction[[#This Row],[Model No.]],$AV$2:$BD$100,6,TRUE)</f>
        <v>12.99</v>
      </c>
      <c r="AP386" s="9">
        <v>3</v>
      </c>
      <c r="AQ386" s="5">
        <f>Transaction[[#This Row],[Price]]*Transaction[[#This Row],[Qty]]</f>
        <v>38.97</v>
      </c>
      <c r="AR386" s="5">
        <f>VLOOKUP(Transaction[[#This Row],[Model No.]],$AV$2:$BD$100,7,TRUE)*Transaction[[#This Row],[Qty]]</f>
        <v>11.690999999999999</v>
      </c>
      <c r="AS386">
        <v>1102</v>
      </c>
      <c r="AT386">
        <v>1003</v>
      </c>
    </row>
    <row r="387" spans="36:46" x14ac:dyDescent="0.3">
      <c r="AJ387">
        <v>94822</v>
      </c>
      <c r="AK387" s="30">
        <v>42142</v>
      </c>
      <c r="AL387" t="s">
        <v>1675</v>
      </c>
      <c r="AM387">
        <v>5</v>
      </c>
      <c r="AN387" t="str">
        <f>VLOOKUP(Transaction[[#This Row],[Model No.]],$AV$2:$BD$100,2,TRUE)</f>
        <v>Old Forester 1897 Bottled in Bond Kentucky Straight Bourbon Whisky</v>
      </c>
      <c r="AO387" s="21">
        <f>VLOOKUP(Transaction[[#This Row],[Model No.]],$AV$2:$BD$100,6,TRUE)</f>
        <v>46.99</v>
      </c>
      <c r="AP387" s="9">
        <v>4</v>
      </c>
      <c r="AQ387" s="5">
        <f>Transaction[[#This Row],[Price]]*Transaction[[#This Row],[Qty]]</f>
        <v>187.96</v>
      </c>
      <c r="AR387" s="5">
        <f>VLOOKUP(Transaction[[#This Row],[Model No.]],$AV$2:$BD$100,7,TRUE)*Transaction[[#This Row],[Qty]]</f>
        <v>37.592000000000006</v>
      </c>
      <c r="AS387">
        <v>1098</v>
      </c>
      <c r="AT387">
        <v>1018</v>
      </c>
    </row>
    <row r="388" spans="36:46" x14ac:dyDescent="0.3">
      <c r="AJ388">
        <v>83588</v>
      </c>
      <c r="AK388" s="30">
        <v>42142</v>
      </c>
      <c r="AL388" t="s">
        <v>1252</v>
      </c>
      <c r="AM388">
        <v>34</v>
      </c>
      <c r="AN388" t="str">
        <f>VLOOKUP(Transaction[[#This Row],[Model No.]],$AV$2:$BD$100,2,TRUE)</f>
        <v>The Eyrie Vineyards Pinot Gris</v>
      </c>
      <c r="AO388" s="21">
        <f>VLOOKUP(Transaction[[#This Row],[Model No.]],$AV$2:$BD$100,6,TRUE)</f>
        <v>20.99</v>
      </c>
      <c r="AP388" s="9">
        <v>3</v>
      </c>
      <c r="AQ388" s="5">
        <f>Transaction[[#This Row],[Price]]*Transaction[[#This Row],[Qty]]</f>
        <v>62.97</v>
      </c>
      <c r="AR388" s="5">
        <f>VLOOKUP(Transaction[[#This Row],[Model No.]],$AV$2:$BD$100,7,TRUE)*Transaction[[#This Row],[Qty]]</f>
        <v>12.593999999999998</v>
      </c>
      <c r="AS388">
        <v>1104</v>
      </c>
      <c r="AT388">
        <v>1016</v>
      </c>
    </row>
    <row r="389" spans="36:46" x14ac:dyDescent="0.3">
      <c r="AJ389">
        <v>91429</v>
      </c>
      <c r="AK389" s="30">
        <v>42143</v>
      </c>
      <c r="AL389" t="s">
        <v>800</v>
      </c>
      <c r="AM389">
        <v>28</v>
      </c>
      <c r="AN389" t="str">
        <f>VLOOKUP(Transaction[[#This Row],[Model No.]],$AV$2:$BD$100,2,TRUE)</f>
        <v>Quinta de Soalheiro Soalheiro Alvarinho</v>
      </c>
      <c r="AO389" s="21">
        <f>VLOOKUP(Transaction[[#This Row],[Model No.]],$AV$2:$BD$100,6,TRUE)</f>
        <v>23.99</v>
      </c>
      <c r="AP389" s="9">
        <v>1</v>
      </c>
      <c r="AQ389" s="5">
        <f>Transaction[[#This Row],[Price]]*Transaction[[#This Row],[Qty]]</f>
        <v>23.99</v>
      </c>
      <c r="AR389" s="5">
        <f>VLOOKUP(Transaction[[#This Row],[Model No.]],$AV$2:$BD$100,7,TRUE)*Transaction[[#This Row],[Qty]]</f>
        <v>9.5960000000000001</v>
      </c>
      <c r="AS389">
        <v>1105</v>
      </c>
      <c r="AT389">
        <v>1010</v>
      </c>
    </row>
    <row r="390" spans="36:46" x14ac:dyDescent="0.3">
      <c r="AJ390">
        <v>66086</v>
      </c>
      <c r="AK390" s="30">
        <v>42144</v>
      </c>
      <c r="AL390" t="s">
        <v>1725</v>
      </c>
      <c r="AM390">
        <v>5</v>
      </c>
      <c r="AN390" t="str">
        <f>VLOOKUP(Transaction[[#This Row],[Model No.]],$AV$2:$BD$100,2,TRUE)</f>
        <v>Old Forester 1897 Bottled in Bond Kentucky Straight Bourbon Whisky</v>
      </c>
      <c r="AO390" s="21">
        <f>VLOOKUP(Transaction[[#This Row],[Model No.]],$AV$2:$BD$100,6,TRUE)</f>
        <v>46.99</v>
      </c>
      <c r="AP390" s="9">
        <v>1</v>
      </c>
      <c r="AQ390" s="5">
        <f>Transaction[[#This Row],[Price]]*Transaction[[#This Row],[Qty]]</f>
        <v>46.99</v>
      </c>
      <c r="AR390" s="5">
        <f>VLOOKUP(Transaction[[#This Row],[Model No.]],$AV$2:$BD$100,7,TRUE)*Transaction[[#This Row],[Qty]]</f>
        <v>9.3980000000000015</v>
      </c>
      <c r="AS390">
        <v>1108</v>
      </c>
      <c r="AT390">
        <v>1013</v>
      </c>
    </row>
    <row r="391" spans="36:46" x14ac:dyDescent="0.3">
      <c r="AJ391">
        <v>94948</v>
      </c>
      <c r="AK391" s="30">
        <v>42144</v>
      </c>
      <c r="AL391" t="s">
        <v>366</v>
      </c>
      <c r="AM391">
        <v>46</v>
      </c>
      <c r="AN391" t="str">
        <f>VLOOKUP(Transaction[[#This Row],[Model No.]],$AV$2:$BD$100,2,TRUE)</f>
        <v>Label 5 Classic Black Blended Scotch Whisky</v>
      </c>
      <c r="AO391" s="21">
        <f>VLOOKUP(Transaction[[#This Row],[Model No.]],$AV$2:$BD$100,6,TRUE)</f>
        <v>15.99</v>
      </c>
      <c r="AP391" s="9">
        <v>5</v>
      </c>
      <c r="AQ391" s="5">
        <f>Transaction[[#This Row],[Price]]*Transaction[[#This Row],[Qty]]</f>
        <v>79.95</v>
      </c>
      <c r="AR391" s="5">
        <f>VLOOKUP(Transaction[[#This Row],[Model No.]],$AV$2:$BD$100,7,TRUE)*Transaction[[#This Row],[Qty]]</f>
        <v>15.990000000000002</v>
      </c>
      <c r="AS391">
        <v>1098</v>
      </c>
      <c r="AT391">
        <v>1003</v>
      </c>
    </row>
    <row r="392" spans="36:46" x14ac:dyDescent="0.3">
      <c r="AJ392">
        <v>15408</v>
      </c>
      <c r="AK392" s="30">
        <v>42146</v>
      </c>
      <c r="AL392" t="s">
        <v>858</v>
      </c>
      <c r="AM392">
        <v>50</v>
      </c>
      <c r="AN392" t="str">
        <f>VLOOKUP(Transaction[[#This Row],[Model No.]],$AV$2:$BD$100,2,TRUE)</f>
        <v>CLOS DU BOIS ROSE</v>
      </c>
      <c r="AO392" s="21">
        <f>VLOOKUP(Transaction[[#This Row],[Model No.]],$AV$2:$BD$100,6,TRUE)</f>
        <v>14.99</v>
      </c>
      <c r="AP392" s="9">
        <v>1</v>
      </c>
      <c r="AQ392" s="5">
        <f>Transaction[[#This Row],[Price]]*Transaction[[#This Row],[Qty]]</f>
        <v>14.99</v>
      </c>
      <c r="AR392" s="5">
        <f>VLOOKUP(Transaction[[#This Row],[Model No.]],$AV$2:$BD$100,7,TRUE)*Transaction[[#This Row],[Qty]]</f>
        <v>5.9960000000000004</v>
      </c>
      <c r="AS392">
        <v>1103</v>
      </c>
      <c r="AT392">
        <v>1015</v>
      </c>
    </row>
    <row r="393" spans="36:46" x14ac:dyDescent="0.3">
      <c r="AJ393">
        <v>46197</v>
      </c>
      <c r="AK393" s="30">
        <v>42147</v>
      </c>
      <c r="AL393" t="s">
        <v>1131</v>
      </c>
      <c r="AM393">
        <v>1</v>
      </c>
      <c r="AN393" t="str">
        <f>VLOOKUP(Transaction[[#This Row],[Model No.]],$AV$2:$BD$100,2,TRUE)</f>
        <v>Forager's Keep 26 Year Old Single Malt Scotch Whisky</v>
      </c>
      <c r="AO393" s="21">
        <f>VLOOKUP(Transaction[[#This Row],[Model No.]],$AV$2:$BD$100,6,TRUE)</f>
        <v>325.99</v>
      </c>
      <c r="AP393" s="9">
        <v>1</v>
      </c>
      <c r="AQ393" s="5">
        <f>Transaction[[#This Row],[Price]]*Transaction[[#This Row],[Qty]]</f>
        <v>325.99</v>
      </c>
      <c r="AR393" s="5">
        <f>VLOOKUP(Transaction[[#This Row],[Model No.]],$AV$2:$BD$100,7,TRUE)*Transaction[[#This Row],[Qty]]</f>
        <v>97.796999999999997</v>
      </c>
      <c r="AS393">
        <v>1105</v>
      </c>
      <c r="AT393">
        <v>1004</v>
      </c>
    </row>
    <row r="394" spans="36:46" x14ac:dyDescent="0.3">
      <c r="AJ394">
        <v>87303</v>
      </c>
      <c r="AK394" s="30">
        <v>42147</v>
      </c>
      <c r="AL394" t="s">
        <v>1356</v>
      </c>
      <c r="AM394">
        <v>68</v>
      </c>
      <c r="AN394" t="str">
        <f>VLOOKUP(Transaction[[#This Row],[Model No.]],$AV$2:$BD$100,2,TRUE)</f>
        <v>Conti Beretta Estate Bottled Friuli Grave Pinot Grigio</v>
      </c>
      <c r="AO394" s="21">
        <f>VLOOKUP(Transaction[[#This Row],[Model No.]],$AV$2:$BD$100,6,TRUE)</f>
        <v>12.99</v>
      </c>
      <c r="AP394" s="9">
        <v>1</v>
      </c>
      <c r="AQ394" s="5">
        <f>Transaction[[#This Row],[Price]]*Transaction[[#This Row],[Qty]]</f>
        <v>12.99</v>
      </c>
      <c r="AR394" s="5">
        <f>VLOOKUP(Transaction[[#This Row],[Model No.]],$AV$2:$BD$100,7,TRUE)*Transaction[[#This Row],[Qty]]</f>
        <v>1.2990000000000002</v>
      </c>
      <c r="AS394">
        <v>1107</v>
      </c>
      <c r="AT394">
        <v>1006</v>
      </c>
    </row>
    <row r="395" spans="36:46" x14ac:dyDescent="0.3">
      <c r="AJ395">
        <v>84180</v>
      </c>
      <c r="AK395" s="30">
        <v>42149</v>
      </c>
      <c r="AL395" t="s">
        <v>1653</v>
      </c>
      <c r="AM395">
        <v>86</v>
      </c>
      <c r="AN395" t="str">
        <f>VLOOKUP(Transaction[[#This Row],[Model No.]],$AV$2:$BD$100,2,TRUE)</f>
        <v>Bully Hill Vineyards Love My Goat Baco Noir</v>
      </c>
      <c r="AO395" s="21">
        <f>VLOOKUP(Transaction[[#This Row],[Model No.]],$AV$2:$BD$100,6,TRUE)</f>
        <v>9.49</v>
      </c>
      <c r="AP395" s="9">
        <v>3</v>
      </c>
      <c r="AQ395" s="5">
        <f>Transaction[[#This Row],[Price]]*Transaction[[#This Row],[Qty]]</f>
        <v>28.47</v>
      </c>
      <c r="AR395" s="5">
        <f>VLOOKUP(Transaction[[#This Row],[Model No.]],$AV$2:$BD$100,7,TRUE)*Transaction[[#This Row],[Qty]]</f>
        <v>2.8470000000000004</v>
      </c>
      <c r="AS395">
        <v>1105</v>
      </c>
      <c r="AT395">
        <v>1016</v>
      </c>
    </row>
    <row r="396" spans="36:46" x14ac:dyDescent="0.3">
      <c r="AJ396">
        <v>31840</v>
      </c>
      <c r="AK396" s="30">
        <v>42150</v>
      </c>
      <c r="AL396" t="s">
        <v>1470</v>
      </c>
      <c r="AM396">
        <v>9</v>
      </c>
      <c r="AN396" t="str">
        <f>VLOOKUP(Transaction[[#This Row],[Model No.]],$AV$2:$BD$100,2,TRUE)</f>
        <v>Ass Kisser Double IPA - 12 Pack</v>
      </c>
      <c r="AO396" s="21">
        <f>VLOOKUP(Transaction[[#This Row],[Model No.]],$AV$2:$BD$100,6,TRUE)</f>
        <v>43.99</v>
      </c>
      <c r="AP396" s="9">
        <v>1</v>
      </c>
      <c r="AQ396" s="5">
        <f>Transaction[[#This Row],[Price]]*Transaction[[#This Row],[Qty]]</f>
        <v>43.99</v>
      </c>
      <c r="AR396" s="5">
        <f>VLOOKUP(Transaction[[#This Row],[Model No.]],$AV$2:$BD$100,7,TRUE)*Transaction[[#This Row],[Qty]]</f>
        <v>13.197000000000001</v>
      </c>
      <c r="AS396">
        <v>1100</v>
      </c>
      <c r="AT396">
        <v>1016</v>
      </c>
    </row>
    <row r="397" spans="36:46" x14ac:dyDescent="0.3">
      <c r="AJ397">
        <v>62011</v>
      </c>
      <c r="AK397" s="30">
        <v>42152</v>
      </c>
      <c r="AL397" t="s">
        <v>1683</v>
      </c>
      <c r="AM397">
        <v>42</v>
      </c>
      <c r="AN397" t="str">
        <f>VLOOKUP(Transaction[[#This Row],[Model No.]],$AV$2:$BD$100,2,TRUE)</f>
        <v>Francis Ford Coppola Sofia Brut Rose Pinot Noir</v>
      </c>
      <c r="AO397" s="21">
        <f>VLOOKUP(Transaction[[#This Row],[Model No.]],$AV$2:$BD$100,6,TRUE)</f>
        <v>16.989999999999998</v>
      </c>
      <c r="AP397" s="9">
        <v>4</v>
      </c>
      <c r="AQ397" s="5">
        <f>Transaction[[#This Row],[Price]]*Transaction[[#This Row],[Qty]]</f>
        <v>67.959999999999994</v>
      </c>
      <c r="AR397" s="5">
        <f>VLOOKUP(Transaction[[#This Row],[Model No.]],$AV$2:$BD$100,7,TRUE)*Transaction[[#This Row],[Qty]]</f>
        <v>27.183999999999997</v>
      </c>
      <c r="AS397">
        <v>1108</v>
      </c>
      <c r="AT397">
        <v>1003</v>
      </c>
    </row>
    <row r="398" spans="36:46" x14ac:dyDescent="0.3">
      <c r="AJ398">
        <v>56191</v>
      </c>
      <c r="AK398" s="30">
        <v>42153</v>
      </c>
      <c r="AL398" t="s">
        <v>1333</v>
      </c>
      <c r="AM398">
        <v>44</v>
      </c>
      <c r="AN398" t="str">
        <f>VLOOKUP(Transaction[[#This Row],[Model No.]],$AV$2:$BD$100,2,TRUE)</f>
        <v>Brasserie de Silly Saison - 4 Pack</v>
      </c>
      <c r="AO398" s="21">
        <f>VLOOKUP(Transaction[[#This Row],[Model No.]],$AV$2:$BD$100,6,TRUE)</f>
        <v>16.989999999999998</v>
      </c>
      <c r="AP398" s="9">
        <v>2</v>
      </c>
      <c r="AQ398" s="5">
        <f>Transaction[[#This Row],[Price]]*Transaction[[#This Row],[Qty]]</f>
        <v>33.979999999999997</v>
      </c>
      <c r="AR398" s="5">
        <f>VLOOKUP(Transaction[[#This Row],[Model No.]],$AV$2:$BD$100,7,TRUE)*Transaction[[#This Row],[Qty]]</f>
        <v>10.193999999999999</v>
      </c>
      <c r="AS398">
        <v>1104</v>
      </c>
      <c r="AT398">
        <v>1000</v>
      </c>
    </row>
    <row r="399" spans="36:46" x14ac:dyDescent="0.3">
      <c r="AJ399">
        <v>77133</v>
      </c>
      <c r="AK399" s="30">
        <v>42157</v>
      </c>
      <c r="AL399" t="s">
        <v>444</v>
      </c>
      <c r="AM399">
        <v>15</v>
      </c>
      <c r="AN399" t="str">
        <f>VLOOKUP(Transaction[[#This Row],[Model No.]],$AV$2:$BD$100,2,TRUE)</f>
        <v>Wild Turkey 101 Kentucky Straight Bourbon Whiskey</v>
      </c>
      <c r="AO399" s="21">
        <f>VLOOKUP(Transaction[[#This Row],[Model No.]],$AV$2:$BD$100,6,TRUE)</f>
        <v>32.99</v>
      </c>
      <c r="AP399" s="9">
        <v>3</v>
      </c>
      <c r="AQ399" s="5">
        <f>Transaction[[#This Row],[Price]]*Transaction[[#This Row],[Qty]]</f>
        <v>98.97</v>
      </c>
      <c r="AR399" s="5">
        <f>VLOOKUP(Transaction[[#This Row],[Model No.]],$AV$2:$BD$100,7,TRUE)*Transaction[[#This Row],[Qty]]</f>
        <v>19.794000000000004</v>
      </c>
      <c r="AS399">
        <v>1108</v>
      </c>
      <c r="AT399">
        <v>1011</v>
      </c>
    </row>
    <row r="400" spans="36:46" x14ac:dyDescent="0.3">
      <c r="AJ400">
        <v>54242</v>
      </c>
      <c r="AK400" s="30">
        <v>42158</v>
      </c>
      <c r="AL400" t="s">
        <v>1063</v>
      </c>
      <c r="AM400">
        <v>78</v>
      </c>
      <c r="AN400" t="str">
        <f>VLOOKUP(Transaction[[#This Row],[Model No.]],$AV$2:$BD$100,2,TRUE)</f>
        <v>Tomasello Winery Blueberry Wine Red Blend</v>
      </c>
      <c r="AO400" s="21">
        <f>VLOOKUP(Transaction[[#This Row],[Model No.]],$AV$2:$BD$100,6,TRUE)</f>
        <v>11.49</v>
      </c>
      <c r="AP400" s="9">
        <v>5</v>
      </c>
      <c r="AQ400" s="5">
        <f>Transaction[[#This Row],[Price]]*Transaction[[#This Row],[Qty]]</f>
        <v>57.45</v>
      </c>
      <c r="AR400" s="5">
        <f>VLOOKUP(Transaction[[#This Row],[Model No.]],$AV$2:$BD$100,7,TRUE)*Transaction[[#This Row],[Qty]]</f>
        <v>5.7450000000000001</v>
      </c>
      <c r="AS400">
        <v>1100</v>
      </c>
      <c r="AT400">
        <v>1018</v>
      </c>
    </row>
    <row r="401" spans="36:46" x14ac:dyDescent="0.3">
      <c r="AJ401">
        <v>32717</v>
      </c>
      <c r="AK401" s="30">
        <v>42159</v>
      </c>
      <c r="AL401" t="s">
        <v>921</v>
      </c>
      <c r="AM401">
        <v>39</v>
      </c>
      <c r="AN401" t="str">
        <f>VLOOKUP(Transaction[[#This Row],[Model No.]],$AV$2:$BD$100,2,TRUE)</f>
        <v>Moorhouse's English Owd Ale - 4 Pack</v>
      </c>
      <c r="AO401" s="21">
        <f>VLOOKUP(Transaction[[#This Row],[Model No.]],$AV$2:$BD$100,6,TRUE)</f>
        <v>18.989999999999998</v>
      </c>
      <c r="AP401" s="9">
        <v>4</v>
      </c>
      <c r="AQ401" s="5">
        <f>Transaction[[#This Row],[Price]]*Transaction[[#This Row],[Qty]]</f>
        <v>75.959999999999994</v>
      </c>
      <c r="AR401" s="5">
        <f>VLOOKUP(Transaction[[#This Row],[Model No.]],$AV$2:$BD$100,7,TRUE)*Transaction[[#This Row],[Qty]]</f>
        <v>22.787999999999997</v>
      </c>
      <c r="AS401">
        <v>1100</v>
      </c>
      <c r="AT401">
        <v>1021</v>
      </c>
    </row>
    <row r="402" spans="36:46" x14ac:dyDescent="0.3">
      <c r="AJ402">
        <v>53988</v>
      </c>
      <c r="AK402" s="30">
        <v>42160</v>
      </c>
      <c r="AL402" t="s">
        <v>1049</v>
      </c>
      <c r="AM402">
        <v>45</v>
      </c>
      <c r="AN402" t="str">
        <f>VLOOKUP(Transaction[[#This Row],[Model No.]],$AV$2:$BD$100,2,TRUE)</f>
        <v>Sixpoint Resin - 6 Pack</v>
      </c>
      <c r="AO402" s="21">
        <f>VLOOKUP(Transaction[[#This Row],[Model No.]],$AV$2:$BD$100,6,TRUE)</f>
        <v>15.99</v>
      </c>
      <c r="AP402" s="9">
        <v>4</v>
      </c>
      <c r="AQ402" s="5">
        <f>Transaction[[#This Row],[Price]]*Transaction[[#This Row],[Qty]]</f>
        <v>63.96</v>
      </c>
      <c r="AR402" s="5">
        <f>VLOOKUP(Transaction[[#This Row],[Model No.]],$AV$2:$BD$100,7,TRUE)*Transaction[[#This Row],[Qty]]</f>
        <v>19.187999999999999</v>
      </c>
      <c r="AS402">
        <v>1101</v>
      </c>
      <c r="AT402">
        <v>1006</v>
      </c>
    </row>
    <row r="403" spans="36:46" x14ac:dyDescent="0.3">
      <c r="AJ403">
        <v>38871</v>
      </c>
      <c r="AK403" s="30">
        <v>42160</v>
      </c>
      <c r="AL403" t="s">
        <v>703</v>
      </c>
      <c r="AM403">
        <v>81</v>
      </c>
      <c r="AN403" t="str">
        <f>VLOOKUP(Transaction[[#This Row],[Model No.]],$AV$2:$BD$100,2,TRUE)</f>
        <v>TerraNoble Reserva La Higuera Vineyard Carmenere</v>
      </c>
      <c r="AO403" s="21">
        <f>VLOOKUP(Transaction[[#This Row],[Model No.]],$AV$2:$BD$100,6,TRUE)</f>
        <v>10.99</v>
      </c>
      <c r="AP403" s="9">
        <v>4</v>
      </c>
      <c r="AQ403" s="5">
        <f>Transaction[[#This Row],[Price]]*Transaction[[#This Row],[Qty]]</f>
        <v>43.96</v>
      </c>
      <c r="AR403" s="5">
        <f>VLOOKUP(Transaction[[#This Row],[Model No.]],$AV$2:$BD$100,7,TRUE)*Transaction[[#This Row],[Qty]]</f>
        <v>13.188000000000001</v>
      </c>
      <c r="AS403">
        <v>1100</v>
      </c>
      <c r="AT403">
        <v>1015</v>
      </c>
    </row>
    <row r="404" spans="36:46" x14ac:dyDescent="0.3">
      <c r="AJ404">
        <v>54174</v>
      </c>
      <c r="AK404" s="30">
        <v>42161</v>
      </c>
      <c r="AL404" t="s">
        <v>1425</v>
      </c>
      <c r="AM404">
        <v>59</v>
      </c>
      <c r="AN404" t="str">
        <f>VLOOKUP(Transaction[[#This Row],[Model No.]],$AV$2:$BD$100,2,TRUE)</f>
        <v>Smirnoff Kissed Caramel Vodka</v>
      </c>
      <c r="AO404" s="21">
        <f>VLOOKUP(Transaction[[#This Row],[Model No.]],$AV$2:$BD$100,6,TRUE)</f>
        <v>13.49</v>
      </c>
      <c r="AP404" s="9">
        <v>1</v>
      </c>
      <c r="AQ404" s="5">
        <f>Transaction[[#This Row],[Price]]*Transaction[[#This Row],[Qty]]</f>
        <v>13.49</v>
      </c>
      <c r="AR404" s="5">
        <f>VLOOKUP(Transaction[[#This Row],[Model No.]],$AV$2:$BD$100,7,TRUE)*Transaction[[#This Row],[Qty]]</f>
        <v>4.0469999999999997</v>
      </c>
      <c r="AS404">
        <v>1099</v>
      </c>
      <c r="AT404">
        <v>1001</v>
      </c>
    </row>
    <row r="405" spans="36:46" x14ac:dyDescent="0.3">
      <c r="AJ405">
        <v>64974</v>
      </c>
      <c r="AK405" s="30">
        <v>42164</v>
      </c>
      <c r="AL405" t="s">
        <v>876</v>
      </c>
      <c r="AM405">
        <v>87</v>
      </c>
      <c r="AN405" t="str">
        <f>VLOOKUP(Transaction[[#This Row],[Model No.]],$AV$2:$BD$100,2,TRUE)</f>
        <v>Cruzan 9 Spiced Rum</v>
      </c>
      <c r="AO405" s="21">
        <f>VLOOKUP(Transaction[[#This Row],[Model No.]],$AV$2:$BD$100,6,TRUE)</f>
        <v>9.49</v>
      </c>
      <c r="AP405" s="9">
        <v>1</v>
      </c>
      <c r="AQ405" s="5">
        <f>Transaction[[#This Row],[Price]]*Transaction[[#This Row],[Qty]]</f>
        <v>9.49</v>
      </c>
      <c r="AR405" s="5">
        <f>VLOOKUP(Transaction[[#This Row],[Model No.]],$AV$2:$BD$100,7,TRUE)*Transaction[[#This Row],[Qty]]</f>
        <v>1.8980000000000001</v>
      </c>
      <c r="AS405">
        <v>1100</v>
      </c>
      <c r="AT405">
        <v>1014</v>
      </c>
    </row>
    <row r="406" spans="36:46" x14ac:dyDescent="0.3">
      <c r="AJ406">
        <v>78475</v>
      </c>
      <c r="AK406" s="30">
        <v>42165</v>
      </c>
      <c r="AL406" t="s">
        <v>1024</v>
      </c>
      <c r="AM406">
        <v>89</v>
      </c>
      <c r="AN406" t="str">
        <f>VLOOKUP(Transaction[[#This Row],[Model No.]],$AV$2:$BD$100,2,TRUE)</f>
        <v>Piera Martellozzo Blu Giovello Moscato Puglia IGT Muscat</v>
      </c>
      <c r="AO406" s="21">
        <f>VLOOKUP(Transaction[[#This Row],[Model No.]],$AV$2:$BD$100,6,TRUE)</f>
        <v>8.49</v>
      </c>
      <c r="AP406" s="9">
        <v>3</v>
      </c>
      <c r="AQ406" s="5">
        <f>Transaction[[#This Row],[Price]]*Transaction[[#This Row],[Qty]]</f>
        <v>25.47</v>
      </c>
      <c r="AR406" s="5">
        <f>VLOOKUP(Transaction[[#This Row],[Model No.]],$AV$2:$BD$100,7,TRUE)*Transaction[[#This Row],[Qty]]</f>
        <v>2.5470000000000002</v>
      </c>
      <c r="AS406">
        <v>1108</v>
      </c>
      <c r="AT406">
        <v>1019</v>
      </c>
    </row>
    <row r="407" spans="36:46" x14ac:dyDescent="0.3">
      <c r="AJ407">
        <v>37547</v>
      </c>
      <c r="AK407" s="30">
        <v>42165</v>
      </c>
      <c r="AL407" t="s">
        <v>1663</v>
      </c>
      <c r="AM407">
        <v>98</v>
      </c>
      <c r="AN407" t="str">
        <f>VLOOKUP(Transaction[[#This Row],[Model No.]],$AV$2:$BD$100,2,TRUE)</f>
        <v>Wychwood Hobgoblin</v>
      </c>
      <c r="AO407" s="21">
        <f>VLOOKUP(Transaction[[#This Row],[Model No.]],$AV$2:$BD$100,6,TRUE)</f>
        <v>5.99</v>
      </c>
      <c r="AP407" s="9">
        <v>3</v>
      </c>
      <c r="AQ407" s="5">
        <f>Transaction[[#This Row],[Price]]*Transaction[[#This Row],[Qty]]</f>
        <v>17.97</v>
      </c>
      <c r="AR407" s="5">
        <f>VLOOKUP(Transaction[[#This Row],[Model No.]],$AV$2:$BD$100,7,TRUE)*Transaction[[#This Row],[Qty]]</f>
        <v>5.391</v>
      </c>
      <c r="AS407">
        <v>1098</v>
      </c>
      <c r="AT407">
        <v>1015</v>
      </c>
    </row>
    <row r="408" spans="36:46" x14ac:dyDescent="0.3">
      <c r="AJ408">
        <v>67985</v>
      </c>
      <c r="AK408" s="30">
        <v>42166</v>
      </c>
      <c r="AL408" t="s">
        <v>1909</v>
      </c>
      <c r="AM408">
        <v>71</v>
      </c>
      <c r="AN408" t="str">
        <f>VLOOKUP(Transaction[[#This Row],[Model No.]],$AV$2:$BD$100,2,TRUE)</f>
        <v>Flo Merlot</v>
      </c>
      <c r="AO408" s="21">
        <f>VLOOKUP(Transaction[[#This Row],[Model No.]],$AV$2:$BD$100,6,TRUE)</f>
        <v>12.49</v>
      </c>
      <c r="AP408" s="9">
        <v>4</v>
      </c>
      <c r="AQ408" s="5">
        <f>Transaction[[#This Row],[Price]]*Transaction[[#This Row],[Qty]]</f>
        <v>49.96</v>
      </c>
      <c r="AR408" s="5">
        <f>VLOOKUP(Transaction[[#This Row],[Model No.]],$AV$2:$BD$100,7,TRUE)*Transaction[[#This Row],[Qty]]</f>
        <v>4.9960000000000004</v>
      </c>
      <c r="AS408">
        <v>1100</v>
      </c>
      <c r="AT408">
        <v>1001</v>
      </c>
    </row>
    <row r="409" spans="36:46" x14ac:dyDescent="0.3">
      <c r="AJ409">
        <v>21138</v>
      </c>
      <c r="AK409" s="30">
        <v>42166</v>
      </c>
      <c r="AL409" t="s">
        <v>1625</v>
      </c>
      <c r="AM409">
        <v>82</v>
      </c>
      <c r="AN409" t="str">
        <f>VLOOKUP(Transaction[[#This Row],[Model No.]],$AV$2:$BD$100,2,TRUE)</f>
        <v>PInnacle Chocolate Whipped Vodka</v>
      </c>
      <c r="AO409" s="21">
        <f>VLOOKUP(Transaction[[#This Row],[Model No.]],$AV$2:$BD$100,6,TRUE)</f>
        <v>10.99</v>
      </c>
      <c r="AP409" s="9">
        <v>2</v>
      </c>
      <c r="AQ409" s="5">
        <f>Transaction[[#This Row],[Price]]*Transaction[[#This Row],[Qty]]</f>
        <v>21.98</v>
      </c>
      <c r="AR409" s="5">
        <f>VLOOKUP(Transaction[[#This Row],[Model No.]],$AV$2:$BD$100,7,TRUE)*Transaction[[#This Row],[Qty]]</f>
        <v>6.5940000000000003</v>
      </c>
      <c r="AS409">
        <v>1106</v>
      </c>
      <c r="AT409">
        <v>1021</v>
      </c>
    </row>
    <row r="410" spans="36:46" x14ac:dyDescent="0.3">
      <c r="AJ410">
        <v>91676</v>
      </c>
      <c r="AK410" s="30">
        <v>42167</v>
      </c>
      <c r="AL410" t="s">
        <v>810</v>
      </c>
      <c r="AM410">
        <v>3</v>
      </c>
      <c r="AN410" t="str">
        <f>VLOOKUP(Transaction[[#This Row],[Model No.]],$AV$2:$BD$100,2,TRUE)</f>
        <v>Compass Box Orangerie Scotch Whisky</v>
      </c>
      <c r="AO410" s="21">
        <f>VLOOKUP(Transaction[[#This Row],[Model No.]],$AV$2:$BD$100,6,TRUE)</f>
        <v>56.99</v>
      </c>
      <c r="AP410" s="9">
        <v>4</v>
      </c>
      <c r="AQ410" s="5">
        <f>Transaction[[#This Row],[Price]]*Transaction[[#This Row],[Qty]]</f>
        <v>227.96</v>
      </c>
      <c r="AR410" s="5">
        <f>VLOOKUP(Transaction[[#This Row],[Model No.]],$AV$2:$BD$100,7,TRUE)*Transaction[[#This Row],[Qty]]</f>
        <v>68.388000000000005</v>
      </c>
      <c r="AS410">
        <v>1101</v>
      </c>
      <c r="AT410">
        <v>1014</v>
      </c>
    </row>
    <row r="411" spans="36:46" x14ac:dyDescent="0.3">
      <c r="AJ411">
        <v>63592</v>
      </c>
      <c r="AK411" s="30">
        <v>42168</v>
      </c>
      <c r="AL411" t="s">
        <v>362</v>
      </c>
      <c r="AM411">
        <v>30</v>
      </c>
      <c r="AN411" t="str">
        <f>VLOOKUP(Transaction[[#This Row],[Model No.]],$AV$2:$BD$100,2,TRUE)</f>
        <v>Kahlua Cinnamon Spice Liqueur</v>
      </c>
      <c r="AO411" s="21">
        <f>VLOOKUP(Transaction[[#This Row],[Model No.]],$AV$2:$BD$100,6,TRUE)</f>
        <v>22.99</v>
      </c>
      <c r="AP411" s="9">
        <v>1</v>
      </c>
      <c r="AQ411" s="5">
        <f>Transaction[[#This Row],[Price]]*Transaction[[#This Row],[Qty]]</f>
        <v>22.99</v>
      </c>
      <c r="AR411" s="5">
        <f>VLOOKUP(Transaction[[#This Row],[Model No.]],$AV$2:$BD$100,7,TRUE)*Transaction[[#This Row],[Qty]]</f>
        <v>6.8969999999999994</v>
      </c>
      <c r="AS411">
        <v>1105</v>
      </c>
      <c r="AT411">
        <v>1014</v>
      </c>
    </row>
    <row r="412" spans="36:46" x14ac:dyDescent="0.3">
      <c r="AJ412">
        <v>81645</v>
      </c>
      <c r="AK412" s="30">
        <v>42168</v>
      </c>
      <c r="AL412" t="s">
        <v>1012</v>
      </c>
      <c r="AM412">
        <v>62</v>
      </c>
      <c r="AN412" t="str">
        <f>VLOOKUP(Transaction[[#This Row],[Model No.]],$AV$2:$BD$100,2,TRUE)</f>
        <v>Beerlao Dark Lager - 6 Pack</v>
      </c>
      <c r="AO412" s="21">
        <f>VLOOKUP(Transaction[[#This Row],[Model No.]],$AV$2:$BD$100,6,TRUE)</f>
        <v>12.99</v>
      </c>
      <c r="AP412" s="9">
        <v>2</v>
      </c>
      <c r="AQ412" s="5">
        <f>Transaction[[#This Row],[Price]]*Transaction[[#This Row],[Qty]]</f>
        <v>25.98</v>
      </c>
      <c r="AR412" s="5">
        <f>VLOOKUP(Transaction[[#This Row],[Model No.]],$AV$2:$BD$100,7,TRUE)*Transaction[[#This Row],[Qty]]</f>
        <v>7.7939999999999996</v>
      </c>
      <c r="AS412">
        <v>1099</v>
      </c>
      <c r="AT412">
        <v>1003</v>
      </c>
    </row>
    <row r="413" spans="36:46" x14ac:dyDescent="0.3">
      <c r="AJ413">
        <v>24114</v>
      </c>
      <c r="AK413" s="30">
        <v>42169</v>
      </c>
      <c r="AL413" t="s">
        <v>1359</v>
      </c>
      <c r="AM413">
        <v>10</v>
      </c>
      <c r="AN413" t="str">
        <f>VLOOKUP(Transaction[[#This Row],[Model No.]],$AV$2:$BD$100,2,TRUE)</f>
        <v>Hum Botanical Spirit Liqueur</v>
      </c>
      <c r="AO413" s="21">
        <f>VLOOKUP(Transaction[[#This Row],[Model No.]],$AV$2:$BD$100,6,TRUE)</f>
        <v>41.99</v>
      </c>
      <c r="AP413" s="9">
        <v>2</v>
      </c>
      <c r="AQ413" s="5">
        <f>Transaction[[#This Row],[Price]]*Transaction[[#This Row],[Qty]]</f>
        <v>83.98</v>
      </c>
      <c r="AR413" s="5">
        <f>VLOOKUP(Transaction[[#This Row],[Model No.]],$AV$2:$BD$100,7,TRUE)*Transaction[[#This Row],[Qty]]</f>
        <v>25.193999999999999</v>
      </c>
      <c r="AS413">
        <v>1102</v>
      </c>
      <c r="AT413">
        <v>1008</v>
      </c>
    </row>
    <row r="414" spans="36:46" x14ac:dyDescent="0.3">
      <c r="AJ414">
        <v>48490</v>
      </c>
      <c r="AK414" s="30">
        <v>42169</v>
      </c>
      <c r="AL414" t="s">
        <v>648</v>
      </c>
      <c r="AM414">
        <v>22</v>
      </c>
      <c r="AN414" t="str">
        <f>VLOOKUP(Transaction[[#This Row],[Model No.]],$AV$2:$BD$100,2,TRUE)</f>
        <v>Efe Raki Black Triple Distilled Liqueur</v>
      </c>
      <c r="AO414" s="21">
        <f>VLOOKUP(Transaction[[#This Row],[Model No.]],$AV$2:$BD$100,6,TRUE)</f>
        <v>25.99</v>
      </c>
      <c r="AP414" s="9">
        <v>5</v>
      </c>
      <c r="AQ414" s="5">
        <f>Transaction[[#This Row],[Price]]*Transaction[[#This Row],[Qty]]</f>
        <v>129.94999999999999</v>
      </c>
      <c r="AR414" s="5">
        <f>VLOOKUP(Transaction[[#This Row],[Model No.]],$AV$2:$BD$100,7,TRUE)*Transaction[[#This Row],[Qty]]</f>
        <v>38.984999999999992</v>
      </c>
      <c r="AS414">
        <v>1100</v>
      </c>
      <c r="AT414">
        <v>1016</v>
      </c>
    </row>
    <row r="415" spans="36:46" x14ac:dyDescent="0.3">
      <c r="AJ415">
        <v>75273</v>
      </c>
      <c r="AK415" s="30">
        <v>42169</v>
      </c>
      <c r="AL415" t="s">
        <v>994</v>
      </c>
      <c r="AM415">
        <v>33</v>
      </c>
      <c r="AN415" t="str">
        <f>VLOOKUP(Transaction[[#This Row],[Model No.]],$AV$2:$BD$100,2,TRUE)</f>
        <v>Saracina Unoaked Chardonnay</v>
      </c>
      <c r="AO415" s="21">
        <f>VLOOKUP(Transaction[[#This Row],[Model No.]],$AV$2:$BD$100,6,TRUE)</f>
        <v>20.99</v>
      </c>
      <c r="AP415" s="9">
        <v>3</v>
      </c>
      <c r="AQ415" s="5">
        <f>Transaction[[#This Row],[Price]]*Transaction[[#This Row],[Qty]]</f>
        <v>62.97</v>
      </c>
      <c r="AR415" s="5">
        <f>VLOOKUP(Transaction[[#This Row],[Model No.]],$AV$2:$BD$100,7,TRUE)*Transaction[[#This Row],[Qty]]</f>
        <v>12.593999999999998</v>
      </c>
      <c r="AS415">
        <v>1098</v>
      </c>
      <c r="AT415">
        <v>1017</v>
      </c>
    </row>
    <row r="416" spans="36:46" x14ac:dyDescent="0.3">
      <c r="AJ416">
        <v>30030</v>
      </c>
      <c r="AK416" s="30">
        <v>42172</v>
      </c>
      <c r="AL416" t="s">
        <v>1060</v>
      </c>
      <c r="AM416">
        <v>2</v>
      </c>
      <c r="AN416" t="str">
        <f>VLOOKUP(Transaction[[#This Row],[Model No.]],$AV$2:$BD$100,2,TRUE)</f>
        <v>Grand Marnier Cuvee 1880 Liqueur</v>
      </c>
      <c r="AO416" s="21">
        <f>VLOOKUP(Transaction[[#This Row],[Model No.]],$AV$2:$BD$100,6,TRUE)</f>
        <v>286.99</v>
      </c>
      <c r="AP416" s="9">
        <v>1</v>
      </c>
      <c r="AQ416" s="5">
        <f>Transaction[[#This Row],[Price]]*Transaction[[#This Row],[Qty]]</f>
        <v>286.99</v>
      </c>
      <c r="AR416" s="5">
        <f>VLOOKUP(Transaction[[#This Row],[Model No.]],$AV$2:$BD$100,7,TRUE)*Transaction[[#This Row],[Qty]]</f>
        <v>86.096999999999994</v>
      </c>
      <c r="AS416">
        <v>1104</v>
      </c>
      <c r="AT416">
        <v>1015</v>
      </c>
    </row>
    <row r="417" spans="36:46" x14ac:dyDescent="0.3">
      <c r="AJ417">
        <v>14887</v>
      </c>
      <c r="AK417" s="30">
        <v>42172</v>
      </c>
      <c r="AL417" t="s">
        <v>871</v>
      </c>
      <c r="AM417">
        <v>69</v>
      </c>
      <c r="AN417" t="str">
        <f>VLOOKUP(Transaction[[#This Row],[Model No.]],$AV$2:$BD$100,2,TRUE)</f>
        <v>Castillo de Maluenda Vinas Viejas Punto y Coma Garnacha</v>
      </c>
      <c r="AO417" s="21">
        <f>VLOOKUP(Transaction[[#This Row],[Model No.]],$AV$2:$BD$100,6,TRUE)</f>
        <v>12.99</v>
      </c>
      <c r="AP417" s="9">
        <v>4</v>
      </c>
      <c r="AQ417" s="5">
        <f>Transaction[[#This Row],[Price]]*Transaction[[#This Row],[Qty]]</f>
        <v>51.96</v>
      </c>
      <c r="AR417" s="5">
        <f>VLOOKUP(Transaction[[#This Row],[Model No.]],$AV$2:$BD$100,7,TRUE)*Transaction[[#This Row],[Qty]]</f>
        <v>20.784000000000002</v>
      </c>
      <c r="AS417">
        <v>1108</v>
      </c>
      <c r="AT417">
        <v>1002</v>
      </c>
    </row>
    <row r="418" spans="36:46" x14ac:dyDescent="0.3">
      <c r="AJ418">
        <v>94396</v>
      </c>
      <c r="AK418" s="30">
        <v>42173</v>
      </c>
      <c r="AL418" t="s">
        <v>1279</v>
      </c>
      <c r="AM418">
        <v>62</v>
      </c>
      <c r="AN418" t="str">
        <f>VLOOKUP(Transaction[[#This Row],[Model No.]],$AV$2:$BD$100,2,TRUE)</f>
        <v>Beerlao Dark Lager - 6 Pack</v>
      </c>
      <c r="AO418" s="21">
        <f>VLOOKUP(Transaction[[#This Row],[Model No.]],$AV$2:$BD$100,6,TRUE)</f>
        <v>12.99</v>
      </c>
      <c r="AP418" s="9">
        <v>1</v>
      </c>
      <c r="AQ418" s="5">
        <f>Transaction[[#This Row],[Price]]*Transaction[[#This Row],[Qty]]</f>
        <v>12.99</v>
      </c>
      <c r="AR418" s="5">
        <f>VLOOKUP(Transaction[[#This Row],[Model No.]],$AV$2:$BD$100,7,TRUE)*Transaction[[#This Row],[Qty]]</f>
        <v>3.8969999999999998</v>
      </c>
      <c r="AS418">
        <v>1107</v>
      </c>
      <c r="AT418">
        <v>1016</v>
      </c>
    </row>
    <row r="419" spans="36:46" x14ac:dyDescent="0.3">
      <c r="AJ419">
        <v>83954</v>
      </c>
      <c r="AK419" s="30">
        <v>42174</v>
      </c>
      <c r="AL419" t="s">
        <v>759</v>
      </c>
      <c r="AM419">
        <v>41</v>
      </c>
      <c r="AN419" t="str">
        <f>VLOOKUP(Transaction[[#This Row],[Model No.]],$AV$2:$BD$100,2,TRUE)</f>
        <v>Brunellesco Delle Venezie IGT Pinot Grigio</v>
      </c>
      <c r="AO419" s="21">
        <f>VLOOKUP(Transaction[[#This Row],[Model No.]],$AV$2:$BD$100,6,TRUE)</f>
        <v>17.39</v>
      </c>
      <c r="AP419" s="9">
        <v>3</v>
      </c>
      <c r="AQ419" s="5">
        <f>Transaction[[#This Row],[Price]]*Transaction[[#This Row],[Qty]]</f>
        <v>52.17</v>
      </c>
      <c r="AR419" s="5">
        <f>VLOOKUP(Transaction[[#This Row],[Model No.]],$AV$2:$BD$100,7,TRUE)*Transaction[[#This Row],[Qty]]</f>
        <v>5.2170000000000005</v>
      </c>
      <c r="AS419">
        <v>1101</v>
      </c>
      <c r="AT419">
        <v>1011</v>
      </c>
    </row>
    <row r="420" spans="36:46" x14ac:dyDescent="0.3">
      <c r="AJ420">
        <v>40547</v>
      </c>
      <c r="AK420" s="30">
        <v>42175</v>
      </c>
      <c r="AL420" t="s">
        <v>1220</v>
      </c>
      <c r="AM420">
        <v>30</v>
      </c>
      <c r="AN420" t="str">
        <f>VLOOKUP(Transaction[[#This Row],[Model No.]],$AV$2:$BD$100,2,TRUE)</f>
        <v>Kahlua Cinnamon Spice Liqueur</v>
      </c>
      <c r="AO420" s="21">
        <f>VLOOKUP(Transaction[[#This Row],[Model No.]],$AV$2:$BD$100,6,TRUE)</f>
        <v>22.99</v>
      </c>
      <c r="AP420" s="9">
        <v>5</v>
      </c>
      <c r="AQ420" s="5">
        <f>Transaction[[#This Row],[Price]]*Transaction[[#This Row],[Qty]]</f>
        <v>114.94999999999999</v>
      </c>
      <c r="AR420" s="5">
        <f>VLOOKUP(Transaction[[#This Row],[Model No.]],$AV$2:$BD$100,7,TRUE)*Transaction[[#This Row],[Qty]]</f>
        <v>34.484999999999999</v>
      </c>
      <c r="AS420">
        <v>1102</v>
      </c>
      <c r="AT420">
        <v>1013</v>
      </c>
    </row>
    <row r="421" spans="36:46" x14ac:dyDescent="0.3">
      <c r="AJ421">
        <v>80940</v>
      </c>
      <c r="AK421" s="30">
        <v>42176</v>
      </c>
      <c r="AL421" t="s">
        <v>576</v>
      </c>
      <c r="AM421">
        <v>58</v>
      </c>
      <c r="AN421" t="str">
        <f>VLOOKUP(Transaction[[#This Row],[Model No.]],$AV$2:$BD$100,2,TRUE)</f>
        <v>Smirnoff Mango Vodka</v>
      </c>
      <c r="AO421" s="21">
        <f>VLOOKUP(Transaction[[#This Row],[Model No.]],$AV$2:$BD$100,6,TRUE)</f>
        <v>13.49</v>
      </c>
      <c r="AP421" s="9">
        <v>1</v>
      </c>
      <c r="AQ421" s="5">
        <f>Transaction[[#This Row],[Price]]*Transaction[[#This Row],[Qty]]</f>
        <v>13.49</v>
      </c>
      <c r="AR421" s="5">
        <f>VLOOKUP(Transaction[[#This Row],[Model No.]],$AV$2:$BD$100,7,TRUE)*Transaction[[#This Row],[Qty]]</f>
        <v>4.0469999999999997</v>
      </c>
      <c r="AS421">
        <v>1108</v>
      </c>
      <c r="AT421">
        <v>1000</v>
      </c>
    </row>
    <row r="422" spans="36:46" x14ac:dyDescent="0.3">
      <c r="AJ422">
        <v>66824</v>
      </c>
      <c r="AK422" s="30">
        <v>42176</v>
      </c>
      <c r="AL422" t="s">
        <v>555</v>
      </c>
      <c r="AM422">
        <v>67</v>
      </c>
      <c r="AN422" t="str">
        <f>VLOOKUP(Transaction[[#This Row],[Model No.]],$AV$2:$BD$100,2,TRUE)</f>
        <v>Oh Be Joyful Sweet Deutscher Qualitatswein Dornfelder</v>
      </c>
      <c r="AO422" s="21">
        <f>VLOOKUP(Transaction[[#This Row],[Model No.]],$AV$2:$BD$100,6,TRUE)</f>
        <v>12.99</v>
      </c>
      <c r="AP422" s="9">
        <v>2</v>
      </c>
      <c r="AQ422" s="5">
        <f>Transaction[[#This Row],[Price]]*Transaction[[#This Row],[Qty]]</f>
        <v>25.98</v>
      </c>
      <c r="AR422" s="5">
        <f>VLOOKUP(Transaction[[#This Row],[Model No.]],$AV$2:$BD$100,7,TRUE)*Transaction[[#This Row],[Qty]]</f>
        <v>10.392000000000001</v>
      </c>
      <c r="AS422">
        <v>1101</v>
      </c>
      <c r="AT422">
        <v>1015</v>
      </c>
    </row>
    <row r="423" spans="36:46" x14ac:dyDescent="0.3">
      <c r="AJ423">
        <v>19501</v>
      </c>
      <c r="AK423" s="30">
        <v>42178</v>
      </c>
      <c r="AL423" t="s">
        <v>809</v>
      </c>
      <c r="AM423">
        <v>80</v>
      </c>
      <c r="AN423" t="str">
        <f>VLOOKUP(Transaction[[#This Row],[Model No.]],$AV$2:$BD$100,2,TRUE)</f>
        <v>Evolution Craft Stalker Hefeweizen - 6 Pack</v>
      </c>
      <c r="AO423" s="21">
        <f>VLOOKUP(Transaction[[#This Row],[Model No.]],$AV$2:$BD$100,6,TRUE)</f>
        <v>10.99</v>
      </c>
      <c r="AP423" s="9">
        <v>1</v>
      </c>
      <c r="AQ423" s="5">
        <f>Transaction[[#This Row],[Price]]*Transaction[[#This Row],[Qty]]</f>
        <v>10.99</v>
      </c>
      <c r="AR423" s="5">
        <f>VLOOKUP(Transaction[[#This Row],[Model No.]],$AV$2:$BD$100,7,TRUE)*Transaction[[#This Row],[Qty]]</f>
        <v>3.2970000000000002</v>
      </c>
      <c r="AS423">
        <v>1098</v>
      </c>
      <c r="AT423">
        <v>1002</v>
      </c>
    </row>
    <row r="424" spans="36:46" x14ac:dyDescent="0.3">
      <c r="AJ424">
        <v>26281</v>
      </c>
      <c r="AK424" s="30">
        <v>42178</v>
      </c>
      <c r="AL424" t="s">
        <v>1152</v>
      </c>
      <c r="AM424">
        <v>92</v>
      </c>
      <c r="AN424" t="str">
        <f>VLOOKUP(Transaction[[#This Row],[Model No.]],$AV$2:$BD$100,2,TRUE)</f>
        <v>Four Seasons Collection Late Harvest White Moscato Dessert Muscat</v>
      </c>
      <c r="AO424" s="21">
        <f>VLOOKUP(Transaction[[#This Row],[Model No.]],$AV$2:$BD$100,6,TRUE)</f>
        <v>7.69</v>
      </c>
      <c r="AP424" s="9">
        <v>5</v>
      </c>
      <c r="AQ424" s="5">
        <f>Transaction[[#This Row],[Price]]*Transaction[[#This Row],[Qty]]</f>
        <v>38.450000000000003</v>
      </c>
      <c r="AR424" s="5">
        <f>VLOOKUP(Transaction[[#This Row],[Model No.]],$AV$2:$BD$100,7,TRUE)*Transaction[[#This Row],[Qty]]</f>
        <v>3.8450000000000006</v>
      </c>
      <c r="AS424">
        <v>1098</v>
      </c>
      <c r="AT424">
        <v>1006</v>
      </c>
    </row>
    <row r="425" spans="36:46" x14ac:dyDescent="0.3">
      <c r="AJ425">
        <v>63914</v>
      </c>
      <c r="AK425" s="30">
        <v>42179</v>
      </c>
      <c r="AL425" t="s">
        <v>689</v>
      </c>
      <c r="AM425">
        <v>96</v>
      </c>
      <c r="AN425" t="str">
        <f>VLOOKUP(Transaction[[#This Row],[Model No.]],$AV$2:$BD$100,2,TRUE)</f>
        <v>Arbor Mist Blackberry Merlot</v>
      </c>
      <c r="AO425" s="21">
        <f>VLOOKUP(Transaction[[#This Row],[Model No.]],$AV$2:$BD$100,6,TRUE)</f>
        <v>6.19</v>
      </c>
      <c r="AP425" s="9">
        <v>4</v>
      </c>
      <c r="AQ425" s="5">
        <f>Transaction[[#This Row],[Price]]*Transaction[[#This Row],[Qty]]</f>
        <v>24.76</v>
      </c>
      <c r="AR425" s="5">
        <f>VLOOKUP(Transaction[[#This Row],[Model No.]],$AV$2:$BD$100,7,TRUE)*Transaction[[#This Row],[Qty]]</f>
        <v>2.4760000000000004</v>
      </c>
      <c r="AS425">
        <v>1099</v>
      </c>
      <c r="AT425">
        <v>1017</v>
      </c>
    </row>
    <row r="426" spans="36:46" x14ac:dyDescent="0.3">
      <c r="AJ426">
        <v>35451</v>
      </c>
      <c r="AK426" s="30">
        <v>42180</v>
      </c>
      <c r="AL426" t="s">
        <v>1805</v>
      </c>
      <c r="AM426">
        <v>44</v>
      </c>
      <c r="AN426" t="str">
        <f>VLOOKUP(Transaction[[#This Row],[Model No.]],$AV$2:$BD$100,2,TRUE)</f>
        <v>Brasserie de Silly Saison - 4 Pack</v>
      </c>
      <c r="AO426" s="21">
        <f>VLOOKUP(Transaction[[#This Row],[Model No.]],$AV$2:$BD$100,6,TRUE)</f>
        <v>16.989999999999998</v>
      </c>
      <c r="AP426" s="9">
        <v>2</v>
      </c>
      <c r="AQ426" s="5">
        <f>Transaction[[#This Row],[Price]]*Transaction[[#This Row],[Qty]]</f>
        <v>33.979999999999997</v>
      </c>
      <c r="AR426" s="5">
        <f>VLOOKUP(Transaction[[#This Row],[Model No.]],$AV$2:$BD$100,7,TRUE)*Transaction[[#This Row],[Qty]]</f>
        <v>10.193999999999999</v>
      </c>
      <c r="AS426">
        <v>1108</v>
      </c>
      <c r="AT426">
        <v>1010</v>
      </c>
    </row>
    <row r="427" spans="36:46" x14ac:dyDescent="0.3">
      <c r="AJ427">
        <v>51196</v>
      </c>
      <c r="AK427" s="30">
        <v>42181</v>
      </c>
      <c r="AL427" t="s">
        <v>1773</v>
      </c>
      <c r="AM427">
        <v>83</v>
      </c>
      <c r="AN427" t="str">
        <f>VLOOKUP(Transaction[[#This Row],[Model No.]],$AV$2:$BD$100,2,TRUE)</f>
        <v>Pinnacle Cherry Whipped Vodka</v>
      </c>
      <c r="AO427" s="21">
        <f>VLOOKUP(Transaction[[#This Row],[Model No.]],$AV$2:$BD$100,6,TRUE)</f>
        <v>10.99</v>
      </c>
      <c r="AP427" s="9">
        <v>1</v>
      </c>
      <c r="AQ427" s="5">
        <f>Transaction[[#This Row],[Price]]*Transaction[[#This Row],[Qty]]</f>
        <v>10.99</v>
      </c>
      <c r="AR427" s="5">
        <f>VLOOKUP(Transaction[[#This Row],[Model No.]],$AV$2:$BD$100,7,TRUE)*Transaction[[#This Row],[Qty]]</f>
        <v>3.2970000000000002</v>
      </c>
      <c r="AS427">
        <v>1107</v>
      </c>
      <c r="AT427">
        <v>1021</v>
      </c>
    </row>
    <row r="428" spans="36:46" x14ac:dyDescent="0.3">
      <c r="AJ428">
        <v>29937</v>
      </c>
      <c r="AK428" s="30">
        <v>42183</v>
      </c>
      <c r="AL428" t="s">
        <v>1890</v>
      </c>
      <c r="AM428">
        <v>1</v>
      </c>
      <c r="AN428" t="str">
        <f>VLOOKUP(Transaction[[#This Row],[Model No.]],$AV$2:$BD$100,2,TRUE)</f>
        <v>Forager's Keep 26 Year Old Single Malt Scotch Whisky</v>
      </c>
      <c r="AO428" s="21">
        <f>VLOOKUP(Transaction[[#This Row],[Model No.]],$AV$2:$BD$100,6,TRUE)</f>
        <v>325.99</v>
      </c>
      <c r="AP428" s="9">
        <v>1</v>
      </c>
      <c r="AQ428" s="5">
        <f>Transaction[[#This Row],[Price]]*Transaction[[#This Row],[Qty]]</f>
        <v>325.99</v>
      </c>
      <c r="AR428" s="5">
        <f>VLOOKUP(Transaction[[#This Row],[Model No.]],$AV$2:$BD$100,7,TRUE)*Transaction[[#This Row],[Qty]]</f>
        <v>97.796999999999997</v>
      </c>
      <c r="AS428">
        <v>1098</v>
      </c>
      <c r="AT428">
        <v>1011</v>
      </c>
    </row>
    <row r="429" spans="36:46" x14ac:dyDescent="0.3">
      <c r="AJ429">
        <v>25715</v>
      </c>
      <c r="AK429" s="30">
        <v>42183</v>
      </c>
      <c r="AL429" t="s">
        <v>942</v>
      </c>
      <c r="AM429">
        <v>29</v>
      </c>
      <c r="AN429" t="str">
        <f>VLOOKUP(Transaction[[#This Row],[Model No.]],$AV$2:$BD$100,2,TRUE)</f>
        <v>SCHLAFLY STOUT BOUT SAMPLER   2/12 - 12 Pack</v>
      </c>
      <c r="AO429" s="21">
        <f>VLOOKUP(Transaction[[#This Row],[Model No.]],$AV$2:$BD$100,6,TRUE)</f>
        <v>22.99</v>
      </c>
      <c r="AP429" s="9">
        <v>5</v>
      </c>
      <c r="AQ429" s="5">
        <f>Transaction[[#This Row],[Price]]*Transaction[[#This Row],[Qty]]</f>
        <v>114.94999999999999</v>
      </c>
      <c r="AR429" s="5">
        <f>VLOOKUP(Transaction[[#This Row],[Model No.]],$AV$2:$BD$100,7,TRUE)*Transaction[[#This Row],[Qty]]</f>
        <v>34.484999999999999</v>
      </c>
      <c r="AS429">
        <v>1099</v>
      </c>
      <c r="AT429">
        <v>1012</v>
      </c>
    </row>
    <row r="430" spans="36:46" x14ac:dyDescent="0.3">
      <c r="AJ430">
        <v>17001</v>
      </c>
      <c r="AK430" s="30">
        <v>42183</v>
      </c>
      <c r="AL430" t="s">
        <v>1204</v>
      </c>
      <c r="AM430">
        <v>71</v>
      </c>
      <c r="AN430" t="str">
        <f>VLOOKUP(Transaction[[#This Row],[Model No.]],$AV$2:$BD$100,2,TRUE)</f>
        <v>Flo Merlot</v>
      </c>
      <c r="AO430" s="21">
        <f>VLOOKUP(Transaction[[#This Row],[Model No.]],$AV$2:$BD$100,6,TRUE)</f>
        <v>12.49</v>
      </c>
      <c r="AP430" s="9">
        <v>1</v>
      </c>
      <c r="AQ430" s="5">
        <f>Transaction[[#This Row],[Price]]*Transaction[[#This Row],[Qty]]</f>
        <v>12.49</v>
      </c>
      <c r="AR430" s="5">
        <f>VLOOKUP(Transaction[[#This Row],[Model No.]],$AV$2:$BD$100,7,TRUE)*Transaction[[#This Row],[Qty]]</f>
        <v>1.2490000000000001</v>
      </c>
      <c r="AS430">
        <v>1101</v>
      </c>
      <c r="AT430">
        <v>1004</v>
      </c>
    </row>
    <row r="431" spans="36:46" x14ac:dyDescent="0.3">
      <c r="AJ431">
        <v>46429</v>
      </c>
      <c r="AK431" s="30">
        <v>42184</v>
      </c>
      <c r="AL431" t="s">
        <v>398</v>
      </c>
      <c r="AM431">
        <v>53</v>
      </c>
      <c r="AN431" t="str">
        <f>VLOOKUP(Transaction[[#This Row],[Model No.]],$AV$2:$BD$100,2,TRUE)</f>
        <v>Ommegang Hennepin - 4 Pack</v>
      </c>
      <c r="AO431" s="21">
        <f>VLOOKUP(Transaction[[#This Row],[Model No.]],$AV$2:$BD$100,6,TRUE)</f>
        <v>14.99</v>
      </c>
      <c r="AP431" s="9">
        <v>5</v>
      </c>
      <c r="AQ431" s="5">
        <f>Transaction[[#This Row],[Price]]*Transaction[[#This Row],[Qty]]</f>
        <v>74.95</v>
      </c>
      <c r="AR431" s="5">
        <f>VLOOKUP(Transaction[[#This Row],[Model No.]],$AV$2:$BD$100,7,TRUE)*Transaction[[#This Row],[Qty]]</f>
        <v>22.484999999999999</v>
      </c>
      <c r="AS431">
        <v>1106</v>
      </c>
      <c r="AT431">
        <v>1013</v>
      </c>
    </row>
    <row r="432" spans="36:46" x14ac:dyDescent="0.3">
      <c r="AJ432">
        <v>24904</v>
      </c>
      <c r="AK432" s="30">
        <v>42184</v>
      </c>
      <c r="AL432" t="s">
        <v>1403</v>
      </c>
      <c r="AM432">
        <v>78</v>
      </c>
      <c r="AN432" t="str">
        <f>VLOOKUP(Transaction[[#This Row],[Model No.]],$AV$2:$BD$100,2,TRUE)</f>
        <v>Tomasello Winery Blueberry Wine Red Blend</v>
      </c>
      <c r="AO432" s="21">
        <f>VLOOKUP(Transaction[[#This Row],[Model No.]],$AV$2:$BD$100,6,TRUE)</f>
        <v>11.49</v>
      </c>
      <c r="AP432" s="9">
        <v>2</v>
      </c>
      <c r="AQ432" s="5">
        <f>Transaction[[#This Row],[Price]]*Transaction[[#This Row],[Qty]]</f>
        <v>22.98</v>
      </c>
      <c r="AR432" s="5">
        <f>VLOOKUP(Transaction[[#This Row],[Model No.]],$AV$2:$BD$100,7,TRUE)*Transaction[[#This Row],[Qty]]</f>
        <v>2.298</v>
      </c>
      <c r="AS432">
        <v>1108</v>
      </c>
      <c r="AT432">
        <v>1000</v>
      </c>
    </row>
    <row r="433" spans="36:46" x14ac:dyDescent="0.3">
      <c r="AJ433">
        <v>36548</v>
      </c>
      <c r="AK433" s="30">
        <v>42185</v>
      </c>
      <c r="AL433" t="s">
        <v>1724</v>
      </c>
      <c r="AM433">
        <v>91</v>
      </c>
      <c r="AN433" t="str">
        <f>VLOOKUP(Transaction[[#This Row],[Model No.]],$AV$2:$BD$100,2,TRUE)</f>
        <v>Rex Goliath Free Range Giant 47 Pound Rooster Merlot</v>
      </c>
      <c r="AO433" s="21">
        <f>VLOOKUP(Transaction[[#This Row],[Model No.]],$AV$2:$BD$100,6,TRUE)</f>
        <v>7.79</v>
      </c>
      <c r="AP433" s="9">
        <v>3</v>
      </c>
      <c r="AQ433" s="5">
        <f>Transaction[[#This Row],[Price]]*Transaction[[#This Row],[Qty]]</f>
        <v>23.37</v>
      </c>
      <c r="AR433" s="5">
        <f>VLOOKUP(Transaction[[#This Row],[Model No.]],$AV$2:$BD$100,7,TRUE)*Transaction[[#This Row],[Qty]]</f>
        <v>2.3370000000000002</v>
      </c>
      <c r="AS433">
        <v>1106</v>
      </c>
      <c r="AT433">
        <v>1014</v>
      </c>
    </row>
    <row r="434" spans="36:46" x14ac:dyDescent="0.3">
      <c r="AJ434">
        <v>76506</v>
      </c>
      <c r="AK434" s="30">
        <v>42187</v>
      </c>
      <c r="AL434" t="s">
        <v>372</v>
      </c>
      <c r="AM434">
        <v>31</v>
      </c>
      <c r="AN434" t="str">
        <f>VLOOKUP(Transaction[[#This Row],[Model No.]],$AV$2:$BD$100,2,TRUE)</f>
        <v>Gulden Draak 9000 Quadruple - 4 Pack</v>
      </c>
      <c r="AO434" s="21">
        <f>VLOOKUP(Transaction[[#This Row],[Model No.]],$AV$2:$BD$100,6,TRUE)</f>
        <v>21.99</v>
      </c>
      <c r="AP434" s="9">
        <v>5</v>
      </c>
      <c r="AQ434" s="5">
        <f>Transaction[[#This Row],[Price]]*Transaction[[#This Row],[Qty]]</f>
        <v>109.94999999999999</v>
      </c>
      <c r="AR434" s="5">
        <f>VLOOKUP(Transaction[[#This Row],[Model No.]],$AV$2:$BD$100,7,TRUE)*Transaction[[#This Row],[Qty]]</f>
        <v>32.984999999999999</v>
      </c>
      <c r="AS434">
        <v>1105</v>
      </c>
      <c r="AT434">
        <v>1004</v>
      </c>
    </row>
    <row r="435" spans="36:46" x14ac:dyDescent="0.3">
      <c r="AJ435">
        <v>80883</v>
      </c>
      <c r="AK435" s="30">
        <v>42188</v>
      </c>
      <c r="AL435" t="s">
        <v>824</v>
      </c>
      <c r="AM435">
        <v>40</v>
      </c>
      <c r="AN435" t="str">
        <f>VLOOKUP(Transaction[[#This Row],[Model No.]],$AV$2:$BD$100,2,TRUE)</f>
        <v>Takara Can Chu Hi JPop Grapefruit - 6 Pack</v>
      </c>
      <c r="AO435" s="21">
        <f>VLOOKUP(Transaction[[#This Row],[Model No.]],$AV$2:$BD$100,6,TRUE)</f>
        <v>17.989999999999998</v>
      </c>
      <c r="AP435" s="9">
        <v>3</v>
      </c>
      <c r="AQ435" s="5">
        <f>Transaction[[#This Row],[Price]]*Transaction[[#This Row],[Qty]]</f>
        <v>53.97</v>
      </c>
      <c r="AR435" s="5">
        <f>VLOOKUP(Transaction[[#This Row],[Model No.]],$AV$2:$BD$100,7,TRUE)*Transaction[[#This Row],[Qty]]</f>
        <v>16.190999999999999</v>
      </c>
      <c r="AS435">
        <v>1103</v>
      </c>
      <c r="AT435">
        <v>1015</v>
      </c>
    </row>
    <row r="436" spans="36:46" x14ac:dyDescent="0.3">
      <c r="AJ436">
        <v>81683</v>
      </c>
      <c r="AK436" s="30">
        <v>42194</v>
      </c>
      <c r="AL436" t="s">
        <v>1066</v>
      </c>
      <c r="AM436">
        <v>76</v>
      </c>
      <c r="AN436" t="str">
        <f>VLOOKUP(Transaction[[#This Row],[Model No.]],$AV$2:$BD$100,2,TRUE)</f>
        <v>Lagunitas Super Cluster Can - 6 Pack</v>
      </c>
      <c r="AO436" s="21">
        <f>VLOOKUP(Transaction[[#This Row],[Model No.]],$AV$2:$BD$100,6,TRUE)</f>
        <v>11.99</v>
      </c>
      <c r="AP436" s="9">
        <v>4</v>
      </c>
      <c r="AQ436" s="5">
        <f>Transaction[[#This Row],[Price]]*Transaction[[#This Row],[Qty]]</f>
        <v>47.96</v>
      </c>
      <c r="AR436" s="5">
        <f>VLOOKUP(Transaction[[#This Row],[Model No.]],$AV$2:$BD$100,7,TRUE)*Transaction[[#This Row],[Qty]]</f>
        <v>14.388</v>
      </c>
      <c r="AS436">
        <v>1100</v>
      </c>
      <c r="AT436">
        <v>1017</v>
      </c>
    </row>
    <row r="437" spans="36:46" x14ac:dyDescent="0.3">
      <c r="AJ437">
        <v>96291</v>
      </c>
      <c r="AK437" s="30">
        <v>42196</v>
      </c>
      <c r="AL437" t="s">
        <v>544</v>
      </c>
      <c r="AM437">
        <v>44</v>
      </c>
      <c r="AN437" t="str">
        <f>VLOOKUP(Transaction[[#This Row],[Model No.]],$AV$2:$BD$100,2,TRUE)</f>
        <v>Brasserie de Silly Saison - 4 Pack</v>
      </c>
      <c r="AO437" s="21">
        <f>VLOOKUP(Transaction[[#This Row],[Model No.]],$AV$2:$BD$100,6,TRUE)</f>
        <v>16.989999999999998</v>
      </c>
      <c r="AP437" s="9">
        <v>4</v>
      </c>
      <c r="AQ437" s="5">
        <f>Transaction[[#This Row],[Price]]*Transaction[[#This Row],[Qty]]</f>
        <v>67.959999999999994</v>
      </c>
      <c r="AR437" s="5">
        <f>VLOOKUP(Transaction[[#This Row],[Model No.]],$AV$2:$BD$100,7,TRUE)*Transaction[[#This Row],[Qty]]</f>
        <v>20.387999999999998</v>
      </c>
      <c r="AS437">
        <v>1101</v>
      </c>
      <c r="AT437">
        <v>1005</v>
      </c>
    </row>
    <row r="438" spans="36:46" x14ac:dyDescent="0.3">
      <c r="AJ438">
        <v>88761</v>
      </c>
      <c r="AK438" s="30">
        <v>42198</v>
      </c>
      <c r="AL438" t="s">
        <v>1037</v>
      </c>
      <c r="AM438">
        <v>87</v>
      </c>
      <c r="AN438" t="str">
        <f>VLOOKUP(Transaction[[#This Row],[Model No.]],$AV$2:$BD$100,2,TRUE)</f>
        <v>Cruzan 9 Spiced Rum</v>
      </c>
      <c r="AO438" s="21">
        <f>VLOOKUP(Transaction[[#This Row],[Model No.]],$AV$2:$BD$100,6,TRUE)</f>
        <v>9.49</v>
      </c>
      <c r="AP438" s="9">
        <v>2</v>
      </c>
      <c r="AQ438" s="5">
        <f>Transaction[[#This Row],[Price]]*Transaction[[#This Row],[Qty]]</f>
        <v>18.98</v>
      </c>
      <c r="AR438" s="5">
        <f>VLOOKUP(Transaction[[#This Row],[Model No.]],$AV$2:$BD$100,7,TRUE)*Transaction[[#This Row],[Qty]]</f>
        <v>3.7960000000000003</v>
      </c>
      <c r="AS438">
        <v>1098</v>
      </c>
      <c r="AT438">
        <v>1012</v>
      </c>
    </row>
    <row r="439" spans="36:46" x14ac:dyDescent="0.3">
      <c r="AJ439">
        <v>11363</v>
      </c>
      <c r="AK439" s="30">
        <v>42199</v>
      </c>
      <c r="AL439" t="s">
        <v>1188</v>
      </c>
      <c r="AM439">
        <v>41</v>
      </c>
      <c r="AN439" t="str">
        <f>VLOOKUP(Transaction[[#This Row],[Model No.]],$AV$2:$BD$100,2,TRUE)</f>
        <v>Brunellesco Delle Venezie IGT Pinot Grigio</v>
      </c>
      <c r="AO439" s="21">
        <f>VLOOKUP(Transaction[[#This Row],[Model No.]],$AV$2:$BD$100,6,TRUE)</f>
        <v>17.39</v>
      </c>
      <c r="AP439" s="9">
        <v>4</v>
      </c>
      <c r="AQ439" s="5">
        <f>Transaction[[#This Row],[Price]]*Transaction[[#This Row],[Qty]]</f>
        <v>69.56</v>
      </c>
      <c r="AR439" s="5">
        <f>VLOOKUP(Transaction[[#This Row],[Model No.]],$AV$2:$BD$100,7,TRUE)*Transaction[[#This Row],[Qty]]</f>
        <v>6.9560000000000004</v>
      </c>
      <c r="AS439">
        <v>1099</v>
      </c>
      <c r="AT439">
        <v>1020</v>
      </c>
    </row>
    <row r="440" spans="36:46" x14ac:dyDescent="0.3">
      <c r="AJ440">
        <v>16585</v>
      </c>
      <c r="AK440" s="30">
        <v>42200</v>
      </c>
      <c r="AL440" t="s">
        <v>1585</v>
      </c>
      <c r="AM440">
        <v>22</v>
      </c>
      <c r="AN440" t="str">
        <f>VLOOKUP(Transaction[[#This Row],[Model No.]],$AV$2:$BD$100,2,TRUE)</f>
        <v>Efe Raki Black Triple Distilled Liqueur</v>
      </c>
      <c r="AO440" s="21">
        <f>VLOOKUP(Transaction[[#This Row],[Model No.]],$AV$2:$BD$100,6,TRUE)</f>
        <v>25.99</v>
      </c>
      <c r="AP440" s="9">
        <v>4</v>
      </c>
      <c r="AQ440" s="5">
        <f>Transaction[[#This Row],[Price]]*Transaction[[#This Row],[Qty]]</f>
        <v>103.96</v>
      </c>
      <c r="AR440" s="5">
        <f>VLOOKUP(Transaction[[#This Row],[Model No.]],$AV$2:$BD$100,7,TRUE)*Transaction[[#This Row],[Qty]]</f>
        <v>31.187999999999995</v>
      </c>
      <c r="AS440">
        <v>1108</v>
      </c>
      <c r="AT440">
        <v>1002</v>
      </c>
    </row>
    <row r="441" spans="36:46" x14ac:dyDescent="0.3">
      <c r="AJ441">
        <v>28844</v>
      </c>
      <c r="AK441" s="30">
        <v>42200</v>
      </c>
      <c r="AL441" t="s">
        <v>1272</v>
      </c>
      <c r="AM441">
        <v>96</v>
      </c>
      <c r="AN441" t="str">
        <f>VLOOKUP(Transaction[[#This Row],[Model No.]],$AV$2:$BD$100,2,TRUE)</f>
        <v>Arbor Mist Blackberry Merlot</v>
      </c>
      <c r="AO441" s="21">
        <f>VLOOKUP(Transaction[[#This Row],[Model No.]],$AV$2:$BD$100,6,TRUE)</f>
        <v>6.19</v>
      </c>
      <c r="AP441" s="9">
        <v>1</v>
      </c>
      <c r="AQ441" s="5">
        <f>Transaction[[#This Row],[Price]]*Transaction[[#This Row],[Qty]]</f>
        <v>6.19</v>
      </c>
      <c r="AR441" s="5">
        <f>VLOOKUP(Transaction[[#This Row],[Model No.]],$AV$2:$BD$100,7,TRUE)*Transaction[[#This Row],[Qty]]</f>
        <v>0.61900000000000011</v>
      </c>
      <c r="AS441">
        <v>1098</v>
      </c>
      <c r="AT441">
        <v>1016</v>
      </c>
    </row>
    <row r="442" spans="36:46" x14ac:dyDescent="0.3">
      <c r="AJ442">
        <v>60986</v>
      </c>
      <c r="AK442" s="30">
        <v>42202</v>
      </c>
      <c r="AL442" t="s">
        <v>1268</v>
      </c>
      <c r="AM442">
        <v>7</v>
      </c>
      <c r="AN442" t="str">
        <f>VLOOKUP(Transaction[[#This Row],[Model No.]],$AV$2:$BD$100,2,TRUE)</f>
        <v>Glenkinchie Distillers Edition Single Malt Scotch Whisky</v>
      </c>
      <c r="AO442" s="21">
        <f>VLOOKUP(Transaction[[#This Row],[Model No.]],$AV$2:$BD$100,6,TRUE)</f>
        <v>45.99</v>
      </c>
      <c r="AP442" s="9">
        <v>2</v>
      </c>
      <c r="AQ442" s="5">
        <f>Transaction[[#This Row],[Price]]*Transaction[[#This Row],[Qty]]</f>
        <v>91.98</v>
      </c>
      <c r="AR442" s="5">
        <f>VLOOKUP(Transaction[[#This Row],[Model No.]],$AV$2:$BD$100,7,TRUE)*Transaction[[#This Row],[Qty]]</f>
        <v>27.594000000000001</v>
      </c>
      <c r="AS442">
        <v>1108</v>
      </c>
      <c r="AT442">
        <v>1005</v>
      </c>
    </row>
    <row r="443" spans="36:46" x14ac:dyDescent="0.3">
      <c r="AJ443">
        <v>81943</v>
      </c>
      <c r="AK443" s="30">
        <v>42202</v>
      </c>
      <c r="AL443" t="s">
        <v>1050</v>
      </c>
      <c r="AM443">
        <v>62</v>
      </c>
      <c r="AN443" t="str">
        <f>VLOOKUP(Transaction[[#This Row],[Model No.]],$AV$2:$BD$100,2,TRUE)</f>
        <v>Beerlao Dark Lager - 6 Pack</v>
      </c>
      <c r="AO443" s="21">
        <f>VLOOKUP(Transaction[[#This Row],[Model No.]],$AV$2:$BD$100,6,TRUE)</f>
        <v>12.99</v>
      </c>
      <c r="AP443" s="9">
        <v>3</v>
      </c>
      <c r="AQ443" s="5">
        <f>Transaction[[#This Row],[Price]]*Transaction[[#This Row],[Qty]]</f>
        <v>38.97</v>
      </c>
      <c r="AR443" s="5">
        <f>VLOOKUP(Transaction[[#This Row],[Model No.]],$AV$2:$BD$100,7,TRUE)*Transaction[[#This Row],[Qty]]</f>
        <v>11.690999999999999</v>
      </c>
      <c r="AS443">
        <v>1102</v>
      </c>
      <c r="AT443">
        <v>1013</v>
      </c>
    </row>
    <row r="444" spans="36:46" x14ac:dyDescent="0.3">
      <c r="AJ444">
        <v>53060</v>
      </c>
      <c r="AK444" s="30">
        <v>42202</v>
      </c>
      <c r="AL444" t="s">
        <v>495</v>
      </c>
      <c r="AM444">
        <v>64</v>
      </c>
      <c r="AN444" t="str">
        <f>VLOOKUP(Transaction[[#This Row],[Model No.]],$AV$2:$BD$100,2,TRUE)</f>
        <v>Maui Brewing Big Swell IPA - 6 Pack</v>
      </c>
      <c r="AO444" s="21">
        <f>VLOOKUP(Transaction[[#This Row],[Model No.]],$AV$2:$BD$100,6,TRUE)</f>
        <v>12.99</v>
      </c>
      <c r="AP444" s="9">
        <v>3</v>
      </c>
      <c r="AQ444" s="5">
        <f>Transaction[[#This Row],[Price]]*Transaction[[#This Row],[Qty]]</f>
        <v>38.97</v>
      </c>
      <c r="AR444" s="5">
        <f>VLOOKUP(Transaction[[#This Row],[Model No.]],$AV$2:$BD$100,7,TRUE)*Transaction[[#This Row],[Qty]]</f>
        <v>11.690999999999999</v>
      </c>
      <c r="AS444">
        <v>1107</v>
      </c>
      <c r="AT444">
        <v>1018</v>
      </c>
    </row>
    <row r="445" spans="36:46" x14ac:dyDescent="0.3">
      <c r="AJ445">
        <v>76341</v>
      </c>
      <c r="AK445" s="30">
        <v>42203</v>
      </c>
      <c r="AL445" t="s">
        <v>1142</v>
      </c>
      <c r="AM445">
        <v>12</v>
      </c>
      <c r="AN445" t="str">
        <f>VLOOKUP(Transaction[[#This Row],[Model No.]],$AV$2:$BD$100,2,TRUE)</f>
        <v>Cuvaison Pinot Noir</v>
      </c>
      <c r="AO445" s="21">
        <f>VLOOKUP(Transaction[[#This Row],[Model No.]],$AV$2:$BD$100,6,TRUE)</f>
        <v>36.99</v>
      </c>
      <c r="AP445" s="9">
        <v>1</v>
      </c>
      <c r="AQ445" s="5">
        <f>Transaction[[#This Row],[Price]]*Transaction[[#This Row],[Qty]]</f>
        <v>36.99</v>
      </c>
      <c r="AR445" s="5">
        <f>VLOOKUP(Transaction[[#This Row],[Model No.]],$AV$2:$BD$100,7,TRUE)*Transaction[[#This Row],[Qty]]</f>
        <v>3.6990000000000003</v>
      </c>
      <c r="AS445">
        <v>1105</v>
      </c>
      <c r="AT445">
        <v>1015</v>
      </c>
    </row>
    <row r="446" spans="36:46" x14ac:dyDescent="0.3">
      <c r="AJ446">
        <v>41337</v>
      </c>
      <c r="AK446" s="30">
        <v>42203</v>
      </c>
      <c r="AL446" t="s">
        <v>1547</v>
      </c>
      <c r="AM446">
        <v>96</v>
      </c>
      <c r="AN446" t="str">
        <f>VLOOKUP(Transaction[[#This Row],[Model No.]],$AV$2:$BD$100,2,TRUE)</f>
        <v>Arbor Mist Blackberry Merlot</v>
      </c>
      <c r="AO446" s="21">
        <f>VLOOKUP(Transaction[[#This Row],[Model No.]],$AV$2:$BD$100,6,TRUE)</f>
        <v>6.19</v>
      </c>
      <c r="AP446" s="9">
        <v>1</v>
      </c>
      <c r="AQ446" s="5">
        <f>Transaction[[#This Row],[Price]]*Transaction[[#This Row],[Qty]]</f>
        <v>6.19</v>
      </c>
      <c r="AR446" s="5">
        <f>VLOOKUP(Transaction[[#This Row],[Model No.]],$AV$2:$BD$100,7,TRUE)*Transaction[[#This Row],[Qty]]</f>
        <v>0.61900000000000011</v>
      </c>
      <c r="AS446">
        <v>1104</v>
      </c>
      <c r="AT446">
        <v>1007</v>
      </c>
    </row>
    <row r="447" spans="36:46" x14ac:dyDescent="0.3">
      <c r="AJ447">
        <v>70422</v>
      </c>
      <c r="AK447" s="30">
        <v>42203</v>
      </c>
      <c r="AL447" t="s">
        <v>1098</v>
      </c>
      <c r="AM447">
        <v>98</v>
      </c>
      <c r="AN447" t="str">
        <f>VLOOKUP(Transaction[[#This Row],[Model No.]],$AV$2:$BD$100,2,TRUE)</f>
        <v>Wychwood Hobgoblin</v>
      </c>
      <c r="AO447" s="21">
        <f>VLOOKUP(Transaction[[#This Row],[Model No.]],$AV$2:$BD$100,6,TRUE)</f>
        <v>5.99</v>
      </c>
      <c r="AP447" s="9">
        <v>3</v>
      </c>
      <c r="AQ447" s="5">
        <f>Transaction[[#This Row],[Price]]*Transaction[[#This Row],[Qty]]</f>
        <v>17.97</v>
      </c>
      <c r="AR447" s="5">
        <f>VLOOKUP(Transaction[[#This Row],[Model No.]],$AV$2:$BD$100,7,TRUE)*Transaction[[#This Row],[Qty]]</f>
        <v>5.391</v>
      </c>
      <c r="AS447">
        <v>1107</v>
      </c>
      <c r="AT447">
        <v>1005</v>
      </c>
    </row>
    <row r="448" spans="36:46" x14ac:dyDescent="0.3">
      <c r="AJ448">
        <v>21858</v>
      </c>
      <c r="AK448" s="30">
        <v>42204</v>
      </c>
      <c r="AL448" t="s">
        <v>1891</v>
      </c>
      <c r="AM448">
        <v>65</v>
      </c>
      <c r="AN448" t="str">
        <f>VLOOKUP(Transaction[[#This Row],[Model No.]],$AV$2:$BD$100,2,TRUE)</f>
        <v>Shipyard Summer Ale - 6 Pack</v>
      </c>
      <c r="AO448" s="21">
        <f>VLOOKUP(Transaction[[#This Row],[Model No.]],$AV$2:$BD$100,6,TRUE)</f>
        <v>12.99</v>
      </c>
      <c r="AP448" s="9">
        <v>3</v>
      </c>
      <c r="AQ448" s="5">
        <f>Transaction[[#This Row],[Price]]*Transaction[[#This Row],[Qty]]</f>
        <v>38.97</v>
      </c>
      <c r="AR448" s="5">
        <f>VLOOKUP(Transaction[[#This Row],[Model No.]],$AV$2:$BD$100,7,TRUE)*Transaction[[#This Row],[Qty]]</f>
        <v>11.690999999999999</v>
      </c>
      <c r="AS448">
        <v>1102</v>
      </c>
      <c r="AT448">
        <v>1002</v>
      </c>
    </row>
    <row r="449" spans="36:46" x14ac:dyDescent="0.3">
      <c r="AJ449">
        <v>26103</v>
      </c>
      <c r="AK449" s="30">
        <v>42205</v>
      </c>
      <c r="AL449" t="s">
        <v>1610</v>
      </c>
      <c r="AM449">
        <v>77</v>
      </c>
      <c r="AN449" t="str">
        <f>VLOOKUP(Transaction[[#This Row],[Model No.]],$AV$2:$BD$100,2,TRUE)</f>
        <v>LA CHASSE PRETIGE CDR</v>
      </c>
      <c r="AO449" s="21">
        <f>VLOOKUP(Transaction[[#This Row],[Model No.]],$AV$2:$BD$100,6,TRUE)</f>
        <v>11.99</v>
      </c>
      <c r="AP449" s="9">
        <v>3</v>
      </c>
      <c r="AQ449" s="5">
        <f>Transaction[[#This Row],[Price]]*Transaction[[#This Row],[Qty]]</f>
        <v>35.97</v>
      </c>
      <c r="AR449" s="5">
        <f>VLOOKUP(Transaction[[#This Row],[Model No.]],$AV$2:$BD$100,7,TRUE)*Transaction[[#This Row],[Qty]]</f>
        <v>14.388000000000002</v>
      </c>
      <c r="AS449">
        <v>1108</v>
      </c>
      <c r="AT449">
        <v>1001</v>
      </c>
    </row>
    <row r="450" spans="36:46" x14ac:dyDescent="0.3">
      <c r="AJ450">
        <v>19575</v>
      </c>
      <c r="AK450" s="30">
        <v>42206</v>
      </c>
      <c r="AL450" t="s">
        <v>1701</v>
      </c>
      <c r="AM450">
        <v>48</v>
      </c>
      <c r="AN450" t="str">
        <f>VLOOKUP(Transaction[[#This Row],[Model No.]],$AV$2:$BD$100,2,TRUE)</f>
        <v>CH TOUR D'AURON</v>
      </c>
      <c r="AO450" s="21">
        <f>VLOOKUP(Transaction[[#This Row],[Model No.]],$AV$2:$BD$100,6,TRUE)</f>
        <v>15.99</v>
      </c>
      <c r="AP450" s="9">
        <v>2</v>
      </c>
      <c r="AQ450" s="5">
        <f>Transaction[[#This Row],[Price]]*Transaction[[#This Row],[Qty]]</f>
        <v>31.98</v>
      </c>
      <c r="AR450" s="5">
        <f>VLOOKUP(Transaction[[#This Row],[Model No.]],$AV$2:$BD$100,7,TRUE)*Transaction[[#This Row],[Qty]]</f>
        <v>12.792000000000002</v>
      </c>
      <c r="AS450">
        <v>1105</v>
      </c>
      <c r="AT450">
        <v>1011</v>
      </c>
    </row>
    <row r="451" spans="36:46" x14ac:dyDescent="0.3">
      <c r="AJ451">
        <v>66830</v>
      </c>
      <c r="AK451" s="30">
        <v>42207</v>
      </c>
      <c r="AL451" t="s">
        <v>1402</v>
      </c>
      <c r="AM451">
        <v>82</v>
      </c>
      <c r="AN451" t="str">
        <f>VLOOKUP(Transaction[[#This Row],[Model No.]],$AV$2:$BD$100,2,TRUE)</f>
        <v>PInnacle Chocolate Whipped Vodka</v>
      </c>
      <c r="AO451" s="21">
        <f>VLOOKUP(Transaction[[#This Row],[Model No.]],$AV$2:$BD$100,6,TRUE)</f>
        <v>10.99</v>
      </c>
      <c r="AP451" s="9">
        <v>4</v>
      </c>
      <c r="AQ451" s="5">
        <f>Transaction[[#This Row],[Price]]*Transaction[[#This Row],[Qty]]</f>
        <v>43.96</v>
      </c>
      <c r="AR451" s="5">
        <f>VLOOKUP(Transaction[[#This Row],[Model No.]],$AV$2:$BD$100,7,TRUE)*Transaction[[#This Row],[Qty]]</f>
        <v>13.188000000000001</v>
      </c>
      <c r="AS451">
        <v>1105</v>
      </c>
      <c r="AT451">
        <v>1012</v>
      </c>
    </row>
    <row r="452" spans="36:46" x14ac:dyDescent="0.3">
      <c r="AJ452">
        <v>75653</v>
      </c>
      <c r="AK452" s="30">
        <v>42208</v>
      </c>
      <c r="AL452" t="s">
        <v>1485</v>
      </c>
      <c r="AM452">
        <v>64</v>
      </c>
      <c r="AN452" t="str">
        <f>VLOOKUP(Transaction[[#This Row],[Model No.]],$AV$2:$BD$100,2,TRUE)</f>
        <v>Maui Brewing Big Swell IPA - 6 Pack</v>
      </c>
      <c r="AO452" s="21">
        <f>VLOOKUP(Transaction[[#This Row],[Model No.]],$AV$2:$BD$100,6,TRUE)</f>
        <v>12.99</v>
      </c>
      <c r="AP452" s="9">
        <v>5</v>
      </c>
      <c r="AQ452" s="5">
        <f>Transaction[[#This Row],[Price]]*Transaction[[#This Row],[Qty]]</f>
        <v>64.95</v>
      </c>
      <c r="AR452" s="5">
        <f>VLOOKUP(Transaction[[#This Row],[Model No.]],$AV$2:$BD$100,7,TRUE)*Transaction[[#This Row],[Qty]]</f>
        <v>19.484999999999999</v>
      </c>
      <c r="AS452">
        <v>1098</v>
      </c>
      <c r="AT452">
        <v>1010</v>
      </c>
    </row>
    <row r="453" spans="36:46" x14ac:dyDescent="0.3">
      <c r="AJ453">
        <v>97347</v>
      </c>
      <c r="AK453" s="30">
        <v>42208</v>
      </c>
      <c r="AL453" t="s">
        <v>1836</v>
      </c>
      <c r="AM453">
        <v>96</v>
      </c>
      <c r="AN453" t="str">
        <f>VLOOKUP(Transaction[[#This Row],[Model No.]],$AV$2:$BD$100,2,TRUE)</f>
        <v>Arbor Mist Blackberry Merlot</v>
      </c>
      <c r="AO453" s="21">
        <f>VLOOKUP(Transaction[[#This Row],[Model No.]],$AV$2:$BD$100,6,TRUE)</f>
        <v>6.19</v>
      </c>
      <c r="AP453" s="9">
        <v>1</v>
      </c>
      <c r="AQ453" s="5">
        <f>Transaction[[#This Row],[Price]]*Transaction[[#This Row],[Qty]]</f>
        <v>6.19</v>
      </c>
      <c r="AR453" s="5">
        <f>VLOOKUP(Transaction[[#This Row],[Model No.]],$AV$2:$BD$100,7,TRUE)*Transaction[[#This Row],[Qty]]</f>
        <v>0.61900000000000011</v>
      </c>
      <c r="AS453">
        <v>1101</v>
      </c>
      <c r="AT453">
        <v>1004</v>
      </c>
    </row>
    <row r="454" spans="36:46" x14ac:dyDescent="0.3">
      <c r="AJ454">
        <v>71193</v>
      </c>
      <c r="AK454" s="30">
        <v>42210</v>
      </c>
      <c r="AL454" t="s">
        <v>1860</v>
      </c>
      <c r="AM454">
        <v>50</v>
      </c>
      <c r="AN454" t="str">
        <f>VLOOKUP(Transaction[[#This Row],[Model No.]],$AV$2:$BD$100,2,TRUE)</f>
        <v>CLOS DU BOIS ROSE</v>
      </c>
      <c r="AO454" s="21">
        <f>VLOOKUP(Transaction[[#This Row],[Model No.]],$AV$2:$BD$100,6,TRUE)</f>
        <v>14.99</v>
      </c>
      <c r="AP454" s="9">
        <v>4</v>
      </c>
      <c r="AQ454" s="5">
        <f>Transaction[[#This Row],[Price]]*Transaction[[#This Row],[Qty]]</f>
        <v>59.96</v>
      </c>
      <c r="AR454" s="5">
        <f>VLOOKUP(Transaction[[#This Row],[Model No.]],$AV$2:$BD$100,7,TRUE)*Transaction[[#This Row],[Qty]]</f>
        <v>23.984000000000002</v>
      </c>
      <c r="AS454">
        <v>1105</v>
      </c>
      <c r="AT454">
        <v>1017</v>
      </c>
    </row>
    <row r="455" spans="36:46" x14ac:dyDescent="0.3">
      <c r="AJ455">
        <v>63733</v>
      </c>
      <c r="AK455" s="30">
        <v>42212</v>
      </c>
      <c r="AL455" t="s">
        <v>1100</v>
      </c>
      <c r="AM455">
        <v>35</v>
      </c>
      <c r="AN455" t="str">
        <f>VLOOKUP(Transaction[[#This Row],[Model No.]],$AV$2:$BD$100,2,TRUE)</f>
        <v>Troegenator Double Bock Can - 12 Pack</v>
      </c>
      <c r="AO455" s="21">
        <f>VLOOKUP(Transaction[[#This Row],[Model No.]],$AV$2:$BD$100,6,TRUE)</f>
        <v>20.99</v>
      </c>
      <c r="AP455" s="9">
        <v>3</v>
      </c>
      <c r="AQ455" s="5">
        <f>Transaction[[#This Row],[Price]]*Transaction[[#This Row],[Qty]]</f>
        <v>62.97</v>
      </c>
      <c r="AR455" s="5">
        <f>VLOOKUP(Transaction[[#This Row],[Model No.]],$AV$2:$BD$100,7,TRUE)*Transaction[[#This Row],[Qty]]</f>
        <v>18.890999999999998</v>
      </c>
      <c r="AS455">
        <v>1101</v>
      </c>
      <c r="AT455">
        <v>1011</v>
      </c>
    </row>
    <row r="456" spans="36:46" x14ac:dyDescent="0.3">
      <c r="AJ456">
        <v>38580</v>
      </c>
      <c r="AK456" s="30">
        <v>42213</v>
      </c>
      <c r="AL456" t="s">
        <v>1185</v>
      </c>
      <c r="AM456">
        <v>90</v>
      </c>
      <c r="AN456" t="str">
        <f>VLOOKUP(Transaction[[#This Row],[Model No.]],$AV$2:$BD$100,2,TRUE)</f>
        <v>Carlo Rossi Moscato Sangria Muscat Blanc a Petits Grains</v>
      </c>
      <c r="AO456" s="21">
        <f>VLOOKUP(Transaction[[#This Row],[Model No.]],$AV$2:$BD$100,6,TRUE)</f>
        <v>7.99</v>
      </c>
      <c r="AP456" s="9">
        <v>2</v>
      </c>
      <c r="AQ456" s="5">
        <f>Transaction[[#This Row],[Price]]*Transaction[[#This Row],[Qty]]</f>
        <v>15.98</v>
      </c>
      <c r="AR456" s="5">
        <f>VLOOKUP(Transaction[[#This Row],[Model No.]],$AV$2:$BD$100,7,TRUE)*Transaction[[#This Row],[Qty]]</f>
        <v>3.1960000000000002</v>
      </c>
      <c r="AS456">
        <v>1098</v>
      </c>
      <c r="AT456">
        <v>1002</v>
      </c>
    </row>
    <row r="457" spans="36:46" x14ac:dyDescent="0.3">
      <c r="AJ457">
        <v>19956</v>
      </c>
      <c r="AK457" s="30">
        <v>42214</v>
      </c>
      <c r="AL457" t="s">
        <v>1044</v>
      </c>
      <c r="AM457">
        <v>58</v>
      </c>
      <c r="AN457" t="str">
        <f>VLOOKUP(Transaction[[#This Row],[Model No.]],$AV$2:$BD$100,2,TRUE)</f>
        <v>Smirnoff Mango Vodka</v>
      </c>
      <c r="AO457" s="21">
        <f>VLOOKUP(Transaction[[#This Row],[Model No.]],$AV$2:$BD$100,6,TRUE)</f>
        <v>13.49</v>
      </c>
      <c r="AP457" s="9">
        <v>1</v>
      </c>
      <c r="AQ457" s="5">
        <f>Transaction[[#This Row],[Price]]*Transaction[[#This Row],[Qty]]</f>
        <v>13.49</v>
      </c>
      <c r="AR457" s="5">
        <f>VLOOKUP(Transaction[[#This Row],[Model No.]],$AV$2:$BD$100,7,TRUE)*Transaction[[#This Row],[Qty]]</f>
        <v>4.0469999999999997</v>
      </c>
      <c r="AS457">
        <v>1102</v>
      </c>
      <c r="AT457">
        <v>1020</v>
      </c>
    </row>
    <row r="458" spans="36:46" x14ac:dyDescent="0.3">
      <c r="AJ458">
        <v>82982</v>
      </c>
      <c r="AK458" s="30">
        <v>42218</v>
      </c>
      <c r="AL458" t="s">
        <v>786</v>
      </c>
      <c r="AM458">
        <v>66</v>
      </c>
      <c r="AN458" t="str">
        <f>VLOOKUP(Transaction[[#This Row],[Model No.]],$AV$2:$BD$100,2,TRUE)</f>
        <v>Red Horse Beer - 6 Pack</v>
      </c>
      <c r="AO458" s="21">
        <f>VLOOKUP(Transaction[[#This Row],[Model No.]],$AV$2:$BD$100,6,TRUE)</f>
        <v>12.99</v>
      </c>
      <c r="AP458" s="9">
        <v>4</v>
      </c>
      <c r="AQ458" s="5">
        <f>Transaction[[#This Row],[Price]]*Transaction[[#This Row],[Qty]]</f>
        <v>51.96</v>
      </c>
      <c r="AR458" s="5">
        <f>VLOOKUP(Transaction[[#This Row],[Model No.]],$AV$2:$BD$100,7,TRUE)*Transaction[[#This Row],[Qty]]</f>
        <v>15.587999999999999</v>
      </c>
      <c r="AS458">
        <v>1103</v>
      </c>
      <c r="AT458">
        <v>1013</v>
      </c>
    </row>
    <row r="459" spans="36:46" x14ac:dyDescent="0.3">
      <c r="AJ459">
        <v>81340</v>
      </c>
      <c r="AK459" s="30">
        <v>42218</v>
      </c>
      <c r="AL459" t="s">
        <v>1400</v>
      </c>
      <c r="AM459">
        <v>86</v>
      </c>
      <c r="AN459" t="str">
        <f>VLOOKUP(Transaction[[#This Row],[Model No.]],$AV$2:$BD$100,2,TRUE)</f>
        <v>Bully Hill Vineyards Love My Goat Baco Noir</v>
      </c>
      <c r="AO459" s="21">
        <f>VLOOKUP(Transaction[[#This Row],[Model No.]],$AV$2:$BD$100,6,TRUE)</f>
        <v>9.49</v>
      </c>
      <c r="AP459" s="9">
        <v>5</v>
      </c>
      <c r="AQ459" s="5">
        <f>Transaction[[#This Row],[Price]]*Transaction[[#This Row],[Qty]]</f>
        <v>47.45</v>
      </c>
      <c r="AR459" s="5">
        <f>VLOOKUP(Transaction[[#This Row],[Model No.]],$AV$2:$BD$100,7,TRUE)*Transaction[[#This Row],[Qty]]</f>
        <v>4.7450000000000001</v>
      </c>
      <c r="AS459">
        <v>1104</v>
      </c>
      <c r="AT459">
        <v>1000</v>
      </c>
    </row>
    <row r="460" spans="36:46" x14ac:dyDescent="0.3">
      <c r="AJ460">
        <v>86666</v>
      </c>
      <c r="AK460" s="30">
        <v>42219</v>
      </c>
      <c r="AL460" t="s">
        <v>406</v>
      </c>
      <c r="AM460">
        <v>15</v>
      </c>
      <c r="AN460" t="str">
        <f>VLOOKUP(Transaction[[#This Row],[Model No.]],$AV$2:$BD$100,2,TRUE)</f>
        <v>Wild Turkey 101 Kentucky Straight Bourbon Whiskey</v>
      </c>
      <c r="AO460" s="21">
        <f>VLOOKUP(Transaction[[#This Row],[Model No.]],$AV$2:$BD$100,6,TRUE)</f>
        <v>32.99</v>
      </c>
      <c r="AP460" s="9">
        <v>5</v>
      </c>
      <c r="AQ460" s="5">
        <f>Transaction[[#This Row],[Price]]*Transaction[[#This Row],[Qty]]</f>
        <v>164.95000000000002</v>
      </c>
      <c r="AR460" s="5">
        <f>VLOOKUP(Transaction[[#This Row],[Model No.]],$AV$2:$BD$100,7,TRUE)*Transaction[[#This Row],[Qty]]</f>
        <v>32.99</v>
      </c>
      <c r="AS460">
        <v>1106</v>
      </c>
      <c r="AT460">
        <v>1011</v>
      </c>
    </row>
    <row r="461" spans="36:46" x14ac:dyDescent="0.3">
      <c r="AJ461">
        <v>42206</v>
      </c>
      <c r="AK461" s="30">
        <v>42219</v>
      </c>
      <c r="AL461" t="s">
        <v>612</v>
      </c>
      <c r="AM461">
        <v>22</v>
      </c>
      <c r="AN461" t="str">
        <f>VLOOKUP(Transaction[[#This Row],[Model No.]],$AV$2:$BD$100,2,TRUE)</f>
        <v>Efe Raki Black Triple Distilled Liqueur</v>
      </c>
      <c r="AO461" s="21">
        <f>VLOOKUP(Transaction[[#This Row],[Model No.]],$AV$2:$BD$100,6,TRUE)</f>
        <v>25.99</v>
      </c>
      <c r="AP461" s="9">
        <v>4</v>
      </c>
      <c r="AQ461" s="5">
        <f>Transaction[[#This Row],[Price]]*Transaction[[#This Row],[Qty]]</f>
        <v>103.96</v>
      </c>
      <c r="AR461" s="5">
        <f>VLOOKUP(Transaction[[#This Row],[Model No.]],$AV$2:$BD$100,7,TRUE)*Transaction[[#This Row],[Qty]]</f>
        <v>31.187999999999995</v>
      </c>
      <c r="AS461">
        <v>1108</v>
      </c>
      <c r="AT461">
        <v>1014</v>
      </c>
    </row>
    <row r="462" spans="36:46" x14ac:dyDescent="0.3">
      <c r="AJ462">
        <v>78849</v>
      </c>
      <c r="AK462" s="30">
        <v>42222</v>
      </c>
      <c r="AL462" t="s">
        <v>1869</v>
      </c>
      <c r="AM462">
        <v>19</v>
      </c>
      <c r="AN462" t="str">
        <f>VLOOKUP(Transaction[[#This Row],[Model No.]],$AV$2:$BD$100,2,TRUE)</f>
        <v>District Made Vodka</v>
      </c>
      <c r="AO462" s="21">
        <f>VLOOKUP(Transaction[[#This Row],[Model No.]],$AV$2:$BD$100,6,TRUE)</f>
        <v>29.99</v>
      </c>
      <c r="AP462" s="9">
        <v>4</v>
      </c>
      <c r="AQ462" s="5">
        <f>Transaction[[#This Row],[Price]]*Transaction[[#This Row],[Qty]]</f>
        <v>119.96</v>
      </c>
      <c r="AR462" s="5">
        <f>VLOOKUP(Transaction[[#This Row],[Model No.]],$AV$2:$BD$100,7,TRUE)*Transaction[[#This Row],[Qty]]</f>
        <v>35.988</v>
      </c>
      <c r="AS462">
        <v>1106</v>
      </c>
      <c r="AT462">
        <v>1016</v>
      </c>
    </row>
    <row r="463" spans="36:46" x14ac:dyDescent="0.3">
      <c r="AJ463">
        <v>20552</v>
      </c>
      <c r="AK463" s="30">
        <v>42222</v>
      </c>
      <c r="AL463" t="s">
        <v>722</v>
      </c>
      <c r="AM463">
        <v>71</v>
      </c>
      <c r="AN463" t="str">
        <f>VLOOKUP(Transaction[[#This Row],[Model No.]],$AV$2:$BD$100,2,TRUE)</f>
        <v>Flo Merlot</v>
      </c>
      <c r="AO463" s="21">
        <f>VLOOKUP(Transaction[[#This Row],[Model No.]],$AV$2:$BD$100,6,TRUE)</f>
        <v>12.49</v>
      </c>
      <c r="AP463" s="9">
        <v>3</v>
      </c>
      <c r="AQ463" s="5">
        <f>Transaction[[#This Row],[Price]]*Transaction[[#This Row],[Qty]]</f>
        <v>37.47</v>
      </c>
      <c r="AR463" s="5">
        <f>VLOOKUP(Transaction[[#This Row],[Model No.]],$AV$2:$BD$100,7,TRUE)*Transaction[[#This Row],[Qty]]</f>
        <v>3.7470000000000003</v>
      </c>
      <c r="AS463">
        <v>1104</v>
      </c>
      <c r="AT463">
        <v>1015</v>
      </c>
    </row>
    <row r="464" spans="36:46" x14ac:dyDescent="0.3">
      <c r="AJ464">
        <v>17439</v>
      </c>
      <c r="AK464" s="30">
        <v>42223</v>
      </c>
      <c r="AL464" t="s">
        <v>475</v>
      </c>
      <c r="AM464">
        <v>59</v>
      </c>
      <c r="AN464" t="str">
        <f>VLOOKUP(Transaction[[#This Row],[Model No.]],$AV$2:$BD$100,2,TRUE)</f>
        <v>Smirnoff Kissed Caramel Vodka</v>
      </c>
      <c r="AO464" s="21">
        <f>VLOOKUP(Transaction[[#This Row],[Model No.]],$AV$2:$BD$100,6,TRUE)</f>
        <v>13.49</v>
      </c>
      <c r="AP464" s="9">
        <v>2</v>
      </c>
      <c r="AQ464" s="5">
        <f>Transaction[[#This Row],[Price]]*Transaction[[#This Row],[Qty]]</f>
        <v>26.98</v>
      </c>
      <c r="AR464" s="5">
        <f>VLOOKUP(Transaction[[#This Row],[Model No.]],$AV$2:$BD$100,7,TRUE)*Transaction[[#This Row],[Qty]]</f>
        <v>8.0939999999999994</v>
      </c>
      <c r="AS464">
        <v>1099</v>
      </c>
      <c r="AT464">
        <v>1004</v>
      </c>
    </row>
    <row r="465" spans="36:46" x14ac:dyDescent="0.3">
      <c r="AJ465">
        <v>97719</v>
      </c>
      <c r="AK465" s="30">
        <v>42224</v>
      </c>
      <c r="AL465" t="s">
        <v>1264</v>
      </c>
      <c r="AM465">
        <v>56</v>
      </c>
      <c r="AN465" t="str">
        <f>VLOOKUP(Transaction[[#This Row],[Model No.]],$AV$2:$BD$100,2,TRUE)</f>
        <v>Roy Pitz Sour Hound - 6 Pack</v>
      </c>
      <c r="AO465" s="21">
        <f>VLOOKUP(Transaction[[#This Row],[Model No.]],$AV$2:$BD$100,6,TRUE)</f>
        <v>13.99</v>
      </c>
      <c r="AP465" s="9">
        <v>5</v>
      </c>
      <c r="AQ465" s="5">
        <f>Transaction[[#This Row],[Price]]*Transaction[[#This Row],[Qty]]</f>
        <v>69.95</v>
      </c>
      <c r="AR465" s="5">
        <f>VLOOKUP(Transaction[[#This Row],[Model No.]],$AV$2:$BD$100,7,TRUE)*Transaction[[#This Row],[Qty]]</f>
        <v>20.984999999999999</v>
      </c>
      <c r="AS465">
        <v>1102</v>
      </c>
      <c r="AT465">
        <v>1021</v>
      </c>
    </row>
    <row r="466" spans="36:46" x14ac:dyDescent="0.3">
      <c r="AJ466">
        <v>19562</v>
      </c>
      <c r="AK466" s="30">
        <v>42225</v>
      </c>
      <c r="AL466" t="s">
        <v>1732</v>
      </c>
      <c r="AM466">
        <v>84</v>
      </c>
      <c r="AN466" t="str">
        <f>VLOOKUP(Transaction[[#This Row],[Model No.]],$AV$2:$BD$100,2,TRUE)</f>
        <v>UV Blue Raspberry Vodka</v>
      </c>
      <c r="AO466" s="21">
        <f>VLOOKUP(Transaction[[#This Row],[Model No.]],$AV$2:$BD$100,6,TRUE)</f>
        <v>10.49</v>
      </c>
      <c r="AP466" s="9">
        <v>1</v>
      </c>
      <c r="AQ466" s="5">
        <f>Transaction[[#This Row],[Price]]*Transaction[[#This Row],[Qty]]</f>
        <v>10.49</v>
      </c>
      <c r="AR466" s="5">
        <f>VLOOKUP(Transaction[[#This Row],[Model No.]],$AV$2:$BD$100,7,TRUE)*Transaction[[#This Row],[Qty]]</f>
        <v>3.1469999999999998</v>
      </c>
      <c r="AS466">
        <v>1106</v>
      </c>
      <c r="AT466">
        <v>1015</v>
      </c>
    </row>
    <row r="467" spans="36:46" x14ac:dyDescent="0.3">
      <c r="AJ467">
        <v>84790</v>
      </c>
      <c r="AK467" s="30">
        <v>42226</v>
      </c>
      <c r="AL467" t="s">
        <v>1062</v>
      </c>
      <c r="AM467">
        <v>64</v>
      </c>
      <c r="AN467" t="str">
        <f>VLOOKUP(Transaction[[#This Row],[Model No.]],$AV$2:$BD$100,2,TRUE)</f>
        <v>Maui Brewing Big Swell IPA - 6 Pack</v>
      </c>
      <c r="AO467" s="21">
        <f>VLOOKUP(Transaction[[#This Row],[Model No.]],$AV$2:$BD$100,6,TRUE)</f>
        <v>12.99</v>
      </c>
      <c r="AP467" s="9">
        <v>2</v>
      </c>
      <c r="AQ467" s="5">
        <f>Transaction[[#This Row],[Price]]*Transaction[[#This Row],[Qty]]</f>
        <v>25.98</v>
      </c>
      <c r="AR467" s="5">
        <f>VLOOKUP(Transaction[[#This Row],[Model No.]],$AV$2:$BD$100,7,TRUE)*Transaction[[#This Row],[Qty]]</f>
        <v>7.7939999999999996</v>
      </c>
      <c r="AS467">
        <v>1100</v>
      </c>
      <c r="AT467">
        <v>1019</v>
      </c>
    </row>
    <row r="468" spans="36:46" x14ac:dyDescent="0.3">
      <c r="AJ468">
        <v>66539</v>
      </c>
      <c r="AK468" s="30">
        <v>42228</v>
      </c>
      <c r="AL468" t="s">
        <v>1058</v>
      </c>
      <c r="AM468">
        <v>9</v>
      </c>
      <c r="AN468" t="str">
        <f>VLOOKUP(Transaction[[#This Row],[Model No.]],$AV$2:$BD$100,2,TRUE)</f>
        <v>Ass Kisser Double IPA - 12 Pack</v>
      </c>
      <c r="AO468" s="21">
        <f>VLOOKUP(Transaction[[#This Row],[Model No.]],$AV$2:$BD$100,6,TRUE)</f>
        <v>43.99</v>
      </c>
      <c r="AP468" s="9">
        <v>5</v>
      </c>
      <c r="AQ468" s="5">
        <f>Transaction[[#This Row],[Price]]*Transaction[[#This Row],[Qty]]</f>
        <v>219.95000000000002</v>
      </c>
      <c r="AR468" s="5">
        <f>VLOOKUP(Transaction[[#This Row],[Model No.]],$AV$2:$BD$100,7,TRUE)*Transaction[[#This Row],[Qty]]</f>
        <v>65.984999999999999</v>
      </c>
      <c r="AS468">
        <v>1103</v>
      </c>
      <c r="AT468">
        <v>1021</v>
      </c>
    </row>
    <row r="469" spans="36:46" x14ac:dyDescent="0.3">
      <c r="AJ469">
        <v>29384</v>
      </c>
      <c r="AK469" s="30">
        <v>42228</v>
      </c>
      <c r="AL469" t="s">
        <v>350</v>
      </c>
      <c r="AM469">
        <v>68</v>
      </c>
      <c r="AN469" t="str">
        <f>VLOOKUP(Transaction[[#This Row],[Model No.]],$AV$2:$BD$100,2,TRUE)</f>
        <v>Conti Beretta Estate Bottled Friuli Grave Pinot Grigio</v>
      </c>
      <c r="AO469" s="21">
        <f>VLOOKUP(Transaction[[#This Row],[Model No.]],$AV$2:$BD$100,6,TRUE)</f>
        <v>12.99</v>
      </c>
      <c r="AP469" s="9">
        <v>3</v>
      </c>
      <c r="AQ469" s="5">
        <f>Transaction[[#This Row],[Price]]*Transaction[[#This Row],[Qty]]</f>
        <v>38.97</v>
      </c>
      <c r="AR469" s="5">
        <f>VLOOKUP(Transaction[[#This Row],[Model No.]],$AV$2:$BD$100,7,TRUE)*Transaction[[#This Row],[Qty]]</f>
        <v>3.8970000000000002</v>
      </c>
      <c r="AS469">
        <v>1107</v>
      </c>
      <c r="AT469">
        <v>1015</v>
      </c>
    </row>
    <row r="470" spans="36:46" x14ac:dyDescent="0.3">
      <c r="AJ470">
        <v>40772</v>
      </c>
      <c r="AK470" s="30">
        <v>42228</v>
      </c>
      <c r="AL470" t="s">
        <v>1465</v>
      </c>
      <c r="AM470">
        <v>61</v>
      </c>
      <c r="AN470" t="str">
        <f>VLOOKUP(Transaction[[#This Row],[Model No.]],$AV$2:$BD$100,2,TRUE)</f>
        <v>He'Brew Genesis Dry Hopped Session Ale - 6 Pack</v>
      </c>
      <c r="AO470" s="21">
        <f>VLOOKUP(Transaction[[#This Row],[Model No.]],$AV$2:$BD$100,6,TRUE)</f>
        <v>12.99</v>
      </c>
      <c r="AP470" s="9">
        <v>5</v>
      </c>
      <c r="AQ470" s="5">
        <f>Transaction[[#This Row],[Price]]*Transaction[[#This Row],[Qty]]</f>
        <v>64.95</v>
      </c>
      <c r="AR470" s="5">
        <f>VLOOKUP(Transaction[[#This Row],[Model No.]],$AV$2:$BD$100,7,TRUE)*Transaction[[#This Row],[Qty]]</f>
        <v>19.484999999999999</v>
      </c>
      <c r="AS470">
        <v>1105</v>
      </c>
      <c r="AT470">
        <v>1014</v>
      </c>
    </row>
    <row r="471" spans="36:46" x14ac:dyDescent="0.3">
      <c r="AJ471">
        <v>44545</v>
      </c>
      <c r="AK471" s="30">
        <v>42232</v>
      </c>
      <c r="AL471" t="s">
        <v>1109</v>
      </c>
      <c r="AM471">
        <v>64</v>
      </c>
      <c r="AN471" t="str">
        <f>VLOOKUP(Transaction[[#This Row],[Model No.]],$AV$2:$BD$100,2,TRUE)</f>
        <v>Maui Brewing Big Swell IPA - 6 Pack</v>
      </c>
      <c r="AO471" s="21">
        <f>VLOOKUP(Transaction[[#This Row],[Model No.]],$AV$2:$BD$100,6,TRUE)</f>
        <v>12.99</v>
      </c>
      <c r="AP471" s="9">
        <v>1</v>
      </c>
      <c r="AQ471" s="5">
        <f>Transaction[[#This Row],[Price]]*Transaction[[#This Row],[Qty]]</f>
        <v>12.99</v>
      </c>
      <c r="AR471" s="5">
        <f>VLOOKUP(Transaction[[#This Row],[Model No.]],$AV$2:$BD$100,7,TRUE)*Transaction[[#This Row],[Qty]]</f>
        <v>3.8969999999999998</v>
      </c>
      <c r="AS471">
        <v>1103</v>
      </c>
      <c r="AT471">
        <v>1018</v>
      </c>
    </row>
    <row r="472" spans="36:46" x14ac:dyDescent="0.3">
      <c r="AJ472">
        <v>17263</v>
      </c>
      <c r="AK472" s="30">
        <v>42232</v>
      </c>
      <c r="AL472" t="s">
        <v>979</v>
      </c>
      <c r="AM472">
        <v>95</v>
      </c>
      <c r="AN472" t="str">
        <f>VLOOKUP(Transaction[[#This Row],[Model No.]],$AV$2:$BD$100,2,TRUE)</f>
        <v>Kuromatsu Hakushika Chokara Extra Dry Sake</v>
      </c>
      <c r="AO472" s="21">
        <f>VLOOKUP(Transaction[[#This Row],[Model No.]],$AV$2:$BD$100,6,TRUE)</f>
        <v>7.49</v>
      </c>
      <c r="AP472" s="9">
        <v>2</v>
      </c>
      <c r="AQ472" s="5">
        <f>Transaction[[#This Row],[Price]]*Transaction[[#This Row],[Qty]]</f>
        <v>14.98</v>
      </c>
      <c r="AR472" s="5">
        <f>VLOOKUP(Transaction[[#This Row],[Model No.]],$AV$2:$BD$100,7,TRUE)*Transaction[[#This Row],[Qty]]</f>
        <v>1.4980000000000002</v>
      </c>
      <c r="AS472">
        <v>1102</v>
      </c>
      <c r="AT472">
        <v>1009</v>
      </c>
    </row>
    <row r="473" spans="36:46" x14ac:dyDescent="0.3">
      <c r="AJ473">
        <v>37562</v>
      </c>
      <c r="AK473" s="30">
        <v>42235</v>
      </c>
      <c r="AL473" t="s">
        <v>1590</v>
      </c>
      <c r="AM473">
        <v>18</v>
      </c>
      <c r="AN473" t="str">
        <f>VLOOKUP(Transaction[[#This Row],[Model No.]],$AV$2:$BD$100,2,TRUE)</f>
        <v>Twenty Grand Peach Vodka</v>
      </c>
      <c r="AO473" s="21">
        <f>VLOOKUP(Transaction[[#This Row],[Model No.]],$AV$2:$BD$100,6,TRUE)</f>
        <v>30.99</v>
      </c>
      <c r="AP473" s="9">
        <v>1</v>
      </c>
      <c r="AQ473" s="5">
        <f>Transaction[[#This Row],[Price]]*Transaction[[#This Row],[Qty]]</f>
        <v>30.99</v>
      </c>
      <c r="AR473" s="5">
        <f>VLOOKUP(Transaction[[#This Row],[Model No.]],$AV$2:$BD$100,7,TRUE)*Transaction[[#This Row],[Qty]]</f>
        <v>9.2969999999999988</v>
      </c>
      <c r="AS473">
        <v>1106</v>
      </c>
      <c r="AT473">
        <v>1011</v>
      </c>
    </row>
    <row r="474" spans="36:46" x14ac:dyDescent="0.3">
      <c r="AJ474">
        <v>84004</v>
      </c>
      <c r="AK474" s="30">
        <v>42236</v>
      </c>
      <c r="AL474" t="s">
        <v>1101</v>
      </c>
      <c r="AM474">
        <v>77</v>
      </c>
      <c r="AN474" t="str">
        <f>VLOOKUP(Transaction[[#This Row],[Model No.]],$AV$2:$BD$100,2,TRUE)</f>
        <v>LA CHASSE PRETIGE CDR</v>
      </c>
      <c r="AO474" s="21">
        <f>VLOOKUP(Transaction[[#This Row],[Model No.]],$AV$2:$BD$100,6,TRUE)</f>
        <v>11.99</v>
      </c>
      <c r="AP474" s="9">
        <v>1</v>
      </c>
      <c r="AQ474" s="5">
        <f>Transaction[[#This Row],[Price]]*Transaction[[#This Row],[Qty]]</f>
        <v>11.99</v>
      </c>
      <c r="AR474" s="5">
        <f>VLOOKUP(Transaction[[#This Row],[Model No.]],$AV$2:$BD$100,7,TRUE)*Transaction[[#This Row],[Qty]]</f>
        <v>4.7960000000000003</v>
      </c>
      <c r="AS474">
        <v>1101</v>
      </c>
      <c r="AT474">
        <v>1017</v>
      </c>
    </row>
    <row r="475" spans="36:46" x14ac:dyDescent="0.3">
      <c r="AJ475">
        <v>17418</v>
      </c>
      <c r="AK475" s="30">
        <v>42236</v>
      </c>
      <c r="AL475" t="s">
        <v>1897</v>
      </c>
      <c r="AM475">
        <v>92</v>
      </c>
      <c r="AN475" t="str">
        <f>VLOOKUP(Transaction[[#This Row],[Model No.]],$AV$2:$BD$100,2,TRUE)</f>
        <v>Four Seasons Collection Late Harvest White Moscato Dessert Muscat</v>
      </c>
      <c r="AO475" s="21">
        <f>VLOOKUP(Transaction[[#This Row],[Model No.]],$AV$2:$BD$100,6,TRUE)</f>
        <v>7.69</v>
      </c>
      <c r="AP475" s="9">
        <v>3</v>
      </c>
      <c r="AQ475" s="5">
        <f>Transaction[[#This Row],[Price]]*Transaction[[#This Row],[Qty]]</f>
        <v>23.07</v>
      </c>
      <c r="AR475" s="5">
        <f>VLOOKUP(Transaction[[#This Row],[Model No.]],$AV$2:$BD$100,7,TRUE)*Transaction[[#This Row],[Qty]]</f>
        <v>2.3070000000000004</v>
      </c>
      <c r="AS475">
        <v>1105</v>
      </c>
      <c r="AT475">
        <v>1009</v>
      </c>
    </row>
    <row r="476" spans="36:46" x14ac:dyDescent="0.3">
      <c r="AJ476">
        <v>82802</v>
      </c>
      <c r="AK476" s="30">
        <v>42237</v>
      </c>
      <c r="AL476" t="s">
        <v>1106</v>
      </c>
      <c r="AM476">
        <v>59</v>
      </c>
      <c r="AN476" t="str">
        <f>VLOOKUP(Transaction[[#This Row],[Model No.]],$AV$2:$BD$100,2,TRUE)</f>
        <v>Smirnoff Kissed Caramel Vodka</v>
      </c>
      <c r="AO476" s="21">
        <f>VLOOKUP(Transaction[[#This Row],[Model No.]],$AV$2:$BD$100,6,TRUE)</f>
        <v>13.49</v>
      </c>
      <c r="AP476" s="9">
        <v>1</v>
      </c>
      <c r="AQ476" s="5">
        <f>Transaction[[#This Row],[Price]]*Transaction[[#This Row],[Qty]]</f>
        <v>13.49</v>
      </c>
      <c r="AR476" s="5">
        <f>VLOOKUP(Transaction[[#This Row],[Model No.]],$AV$2:$BD$100,7,TRUE)*Transaction[[#This Row],[Qty]]</f>
        <v>4.0469999999999997</v>
      </c>
      <c r="AS476">
        <v>1098</v>
      </c>
      <c r="AT476">
        <v>1008</v>
      </c>
    </row>
    <row r="477" spans="36:46" x14ac:dyDescent="0.3">
      <c r="AJ477">
        <v>32087</v>
      </c>
      <c r="AK477" s="30">
        <v>42239</v>
      </c>
      <c r="AL477" t="s">
        <v>1552</v>
      </c>
      <c r="AM477">
        <v>17</v>
      </c>
      <c r="AN477" t="str">
        <f>VLOOKUP(Transaction[[#This Row],[Model No.]],$AV$2:$BD$100,2,TRUE)</f>
        <v>Miller Lite Can - 24 Pack</v>
      </c>
      <c r="AO477" s="21">
        <f>VLOOKUP(Transaction[[#This Row],[Model No.]],$AV$2:$BD$100,6,TRUE)</f>
        <v>30.99</v>
      </c>
      <c r="AP477" s="9">
        <v>2</v>
      </c>
      <c r="AQ477" s="5">
        <f>Transaction[[#This Row],[Price]]*Transaction[[#This Row],[Qty]]</f>
        <v>61.98</v>
      </c>
      <c r="AR477" s="5">
        <f>VLOOKUP(Transaction[[#This Row],[Model No.]],$AV$2:$BD$100,7,TRUE)*Transaction[[#This Row],[Qty]]</f>
        <v>18.593999999999998</v>
      </c>
      <c r="AS477">
        <v>1102</v>
      </c>
      <c r="AT477">
        <v>1015</v>
      </c>
    </row>
    <row r="478" spans="36:46" x14ac:dyDescent="0.3">
      <c r="AJ478">
        <v>18226</v>
      </c>
      <c r="AK478" s="30">
        <v>42239</v>
      </c>
      <c r="AL478" t="s">
        <v>1034</v>
      </c>
      <c r="AM478">
        <v>66</v>
      </c>
      <c r="AN478" t="str">
        <f>VLOOKUP(Transaction[[#This Row],[Model No.]],$AV$2:$BD$100,2,TRUE)</f>
        <v>Red Horse Beer - 6 Pack</v>
      </c>
      <c r="AO478" s="21">
        <f>VLOOKUP(Transaction[[#This Row],[Model No.]],$AV$2:$BD$100,6,TRUE)</f>
        <v>12.99</v>
      </c>
      <c r="AP478" s="9">
        <v>2</v>
      </c>
      <c r="AQ478" s="5">
        <f>Transaction[[#This Row],[Price]]*Transaction[[#This Row],[Qty]]</f>
        <v>25.98</v>
      </c>
      <c r="AR478" s="5">
        <f>VLOOKUP(Transaction[[#This Row],[Model No.]],$AV$2:$BD$100,7,TRUE)*Transaction[[#This Row],[Qty]]</f>
        <v>7.7939999999999996</v>
      </c>
      <c r="AS478">
        <v>1100</v>
      </c>
      <c r="AT478">
        <v>1015</v>
      </c>
    </row>
    <row r="479" spans="36:46" x14ac:dyDescent="0.3">
      <c r="AJ479">
        <v>78889</v>
      </c>
      <c r="AK479" s="30">
        <v>42239</v>
      </c>
      <c r="AL479" t="s">
        <v>1834</v>
      </c>
      <c r="AM479">
        <v>73</v>
      </c>
      <c r="AN479" t="str">
        <f>VLOOKUP(Transaction[[#This Row],[Model No.]],$AV$2:$BD$100,2,TRUE)</f>
        <v>Schlafly Oktoberfest - 6 Pack</v>
      </c>
      <c r="AO479" s="21">
        <f>VLOOKUP(Transaction[[#This Row],[Model No.]],$AV$2:$BD$100,6,TRUE)</f>
        <v>11.99</v>
      </c>
      <c r="AP479" s="9">
        <v>3</v>
      </c>
      <c r="AQ479" s="5">
        <f>Transaction[[#This Row],[Price]]*Transaction[[#This Row],[Qty]]</f>
        <v>35.97</v>
      </c>
      <c r="AR479" s="5">
        <f>VLOOKUP(Transaction[[#This Row],[Model No.]],$AV$2:$BD$100,7,TRUE)*Transaction[[#This Row],[Qty]]</f>
        <v>10.791</v>
      </c>
      <c r="AS479">
        <v>1104</v>
      </c>
      <c r="AT479">
        <v>1015</v>
      </c>
    </row>
    <row r="480" spans="36:46" x14ac:dyDescent="0.3">
      <c r="AJ480">
        <v>48073</v>
      </c>
      <c r="AK480" s="30">
        <v>42241</v>
      </c>
      <c r="AL480" t="s">
        <v>1231</v>
      </c>
      <c r="AM480">
        <v>98</v>
      </c>
      <c r="AN480" t="str">
        <f>VLOOKUP(Transaction[[#This Row],[Model No.]],$AV$2:$BD$100,2,TRUE)</f>
        <v>Wychwood Hobgoblin</v>
      </c>
      <c r="AO480" s="21">
        <f>VLOOKUP(Transaction[[#This Row],[Model No.]],$AV$2:$BD$100,6,TRUE)</f>
        <v>5.99</v>
      </c>
      <c r="AP480" s="9">
        <v>5</v>
      </c>
      <c r="AQ480" s="5">
        <f>Transaction[[#This Row],[Price]]*Transaction[[#This Row],[Qty]]</f>
        <v>29.950000000000003</v>
      </c>
      <c r="AR480" s="5">
        <f>VLOOKUP(Transaction[[#This Row],[Model No.]],$AV$2:$BD$100,7,TRUE)*Transaction[[#This Row],[Qty]]</f>
        <v>8.9849999999999994</v>
      </c>
      <c r="AS480">
        <v>1105</v>
      </c>
      <c r="AT480">
        <v>1015</v>
      </c>
    </row>
    <row r="481" spans="36:46" x14ac:dyDescent="0.3">
      <c r="AJ481">
        <v>21924</v>
      </c>
      <c r="AK481" s="30">
        <v>42242</v>
      </c>
      <c r="AL481" t="s">
        <v>1057</v>
      </c>
      <c r="AM481">
        <v>89</v>
      </c>
      <c r="AN481" t="str">
        <f>VLOOKUP(Transaction[[#This Row],[Model No.]],$AV$2:$BD$100,2,TRUE)</f>
        <v>Piera Martellozzo Blu Giovello Moscato Puglia IGT Muscat</v>
      </c>
      <c r="AO481" s="21">
        <f>VLOOKUP(Transaction[[#This Row],[Model No.]],$AV$2:$BD$100,6,TRUE)</f>
        <v>8.49</v>
      </c>
      <c r="AP481" s="9">
        <v>1</v>
      </c>
      <c r="AQ481" s="5">
        <f>Transaction[[#This Row],[Price]]*Transaction[[#This Row],[Qty]]</f>
        <v>8.49</v>
      </c>
      <c r="AR481" s="5">
        <f>VLOOKUP(Transaction[[#This Row],[Model No.]],$AV$2:$BD$100,7,TRUE)*Transaction[[#This Row],[Qty]]</f>
        <v>0.84900000000000009</v>
      </c>
      <c r="AS481">
        <v>1102</v>
      </c>
      <c r="AT481">
        <v>1020</v>
      </c>
    </row>
    <row r="482" spans="36:46" x14ac:dyDescent="0.3">
      <c r="AJ482">
        <v>79353</v>
      </c>
      <c r="AK482" s="30">
        <v>42244</v>
      </c>
      <c r="AL482" t="s">
        <v>391</v>
      </c>
      <c r="AM482">
        <v>48</v>
      </c>
      <c r="AN482" t="str">
        <f>VLOOKUP(Transaction[[#This Row],[Model No.]],$AV$2:$BD$100,2,TRUE)</f>
        <v>CH TOUR D'AURON</v>
      </c>
      <c r="AO482" s="21">
        <f>VLOOKUP(Transaction[[#This Row],[Model No.]],$AV$2:$BD$100,6,TRUE)</f>
        <v>15.99</v>
      </c>
      <c r="AP482" s="9">
        <v>5</v>
      </c>
      <c r="AQ482" s="5">
        <f>Transaction[[#This Row],[Price]]*Transaction[[#This Row],[Qty]]</f>
        <v>79.95</v>
      </c>
      <c r="AR482" s="5">
        <f>VLOOKUP(Transaction[[#This Row],[Model No.]],$AV$2:$BD$100,7,TRUE)*Transaction[[#This Row],[Qty]]</f>
        <v>31.980000000000004</v>
      </c>
      <c r="AS482">
        <v>1103</v>
      </c>
      <c r="AT482">
        <v>1019</v>
      </c>
    </row>
    <row r="483" spans="36:46" x14ac:dyDescent="0.3">
      <c r="AJ483">
        <v>25203</v>
      </c>
      <c r="AK483" s="30">
        <v>42247</v>
      </c>
      <c r="AL483" t="s">
        <v>976</v>
      </c>
      <c r="AM483">
        <v>23</v>
      </c>
      <c r="AN483" t="str">
        <f>VLOOKUP(Transaction[[#This Row],[Model No.]],$AV$2:$BD$100,2,TRUE)</f>
        <v>Brinley Gold Shipwreck Mango Rum</v>
      </c>
      <c r="AO483" s="21">
        <f>VLOOKUP(Transaction[[#This Row],[Model No.]],$AV$2:$BD$100,6,TRUE)</f>
        <v>25.99</v>
      </c>
      <c r="AP483" s="9">
        <v>1</v>
      </c>
      <c r="AQ483" s="5">
        <f>Transaction[[#This Row],[Price]]*Transaction[[#This Row],[Qty]]</f>
        <v>25.99</v>
      </c>
      <c r="AR483" s="5">
        <f>VLOOKUP(Transaction[[#This Row],[Model No.]],$AV$2:$BD$100,7,TRUE)*Transaction[[#This Row],[Qty]]</f>
        <v>5.1980000000000004</v>
      </c>
      <c r="AS483">
        <v>1099</v>
      </c>
      <c r="AT483">
        <v>1009</v>
      </c>
    </row>
    <row r="484" spans="36:46" x14ac:dyDescent="0.3">
      <c r="AJ484">
        <v>13299</v>
      </c>
      <c r="AK484" s="30">
        <v>42247</v>
      </c>
      <c r="AL484" t="s">
        <v>1342</v>
      </c>
      <c r="AM484">
        <v>34</v>
      </c>
      <c r="AN484" t="str">
        <f>VLOOKUP(Transaction[[#This Row],[Model No.]],$AV$2:$BD$100,2,TRUE)</f>
        <v>The Eyrie Vineyards Pinot Gris</v>
      </c>
      <c r="AO484" s="21">
        <f>VLOOKUP(Transaction[[#This Row],[Model No.]],$AV$2:$BD$100,6,TRUE)</f>
        <v>20.99</v>
      </c>
      <c r="AP484" s="9">
        <v>5</v>
      </c>
      <c r="AQ484" s="5">
        <f>Transaction[[#This Row],[Price]]*Transaction[[#This Row],[Qty]]</f>
        <v>104.94999999999999</v>
      </c>
      <c r="AR484" s="5">
        <f>VLOOKUP(Transaction[[#This Row],[Model No.]],$AV$2:$BD$100,7,TRUE)*Transaction[[#This Row],[Qty]]</f>
        <v>20.99</v>
      </c>
      <c r="AS484">
        <v>1104</v>
      </c>
      <c r="AT484">
        <v>1013</v>
      </c>
    </row>
    <row r="485" spans="36:46" x14ac:dyDescent="0.3">
      <c r="AJ485">
        <v>97078</v>
      </c>
      <c r="AK485" s="30">
        <v>42247</v>
      </c>
      <c r="AL485" t="s">
        <v>1678</v>
      </c>
      <c r="AM485">
        <v>58</v>
      </c>
      <c r="AN485" t="str">
        <f>VLOOKUP(Transaction[[#This Row],[Model No.]],$AV$2:$BD$100,2,TRUE)</f>
        <v>Smirnoff Mango Vodka</v>
      </c>
      <c r="AO485" s="21">
        <f>VLOOKUP(Transaction[[#This Row],[Model No.]],$AV$2:$BD$100,6,TRUE)</f>
        <v>13.49</v>
      </c>
      <c r="AP485" s="9">
        <v>3</v>
      </c>
      <c r="AQ485" s="5">
        <f>Transaction[[#This Row],[Price]]*Transaction[[#This Row],[Qty]]</f>
        <v>40.47</v>
      </c>
      <c r="AR485" s="5">
        <f>VLOOKUP(Transaction[[#This Row],[Model No.]],$AV$2:$BD$100,7,TRUE)*Transaction[[#This Row],[Qty]]</f>
        <v>12.140999999999998</v>
      </c>
      <c r="AS485">
        <v>1104</v>
      </c>
      <c r="AT485">
        <v>1003</v>
      </c>
    </row>
    <row r="486" spans="36:46" x14ac:dyDescent="0.3">
      <c r="AJ486">
        <v>94047</v>
      </c>
      <c r="AK486" s="30">
        <v>42248</v>
      </c>
      <c r="AL486" t="s">
        <v>1240</v>
      </c>
      <c r="AM486">
        <v>6</v>
      </c>
      <c r="AN486" t="str">
        <f>VLOOKUP(Transaction[[#This Row],[Model No.]],$AV$2:$BD$100,2,TRUE)</f>
        <v>Agricola Punica Barrua Isola Dei Nuraghi IGT Carignan</v>
      </c>
      <c r="AO486" s="21">
        <f>VLOOKUP(Transaction[[#This Row],[Model No.]],$AV$2:$BD$100,6,TRUE)</f>
        <v>46.99</v>
      </c>
      <c r="AP486" s="9">
        <v>5</v>
      </c>
      <c r="AQ486" s="5">
        <f>Transaction[[#This Row],[Price]]*Transaction[[#This Row],[Qty]]</f>
        <v>234.95000000000002</v>
      </c>
      <c r="AR486" s="5">
        <f>VLOOKUP(Transaction[[#This Row],[Model No.]],$AV$2:$BD$100,7,TRUE)*Transaction[[#This Row],[Qty]]</f>
        <v>23.495000000000005</v>
      </c>
      <c r="AS486">
        <v>1101</v>
      </c>
      <c r="AT486">
        <v>1011</v>
      </c>
    </row>
    <row r="487" spans="36:46" x14ac:dyDescent="0.3">
      <c r="AJ487">
        <v>77475</v>
      </c>
      <c r="AK487" s="30">
        <v>42248</v>
      </c>
      <c r="AL487" t="s">
        <v>592</v>
      </c>
      <c r="AM487">
        <v>30</v>
      </c>
      <c r="AN487" t="str">
        <f>VLOOKUP(Transaction[[#This Row],[Model No.]],$AV$2:$BD$100,2,TRUE)</f>
        <v>Kahlua Cinnamon Spice Liqueur</v>
      </c>
      <c r="AO487" s="21">
        <f>VLOOKUP(Transaction[[#This Row],[Model No.]],$AV$2:$BD$100,6,TRUE)</f>
        <v>22.99</v>
      </c>
      <c r="AP487" s="9">
        <v>5</v>
      </c>
      <c r="AQ487" s="5">
        <f>Transaction[[#This Row],[Price]]*Transaction[[#This Row],[Qty]]</f>
        <v>114.94999999999999</v>
      </c>
      <c r="AR487" s="5">
        <f>VLOOKUP(Transaction[[#This Row],[Model No.]],$AV$2:$BD$100,7,TRUE)*Transaction[[#This Row],[Qty]]</f>
        <v>34.484999999999999</v>
      </c>
      <c r="AS487">
        <v>1100</v>
      </c>
      <c r="AT487">
        <v>1001</v>
      </c>
    </row>
    <row r="488" spans="36:46" x14ac:dyDescent="0.3">
      <c r="AJ488">
        <v>89775</v>
      </c>
      <c r="AK488" s="30">
        <v>42248</v>
      </c>
      <c r="AL488" t="s">
        <v>708</v>
      </c>
      <c r="AM488">
        <v>37</v>
      </c>
      <c r="AN488" t="str">
        <f>VLOOKUP(Transaction[[#This Row],[Model No.]],$AV$2:$BD$100,2,TRUE)</f>
        <v>Francis Ford Coppola Diamond Collection Black Label Pavilion Chardonnay</v>
      </c>
      <c r="AO488" s="21">
        <f>VLOOKUP(Transaction[[#This Row],[Model No.]],$AV$2:$BD$100,6,TRUE)</f>
        <v>19.989999999999998</v>
      </c>
      <c r="AP488" s="9">
        <v>2</v>
      </c>
      <c r="AQ488" s="5">
        <f>Transaction[[#This Row],[Price]]*Transaction[[#This Row],[Qty]]</f>
        <v>39.979999999999997</v>
      </c>
      <c r="AR488" s="5">
        <f>VLOOKUP(Transaction[[#This Row],[Model No.]],$AV$2:$BD$100,7,TRUE)*Transaction[[#This Row],[Qty]]</f>
        <v>3.9979999999999998</v>
      </c>
      <c r="AS488">
        <v>1102</v>
      </c>
      <c r="AT488">
        <v>1003</v>
      </c>
    </row>
    <row r="489" spans="36:46" x14ac:dyDescent="0.3">
      <c r="AJ489">
        <v>54349</v>
      </c>
      <c r="AK489" s="30">
        <v>42248</v>
      </c>
      <c r="AL489" t="s">
        <v>557</v>
      </c>
      <c r="AM489">
        <v>43</v>
      </c>
      <c r="AN489" t="str">
        <f>VLOOKUP(Transaction[[#This Row],[Model No.]],$AV$2:$BD$100,2,TRUE)</f>
        <v>Green Flash Le Freak - 4 Pack</v>
      </c>
      <c r="AO489" s="21">
        <f>VLOOKUP(Transaction[[#This Row],[Model No.]],$AV$2:$BD$100,6,TRUE)</f>
        <v>16.989999999999998</v>
      </c>
      <c r="AP489" s="9">
        <v>5</v>
      </c>
      <c r="AQ489" s="5">
        <f>Transaction[[#This Row],[Price]]*Transaction[[#This Row],[Qty]]</f>
        <v>84.949999999999989</v>
      </c>
      <c r="AR489" s="5">
        <f>VLOOKUP(Transaction[[#This Row],[Model No.]],$AV$2:$BD$100,7,TRUE)*Transaction[[#This Row],[Qty]]</f>
        <v>25.484999999999999</v>
      </c>
      <c r="AS489">
        <v>1099</v>
      </c>
      <c r="AT489">
        <v>1010</v>
      </c>
    </row>
    <row r="490" spans="36:46" x14ac:dyDescent="0.3">
      <c r="AJ490">
        <v>46395</v>
      </c>
      <c r="AK490" s="30">
        <v>42250</v>
      </c>
      <c r="AL490" t="s">
        <v>863</v>
      </c>
      <c r="AM490">
        <v>68</v>
      </c>
      <c r="AN490" t="str">
        <f>VLOOKUP(Transaction[[#This Row],[Model No.]],$AV$2:$BD$100,2,TRUE)</f>
        <v>Conti Beretta Estate Bottled Friuli Grave Pinot Grigio</v>
      </c>
      <c r="AO490" s="21">
        <f>VLOOKUP(Transaction[[#This Row],[Model No.]],$AV$2:$BD$100,6,TRUE)</f>
        <v>12.99</v>
      </c>
      <c r="AP490" s="9">
        <v>1</v>
      </c>
      <c r="AQ490" s="5">
        <f>Transaction[[#This Row],[Price]]*Transaction[[#This Row],[Qty]]</f>
        <v>12.99</v>
      </c>
      <c r="AR490" s="5">
        <f>VLOOKUP(Transaction[[#This Row],[Model No.]],$AV$2:$BD$100,7,TRUE)*Transaction[[#This Row],[Qty]]</f>
        <v>1.2990000000000002</v>
      </c>
      <c r="AS490">
        <v>1108</v>
      </c>
      <c r="AT490">
        <v>1016</v>
      </c>
    </row>
    <row r="491" spans="36:46" x14ac:dyDescent="0.3">
      <c r="AJ491">
        <v>69557</v>
      </c>
      <c r="AK491" s="30">
        <v>42250</v>
      </c>
      <c r="AL491" t="s">
        <v>853</v>
      </c>
      <c r="AM491">
        <v>95</v>
      </c>
      <c r="AN491" t="str">
        <f>VLOOKUP(Transaction[[#This Row],[Model No.]],$AV$2:$BD$100,2,TRUE)</f>
        <v>Kuromatsu Hakushika Chokara Extra Dry Sake</v>
      </c>
      <c r="AO491" s="21">
        <f>VLOOKUP(Transaction[[#This Row],[Model No.]],$AV$2:$BD$100,6,TRUE)</f>
        <v>7.49</v>
      </c>
      <c r="AP491" s="9">
        <v>4</v>
      </c>
      <c r="AQ491" s="5">
        <f>Transaction[[#This Row],[Price]]*Transaction[[#This Row],[Qty]]</f>
        <v>29.96</v>
      </c>
      <c r="AR491" s="5">
        <f>VLOOKUP(Transaction[[#This Row],[Model No.]],$AV$2:$BD$100,7,TRUE)*Transaction[[#This Row],[Qty]]</f>
        <v>2.9960000000000004</v>
      </c>
      <c r="AS491">
        <v>1100</v>
      </c>
      <c r="AT491">
        <v>1010</v>
      </c>
    </row>
    <row r="492" spans="36:46" x14ac:dyDescent="0.3">
      <c r="AJ492">
        <v>19067</v>
      </c>
      <c r="AK492" s="30">
        <v>42253</v>
      </c>
      <c r="AL492" t="s">
        <v>1089</v>
      </c>
      <c r="AM492">
        <v>78</v>
      </c>
      <c r="AN492" t="str">
        <f>VLOOKUP(Transaction[[#This Row],[Model No.]],$AV$2:$BD$100,2,TRUE)</f>
        <v>Tomasello Winery Blueberry Wine Red Blend</v>
      </c>
      <c r="AO492" s="21">
        <f>VLOOKUP(Transaction[[#This Row],[Model No.]],$AV$2:$BD$100,6,TRUE)</f>
        <v>11.49</v>
      </c>
      <c r="AP492" s="9">
        <v>3</v>
      </c>
      <c r="AQ492" s="5">
        <f>Transaction[[#This Row],[Price]]*Transaction[[#This Row],[Qty]]</f>
        <v>34.47</v>
      </c>
      <c r="AR492" s="5">
        <f>VLOOKUP(Transaction[[#This Row],[Model No.]],$AV$2:$BD$100,7,TRUE)*Transaction[[#This Row],[Qty]]</f>
        <v>3.4470000000000001</v>
      </c>
      <c r="AS492">
        <v>1106</v>
      </c>
      <c r="AT492">
        <v>1007</v>
      </c>
    </row>
    <row r="493" spans="36:46" x14ac:dyDescent="0.3">
      <c r="AJ493">
        <v>58297</v>
      </c>
      <c r="AK493" s="30">
        <v>42255</v>
      </c>
      <c r="AL493" t="s">
        <v>846</v>
      </c>
      <c r="AM493">
        <v>62</v>
      </c>
      <c r="AN493" t="str">
        <f>VLOOKUP(Transaction[[#This Row],[Model No.]],$AV$2:$BD$100,2,TRUE)</f>
        <v>Beerlao Dark Lager - 6 Pack</v>
      </c>
      <c r="AO493" s="21">
        <f>VLOOKUP(Transaction[[#This Row],[Model No.]],$AV$2:$BD$100,6,TRUE)</f>
        <v>12.99</v>
      </c>
      <c r="AP493" s="9">
        <v>3</v>
      </c>
      <c r="AQ493" s="5">
        <f>Transaction[[#This Row],[Price]]*Transaction[[#This Row],[Qty]]</f>
        <v>38.97</v>
      </c>
      <c r="AR493" s="5">
        <f>VLOOKUP(Transaction[[#This Row],[Model No.]],$AV$2:$BD$100,7,TRUE)*Transaction[[#This Row],[Qty]]</f>
        <v>11.690999999999999</v>
      </c>
      <c r="AS493">
        <v>1103</v>
      </c>
      <c r="AT493">
        <v>1013</v>
      </c>
    </row>
    <row r="494" spans="36:46" x14ac:dyDescent="0.3">
      <c r="AJ494">
        <v>26238</v>
      </c>
      <c r="AK494" s="30">
        <v>42255</v>
      </c>
      <c r="AL494" t="s">
        <v>425</v>
      </c>
      <c r="AM494">
        <v>91</v>
      </c>
      <c r="AN494" t="str">
        <f>VLOOKUP(Transaction[[#This Row],[Model No.]],$AV$2:$BD$100,2,TRUE)</f>
        <v>Rex Goliath Free Range Giant 47 Pound Rooster Merlot</v>
      </c>
      <c r="AO494" s="21">
        <f>VLOOKUP(Transaction[[#This Row],[Model No.]],$AV$2:$BD$100,6,TRUE)</f>
        <v>7.79</v>
      </c>
      <c r="AP494" s="9">
        <v>2</v>
      </c>
      <c r="AQ494" s="5">
        <f>Transaction[[#This Row],[Price]]*Transaction[[#This Row],[Qty]]</f>
        <v>15.58</v>
      </c>
      <c r="AR494" s="5">
        <f>VLOOKUP(Transaction[[#This Row],[Model No.]],$AV$2:$BD$100,7,TRUE)*Transaction[[#This Row],[Qty]]</f>
        <v>1.5580000000000001</v>
      </c>
      <c r="AS494">
        <v>1108</v>
      </c>
      <c r="AT494">
        <v>1002</v>
      </c>
    </row>
    <row r="495" spans="36:46" x14ac:dyDescent="0.3">
      <c r="AJ495">
        <v>49577</v>
      </c>
      <c r="AK495" s="30">
        <v>42256</v>
      </c>
      <c r="AL495" t="s">
        <v>828</v>
      </c>
      <c r="AM495">
        <v>43</v>
      </c>
      <c r="AN495" t="str">
        <f>VLOOKUP(Transaction[[#This Row],[Model No.]],$AV$2:$BD$100,2,TRUE)</f>
        <v>Green Flash Le Freak - 4 Pack</v>
      </c>
      <c r="AO495" s="21">
        <f>VLOOKUP(Transaction[[#This Row],[Model No.]],$AV$2:$BD$100,6,TRUE)</f>
        <v>16.989999999999998</v>
      </c>
      <c r="AP495" s="9">
        <v>5</v>
      </c>
      <c r="AQ495" s="5">
        <f>Transaction[[#This Row],[Price]]*Transaction[[#This Row],[Qty]]</f>
        <v>84.949999999999989</v>
      </c>
      <c r="AR495" s="5">
        <f>VLOOKUP(Transaction[[#This Row],[Model No.]],$AV$2:$BD$100,7,TRUE)*Transaction[[#This Row],[Qty]]</f>
        <v>25.484999999999999</v>
      </c>
      <c r="AS495">
        <v>1099</v>
      </c>
      <c r="AT495">
        <v>1004</v>
      </c>
    </row>
    <row r="496" spans="36:46" x14ac:dyDescent="0.3">
      <c r="AJ496">
        <v>86060</v>
      </c>
      <c r="AK496" s="30">
        <v>42260</v>
      </c>
      <c r="AL496" t="s">
        <v>1577</v>
      </c>
      <c r="AM496">
        <v>65</v>
      </c>
      <c r="AN496" t="str">
        <f>VLOOKUP(Transaction[[#This Row],[Model No.]],$AV$2:$BD$100,2,TRUE)</f>
        <v>Shipyard Summer Ale - 6 Pack</v>
      </c>
      <c r="AO496" s="21">
        <f>VLOOKUP(Transaction[[#This Row],[Model No.]],$AV$2:$BD$100,6,TRUE)</f>
        <v>12.99</v>
      </c>
      <c r="AP496" s="9">
        <v>4</v>
      </c>
      <c r="AQ496" s="5">
        <f>Transaction[[#This Row],[Price]]*Transaction[[#This Row],[Qty]]</f>
        <v>51.96</v>
      </c>
      <c r="AR496" s="5">
        <f>VLOOKUP(Transaction[[#This Row],[Model No.]],$AV$2:$BD$100,7,TRUE)*Transaction[[#This Row],[Qty]]</f>
        <v>15.587999999999999</v>
      </c>
      <c r="AS496">
        <v>1106</v>
      </c>
      <c r="AT496">
        <v>1021</v>
      </c>
    </row>
    <row r="497" spans="36:46" x14ac:dyDescent="0.3">
      <c r="AJ497">
        <v>52083</v>
      </c>
      <c r="AK497" s="30">
        <v>42260</v>
      </c>
      <c r="AL497" t="s">
        <v>608</v>
      </c>
      <c r="AM497">
        <v>72</v>
      </c>
      <c r="AN497" t="str">
        <f>VLOOKUP(Transaction[[#This Row],[Model No.]],$AV$2:$BD$100,2,TRUE)</f>
        <v>Pearl Wedding Cake Vodka</v>
      </c>
      <c r="AO497" s="21">
        <f>VLOOKUP(Transaction[[#This Row],[Model No.]],$AV$2:$BD$100,6,TRUE)</f>
        <v>12.49</v>
      </c>
      <c r="AP497" s="9">
        <v>1</v>
      </c>
      <c r="AQ497" s="5">
        <f>Transaction[[#This Row],[Price]]*Transaction[[#This Row],[Qty]]</f>
        <v>12.49</v>
      </c>
      <c r="AR497" s="5">
        <f>VLOOKUP(Transaction[[#This Row],[Model No.]],$AV$2:$BD$100,7,TRUE)*Transaction[[#This Row],[Qty]]</f>
        <v>3.7469999999999999</v>
      </c>
      <c r="AS497">
        <v>1107</v>
      </c>
      <c r="AT497">
        <v>1014</v>
      </c>
    </row>
    <row r="498" spans="36:46" x14ac:dyDescent="0.3">
      <c r="AJ498">
        <v>76401</v>
      </c>
      <c r="AK498" s="30">
        <v>42260</v>
      </c>
      <c r="AL498" t="s">
        <v>779</v>
      </c>
      <c r="AM498">
        <v>84</v>
      </c>
      <c r="AN498" t="str">
        <f>VLOOKUP(Transaction[[#This Row],[Model No.]],$AV$2:$BD$100,2,TRUE)</f>
        <v>UV Blue Raspberry Vodka</v>
      </c>
      <c r="AO498" s="21">
        <f>VLOOKUP(Transaction[[#This Row],[Model No.]],$AV$2:$BD$100,6,TRUE)</f>
        <v>10.49</v>
      </c>
      <c r="AP498" s="9">
        <v>3</v>
      </c>
      <c r="AQ498" s="5">
        <f>Transaction[[#This Row],[Price]]*Transaction[[#This Row],[Qty]]</f>
        <v>31.47</v>
      </c>
      <c r="AR498" s="5">
        <f>VLOOKUP(Transaction[[#This Row],[Model No.]],$AV$2:$BD$100,7,TRUE)*Transaction[[#This Row],[Qty]]</f>
        <v>9.4409999999999989</v>
      </c>
      <c r="AS498">
        <v>1107</v>
      </c>
      <c r="AT498">
        <v>1010</v>
      </c>
    </row>
    <row r="499" spans="36:46" x14ac:dyDescent="0.3">
      <c r="AJ499">
        <v>37234</v>
      </c>
      <c r="AK499" s="30">
        <v>42262</v>
      </c>
      <c r="AL499" t="s">
        <v>409</v>
      </c>
      <c r="AM499">
        <v>31</v>
      </c>
      <c r="AN499" t="str">
        <f>VLOOKUP(Transaction[[#This Row],[Model No.]],$AV$2:$BD$100,2,TRUE)</f>
        <v>Gulden Draak 9000 Quadruple - 4 Pack</v>
      </c>
      <c r="AO499" s="21">
        <f>VLOOKUP(Transaction[[#This Row],[Model No.]],$AV$2:$BD$100,6,TRUE)</f>
        <v>21.99</v>
      </c>
      <c r="AP499" s="9">
        <v>4</v>
      </c>
      <c r="AQ499" s="5">
        <f>Transaction[[#This Row],[Price]]*Transaction[[#This Row],[Qty]]</f>
        <v>87.96</v>
      </c>
      <c r="AR499" s="5">
        <f>VLOOKUP(Transaction[[#This Row],[Model No.]],$AV$2:$BD$100,7,TRUE)*Transaction[[#This Row],[Qty]]</f>
        <v>26.387999999999998</v>
      </c>
      <c r="AS499">
        <v>1102</v>
      </c>
      <c r="AT499">
        <v>1004</v>
      </c>
    </row>
    <row r="500" spans="36:46" x14ac:dyDescent="0.3">
      <c r="AJ500">
        <v>10943</v>
      </c>
      <c r="AK500" s="30">
        <v>42262</v>
      </c>
      <c r="AL500" t="s">
        <v>679</v>
      </c>
      <c r="AM500">
        <v>62</v>
      </c>
      <c r="AN500" t="str">
        <f>VLOOKUP(Transaction[[#This Row],[Model No.]],$AV$2:$BD$100,2,TRUE)</f>
        <v>Beerlao Dark Lager - 6 Pack</v>
      </c>
      <c r="AO500" s="21">
        <f>VLOOKUP(Transaction[[#This Row],[Model No.]],$AV$2:$BD$100,6,TRUE)</f>
        <v>12.99</v>
      </c>
      <c r="AP500" s="9">
        <v>5</v>
      </c>
      <c r="AQ500" s="5">
        <f>Transaction[[#This Row],[Price]]*Transaction[[#This Row],[Qty]]</f>
        <v>64.95</v>
      </c>
      <c r="AR500" s="5">
        <f>VLOOKUP(Transaction[[#This Row],[Model No.]],$AV$2:$BD$100,7,TRUE)*Transaction[[#This Row],[Qty]]</f>
        <v>19.484999999999999</v>
      </c>
      <c r="AS500">
        <v>1101</v>
      </c>
      <c r="AT500">
        <v>1021</v>
      </c>
    </row>
    <row r="501" spans="36:46" x14ac:dyDescent="0.3">
      <c r="AJ501">
        <v>25364</v>
      </c>
      <c r="AK501" s="30">
        <v>42262</v>
      </c>
      <c r="AL501" t="s">
        <v>754</v>
      </c>
      <c r="AM501">
        <v>77</v>
      </c>
      <c r="AN501" t="str">
        <f>VLOOKUP(Transaction[[#This Row],[Model No.]],$AV$2:$BD$100,2,TRUE)</f>
        <v>LA CHASSE PRETIGE CDR</v>
      </c>
      <c r="AO501" s="21">
        <f>VLOOKUP(Transaction[[#This Row],[Model No.]],$AV$2:$BD$100,6,TRUE)</f>
        <v>11.99</v>
      </c>
      <c r="AP501" s="9">
        <v>1</v>
      </c>
      <c r="AQ501" s="5">
        <f>Transaction[[#This Row],[Price]]*Transaction[[#This Row],[Qty]]</f>
        <v>11.99</v>
      </c>
      <c r="AR501" s="5">
        <f>VLOOKUP(Transaction[[#This Row],[Model No.]],$AV$2:$BD$100,7,TRUE)*Transaction[[#This Row],[Qty]]</f>
        <v>4.7960000000000003</v>
      </c>
      <c r="AS501">
        <v>1106</v>
      </c>
      <c r="AT501">
        <v>1014</v>
      </c>
    </row>
    <row r="502" spans="36:46" x14ac:dyDescent="0.3">
      <c r="AJ502">
        <v>41612</v>
      </c>
      <c r="AK502" s="30">
        <v>42264</v>
      </c>
      <c r="AL502" t="s">
        <v>1477</v>
      </c>
      <c r="AM502">
        <v>72</v>
      </c>
      <c r="AN502" t="str">
        <f>VLOOKUP(Transaction[[#This Row],[Model No.]],$AV$2:$BD$100,2,TRUE)</f>
        <v>Pearl Wedding Cake Vodka</v>
      </c>
      <c r="AO502" s="21">
        <f>VLOOKUP(Transaction[[#This Row],[Model No.]],$AV$2:$BD$100,6,TRUE)</f>
        <v>12.49</v>
      </c>
      <c r="AP502" s="9">
        <v>4</v>
      </c>
      <c r="AQ502" s="5">
        <f>Transaction[[#This Row],[Price]]*Transaction[[#This Row],[Qty]]</f>
        <v>49.96</v>
      </c>
      <c r="AR502" s="5">
        <f>VLOOKUP(Transaction[[#This Row],[Model No.]],$AV$2:$BD$100,7,TRUE)*Transaction[[#This Row],[Qty]]</f>
        <v>14.988</v>
      </c>
      <c r="AS502">
        <v>1103</v>
      </c>
      <c r="AT502">
        <v>1006</v>
      </c>
    </row>
    <row r="503" spans="36:46" x14ac:dyDescent="0.3">
      <c r="AJ503">
        <v>85342</v>
      </c>
      <c r="AK503" s="30">
        <v>42264</v>
      </c>
      <c r="AL503" t="s">
        <v>638</v>
      </c>
      <c r="AM503">
        <v>96</v>
      </c>
      <c r="AN503" t="str">
        <f>VLOOKUP(Transaction[[#This Row],[Model No.]],$AV$2:$BD$100,2,TRUE)</f>
        <v>Arbor Mist Blackberry Merlot</v>
      </c>
      <c r="AO503" s="21">
        <f>VLOOKUP(Transaction[[#This Row],[Model No.]],$AV$2:$BD$100,6,TRUE)</f>
        <v>6.19</v>
      </c>
      <c r="AP503" s="9">
        <v>2</v>
      </c>
      <c r="AQ503" s="5">
        <f>Transaction[[#This Row],[Price]]*Transaction[[#This Row],[Qty]]</f>
        <v>12.38</v>
      </c>
      <c r="AR503" s="5">
        <f>VLOOKUP(Transaction[[#This Row],[Model No.]],$AV$2:$BD$100,7,TRUE)*Transaction[[#This Row],[Qty]]</f>
        <v>1.2380000000000002</v>
      </c>
      <c r="AS503">
        <v>1106</v>
      </c>
      <c r="AT503">
        <v>1006</v>
      </c>
    </row>
    <row r="504" spans="36:46" x14ac:dyDescent="0.3">
      <c r="AJ504">
        <v>18653</v>
      </c>
      <c r="AK504" s="30">
        <v>42265</v>
      </c>
      <c r="AL504" t="s">
        <v>1198</v>
      </c>
      <c r="AM504">
        <v>34</v>
      </c>
      <c r="AN504" t="str">
        <f>VLOOKUP(Transaction[[#This Row],[Model No.]],$AV$2:$BD$100,2,TRUE)</f>
        <v>The Eyrie Vineyards Pinot Gris</v>
      </c>
      <c r="AO504" s="21">
        <f>VLOOKUP(Transaction[[#This Row],[Model No.]],$AV$2:$BD$100,6,TRUE)</f>
        <v>20.99</v>
      </c>
      <c r="AP504" s="9">
        <v>5</v>
      </c>
      <c r="AQ504" s="5">
        <f>Transaction[[#This Row],[Price]]*Transaction[[#This Row],[Qty]]</f>
        <v>104.94999999999999</v>
      </c>
      <c r="AR504" s="5">
        <f>VLOOKUP(Transaction[[#This Row],[Model No.]],$AV$2:$BD$100,7,TRUE)*Transaction[[#This Row],[Qty]]</f>
        <v>20.99</v>
      </c>
      <c r="AS504">
        <v>1107</v>
      </c>
      <c r="AT504">
        <v>1020</v>
      </c>
    </row>
    <row r="505" spans="36:46" x14ac:dyDescent="0.3">
      <c r="AJ505">
        <v>74314</v>
      </c>
      <c r="AK505" s="30">
        <v>42266</v>
      </c>
      <c r="AL505" t="s">
        <v>1258</v>
      </c>
      <c r="AM505">
        <v>5</v>
      </c>
      <c r="AN505" t="str">
        <f>VLOOKUP(Transaction[[#This Row],[Model No.]],$AV$2:$BD$100,2,TRUE)</f>
        <v>Old Forester 1897 Bottled in Bond Kentucky Straight Bourbon Whisky</v>
      </c>
      <c r="AO505" s="21">
        <f>VLOOKUP(Transaction[[#This Row],[Model No.]],$AV$2:$BD$100,6,TRUE)</f>
        <v>46.99</v>
      </c>
      <c r="AP505" s="9">
        <v>4</v>
      </c>
      <c r="AQ505" s="5">
        <f>Transaction[[#This Row],[Price]]*Transaction[[#This Row],[Qty]]</f>
        <v>187.96</v>
      </c>
      <c r="AR505" s="5">
        <f>VLOOKUP(Transaction[[#This Row],[Model No.]],$AV$2:$BD$100,7,TRUE)*Transaction[[#This Row],[Qty]]</f>
        <v>37.592000000000006</v>
      </c>
      <c r="AS505">
        <v>1106</v>
      </c>
      <c r="AT505">
        <v>1020</v>
      </c>
    </row>
    <row r="506" spans="36:46" x14ac:dyDescent="0.3">
      <c r="AJ506">
        <v>21408</v>
      </c>
      <c r="AK506" s="30">
        <v>42266</v>
      </c>
      <c r="AL506" t="s">
        <v>862</v>
      </c>
      <c r="AM506">
        <v>42</v>
      </c>
      <c r="AN506" t="str">
        <f>VLOOKUP(Transaction[[#This Row],[Model No.]],$AV$2:$BD$100,2,TRUE)</f>
        <v>Francis Ford Coppola Sofia Brut Rose Pinot Noir</v>
      </c>
      <c r="AO506" s="21">
        <f>VLOOKUP(Transaction[[#This Row],[Model No.]],$AV$2:$BD$100,6,TRUE)</f>
        <v>16.989999999999998</v>
      </c>
      <c r="AP506" s="9">
        <v>3</v>
      </c>
      <c r="AQ506" s="5">
        <f>Transaction[[#This Row],[Price]]*Transaction[[#This Row],[Qty]]</f>
        <v>50.97</v>
      </c>
      <c r="AR506" s="5">
        <f>VLOOKUP(Transaction[[#This Row],[Model No.]],$AV$2:$BD$100,7,TRUE)*Transaction[[#This Row],[Qty]]</f>
        <v>20.387999999999998</v>
      </c>
      <c r="AS506">
        <v>1108</v>
      </c>
      <c r="AT506">
        <v>1015</v>
      </c>
    </row>
    <row r="507" spans="36:46" x14ac:dyDescent="0.3">
      <c r="AJ507">
        <v>39813</v>
      </c>
      <c r="AK507" s="30">
        <v>42267</v>
      </c>
      <c r="AL507" t="s">
        <v>957</v>
      </c>
      <c r="AM507">
        <v>24</v>
      </c>
      <c r="AN507" t="str">
        <f>VLOOKUP(Transaction[[#This Row],[Model No.]],$AV$2:$BD$100,2,TRUE)</f>
        <v>Matchbook The Arsonist Bordeaux Blend</v>
      </c>
      <c r="AO507" s="21">
        <f>VLOOKUP(Transaction[[#This Row],[Model No.]],$AV$2:$BD$100,6,TRUE)</f>
        <v>24.99</v>
      </c>
      <c r="AP507" s="9">
        <v>1</v>
      </c>
      <c r="AQ507" s="5">
        <f>Transaction[[#This Row],[Price]]*Transaction[[#This Row],[Qty]]</f>
        <v>24.99</v>
      </c>
      <c r="AR507" s="5">
        <f>VLOOKUP(Transaction[[#This Row],[Model No.]],$AV$2:$BD$100,7,TRUE)*Transaction[[#This Row],[Qty]]</f>
        <v>2.4990000000000001</v>
      </c>
      <c r="AS507">
        <v>1107</v>
      </c>
      <c r="AT507">
        <v>1021</v>
      </c>
    </row>
    <row r="508" spans="36:46" x14ac:dyDescent="0.3">
      <c r="AJ508">
        <v>84952</v>
      </c>
      <c r="AK508" s="30">
        <v>42268</v>
      </c>
      <c r="AL508" t="s">
        <v>784</v>
      </c>
      <c r="AM508">
        <v>9</v>
      </c>
      <c r="AN508" t="str">
        <f>VLOOKUP(Transaction[[#This Row],[Model No.]],$AV$2:$BD$100,2,TRUE)</f>
        <v>Ass Kisser Double IPA - 12 Pack</v>
      </c>
      <c r="AO508" s="21">
        <f>VLOOKUP(Transaction[[#This Row],[Model No.]],$AV$2:$BD$100,6,TRUE)</f>
        <v>43.99</v>
      </c>
      <c r="AP508" s="9">
        <v>5</v>
      </c>
      <c r="AQ508" s="5">
        <f>Transaction[[#This Row],[Price]]*Transaction[[#This Row],[Qty]]</f>
        <v>219.95000000000002</v>
      </c>
      <c r="AR508" s="5">
        <f>VLOOKUP(Transaction[[#This Row],[Model No.]],$AV$2:$BD$100,7,TRUE)*Transaction[[#This Row],[Qty]]</f>
        <v>65.984999999999999</v>
      </c>
      <c r="AS508">
        <v>1099</v>
      </c>
      <c r="AT508">
        <v>1000</v>
      </c>
    </row>
    <row r="509" spans="36:46" x14ac:dyDescent="0.3">
      <c r="AJ509">
        <v>56931</v>
      </c>
      <c r="AK509" s="30">
        <v>42268</v>
      </c>
      <c r="AL509" t="s">
        <v>1542</v>
      </c>
      <c r="AM509">
        <v>62</v>
      </c>
      <c r="AN509" t="str">
        <f>VLOOKUP(Transaction[[#This Row],[Model No.]],$AV$2:$BD$100,2,TRUE)</f>
        <v>Beerlao Dark Lager - 6 Pack</v>
      </c>
      <c r="AO509" s="21">
        <f>VLOOKUP(Transaction[[#This Row],[Model No.]],$AV$2:$BD$100,6,TRUE)</f>
        <v>12.99</v>
      </c>
      <c r="AP509" s="9">
        <v>5</v>
      </c>
      <c r="AQ509" s="5">
        <f>Transaction[[#This Row],[Price]]*Transaction[[#This Row],[Qty]]</f>
        <v>64.95</v>
      </c>
      <c r="AR509" s="5">
        <f>VLOOKUP(Transaction[[#This Row],[Model No.]],$AV$2:$BD$100,7,TRUE)*Transaction[[#This Row],[Qty]]</f>
        <v>19.484999999999999</v>
      </c>
      <c r="AS509">
        <v>1101</v>
      </c>
      <c r="AT509">
        <v>1003</v>
      </c>
    </row>
    <row r="510" spans="36:46" x14ac:dyDescent="0.3">
      <c r="AJ510">
        <v>60284</v>
      </c>
      <c r="AK510" s="30">
        <v>42268</v>
      </c>
      <c r="AL510" t="s">
        <v>1318</v>
      </c>
      <c r="AM510">
        <v>95</v>
      </c>
      <c r="AN510" t="str">
        <f>VLOOKUP(Transaction[[#This Row],[Model No.]],$AV$2:$BD$100,2,TRUE)</f>
        <v>Kuromatsu Hakushika Chokara Extra Dry Sake</v>
      </c>
      <c r="AO510" s="21">
        <f>VLOOKUP(Transaction[[#This Row],[Model No.]],$AV$2:$BD$100,6,TRUE)</f>
        <v>7.49</v>
      </c>
      <c r="AP510" s="9">
        <v>3</v>
      </c>
      <c r="AQ510" s="5">
        <f>Transaction[[#This Row],[Price]]*Transaction[[#This Row],[Qty]]</f>
        <v>22.47</v>
      </c>
      <c r="AR510" s="5">
        <f>VLOOKUP(Transaction[[#This Row],[Model No.]],$AV$2:$BD$100,7,TRUE)*Transaction[[#This Row],[Qty]]</f>
        <v>2.2470000000000003</v>
      </c>
      <c r="AS510">
        <v>1101</v>
      </c>
      <c r="AT510">
        <v>1014</v>
      </c>
    </row>
    <row r="511" spans="36:46" x14ac:dyDescent="0.3">
      <c r="AJ511">
        <v>40451</v>
      </c>
      <c r="AK511" s="30">
        <v>42271</v>
      </c>
      <c r="AL511" t="s">
        <v>768</v>
      </c>
      <c r="AM511">
        <v>77</v>
      </c>
      <c r="AN511" t="str">
        <f>VLOOKUP(Transaction[[#This Row],[Model No.]],$AV$2:$BD$100,2,TRUE)</f>
        <v>LA CHASSE PRETIGE CDR</v>
      </c>
      <c r="AO511" s="21">
        <f>VLOOKUP(Transaction[[#This Row],[Model No.]],$AV$2:$BD$100,6,TRUE)</f>
        <v>11.99</v>
      </c>
      <c r="AP511" s="9">
        <v>5</v>
      </c>
      <c r="AQ511" s="5">
        <f>Transaction[[#This Row],[Price]]*Transaction[[#This Row],[Qty]]</f>
        <v>59.95</v>
      </c>
      <c r="AR511" s="5">
        <f>VLOOKUP(Transaction[[#This Row],[Model No.]],$AV$2:$BD$100,7,TRUE)*Transaction[[#This Row],[Qty]]</f>
        <v>23.98</v>
      </c>
      <c r="AS511">
        <v>1108</v>
      </c>
      <c r="AT511">
        <v>1020</v>
      </c>
    </row>
    <row r="512" spans="36:46" x14ac:dyDescent="0.3">
      <c r="AJ512">
        <v>77976</v>
      </c>
      <c r="AK512" s="30">
        <v>42272</v>
      </c>
      <c r="AL512" t="s">
        <v>1005</v>
      </c>
      <c r="AM512">
        <v>25</v>
      </c>
      <c r="AN512" t="str">
        <f>VLOOKUP(Transaction[[#This Row],[Model No.]],$AV$2:$BD$100,2,TRUE)</f>
        <v>ICEHOUSE 4/6 LNNR - 24 Pack</v>
      </c>
      <c r="AO512" s="21">
        <f>VLOOKUP(Transaction[[#This Row],[Model No.]],$AV$2:$BD$100,6,TRUE)</f>
        <v>23.99</v>
      </c>
      <c r="AP512" s="9">
        <v>2</v>
      </c>
      <c r="AQ512" s="5">
        <f>Transaction[[#This Row],[Price]]*Transaction[[#This Row],[Qty]]</f>
        <v>47.98</v>
      </c>
      <c r="AR512" s="5">
        <f>VLOOKUP(Transaction[[#This Row],[Model No.]],$AV$2:$BD$100,7,TRUE)*Transaction[[#This Row],[Qty]]</f>
        <v>14.393999999999998</v>
      </c>
      <c r="AS512">
        <v>1100</v>
      </c>
      <c r="AT512">
        <v>1019</v>
      </c>
    </row>
    <row r="513" spans="36:46" x14ac:dyDescent="0.3">
      <c r="AJ513">
        <v>52545</v>
      </c>
      <c r="AK513" s="30">
        <v>42273</v>
      </c>
      <c r="AL513" t="s">
        <v>1286</v>
      </c>
      <c r="AM513">
        <v>96</v>
      </c>
      <c r="AN513" t="str">
        <f>VLOOKUP(Transaction[[#This Row],[Model No.]],$AV$2:$BD$100,2,TRUE)</f>
        <v>Arbor Mist Blackberry Merlot</v>
      </c>
      <c r="AO513" s="21">
        <f>VLOOKUP(Transaction[[#This Row],[Model No.]],$AV$2:$BD$100,6,TRUE)</f>
        <v>6.19</v>
      </c>
      <c r="AP513" s="9">
        <v>1</v>
      </c>
      <c r="AQ513" s="5">
        <f>Transaction[[#This Row],[Price]]*Transaction[[#This Row],[Qty]]</f>
        <v>6.19</v>
      </c>
      <c r="AR513" s="5">
        <f>VLOOKUP(Transaction[[#This Row],[Model No.]],$AV$2:$BD$100,7,TRUE)*Transaction[[#This Row],[Qty]]</f>
        <v>0.61900000000000011</v>
      </c>
      <c r="AS513">
        <v>1104</v>
      </c>
      <c r="AT513">
        <v>1020</v>
      </c>
    </row>
    <row r="514" spans="36:46" x14ac:dyDescent="0.3">
      <c r="AJ514">
        <v>77080</v>
      </c>
      <c r="AK514" s="30">
        <v>42274</v>
      </c>
      <c r="AL514" t="s">
        <v>1568</v>
      </c>
      <c r="AM514">
        <v>87</v>
      </c>
      <c r="AN514" t="str">
        <f>VLOOKUP(Transaction[[#This Row],[Model No.]],$AV$2:$BD$100,2,TRUE)</f>
        <v>Cruzan 9 Spiced Rum</v>
      </c>
      <c r="AO514" s="21">
        <f>VLOOKUP(Transaction[[#This Row],[Model No.]],$AV$2:$BD$100,6,TRUE)</f>
        <v>9.49</v>
      </c>
      <c r="AP514" s="9">
        <v>3</v>
      </c>
      <c r="AQ514" s="5">
        <f>Transaction[[#This Row],[Price]]*Transaction[[#This Row],[Qty]]</f>
        <v>28.47</v>
      </c>
      <c r="AR514" s="5">
        <f>VLOOKUP(Transaction[[#This Row],[Model No.]],$AV$2:$BD$100,7,TRUE)*Transaction[[#This Row],[Qty]]</f>
        <v>5.6940000000000008</v>
      </c>
      <c r="AS514">
        <v>1099</v>
      </c>
      <c r="AT514">
        <v>1008</v>
      </c>
    </row>
    <row r="515" spans="36:46" x14ac:dyDescent="0.3">
      <c r="AJ515">
        <v>88262</v>
      </c>
      <c r="AK515" s="30">
        <v>42276</v>
      </c>
      <c r="AL515" t="s">
        <v>1177</v>
      </c>
      <c r="AM515">
        <v>22</v>
      </c>
      <c r="AN515" t="str">
        <f>VLOOKUP(Transaction[[#This Row],[Model No.]],$AV$2:$BD$100,2,TRUE)</f>
        <v>Efe Raki Black Triple Distilled Liqueur</v>
      </c>
      <c r="AO515" s="21">
        <f>VLOOKUP(Transaction[[#This Row],[Model No.]],$AV$2:$BD$100,6,TRUE)</f>
        <v>25.99</v>
      </c>
      <c r="AP515" s="9">
        <v>4</v>
      </c>
      <c r="AQ515" s="5">
        <f>Transaction[[#This Row],[Price]]*Transaction[[#This Row],[Qty]]</f>
        <v>103.96</v>
      </c>
      <c r="AR515" s="5">
        <f>VLOOKUP(Transaction[[#This Row],[Model No.]],$AV$2:$BD$100,7,TRUE)*Transaction[[#This Row],[Qty]]</f>
        <v>31.187999999999995</v>
      </c>
      <c r="AS515">
        <v>1099</v>
      </c>
      <c r="AT515">
        <v>1018</v>
      </c>
    </row>
    <row r="516" spans="36:46" x14ac:dyDescent="0.3">
      <c r="AJ516">
        <v>43201</v>
      </c>
      <c r="AK516" s="30">
        <v>42277</v>
      </c>
      <c r="AL516" t="s">
        <v>854</v>
      </c>
      <c r="AM516">
        <v>14</v>
      </c>
      <c r="AN516" t="str">
        <f>VLOOKUP(Transaction[[#This Row],[Model No.]],$AV$2:$BD$100,2,TRUE)</f>
        <v>Walter Hansel Winery The Estate Vineyards Chardonnay</v>
      </c>
      <c r="AO516" s="21">
        <f>VLOOKUP(Transaction[[#This Row],[Model No.]],$AV$2:$BD$100,6,TRUE)</f>
        <v>34.99</v>
      </c>
      <c r="AP516" s="9">
        <v>1</v>
      </c>
      <c r="AQ516" s="5">
        <f>Transaction[[#This Row],[Price]]*Transaction[[#This Row],[Qty]]</f>
        <v>34.99</v>
      </c>
      <c r="AR516" s="5">
        <f>VLOOKUP(Transaction[[#This Row],[Model No.]],$AV$2:$BD$100,7,TRUE)*Transaction[[#This Row],[Qty]]</f>
        <v>6.9980000000000011</v>
      </c>
      <c r="AS516">
        <v>1099</v>
      </c>
      <c r="AT516">
        <v>1020</v>
      </c>
    </row>
    <row r="517" spans="36:46" x14ac:dyDescent="0.3">
      <c r="AJ517">
        <v>80577</v>
      </c>
      <c r="AK517" s="30">
        <v>42278</v>
      </c>
      <c r="AL517" t="s">
        <v>1288</v>
      </c>
      <c r="AM517">
        <v>21</v>
      </c>
      <c r="AN517" t="str">
        <f>VLOOKUP(Transaction[[#This Row],[Model No.]],$AV$2:$BD$100,2,TRUE)</f>
        <v>Adelsheim Ribbon Springs Auxerrois</v>
      </c>
      <c r="AO517" s="21">
        <f>VLOOKUP(Transaction[[#This Row],[Model No.]],$AV$2:$BD$100,6,TRUE)</f>
        <v>25.99</v>
      </c>
      <c r="AP517" s="9">
        <v>1</v>
      </c>
      <c r="AQ517" s="5">
        <f>Transaction[[#This Row],[Price]]*Transaction[[#This Row],[Qty]]</f>
        <v>25.99</v>
      </c>
      <c r="AR517" s="5">
        <f>VLOOKUP(Transaction[[#This Row],[Model No.]],$AV$2:$BD$100,7,TRUE)*Transaction[[#This Row],[Qty]]</f>
        <v>2.5990000000000002</v>
      </c>
      <c r="AS517">
        <v>1099</v>
      </c>
      <c r="AT517">
        <v>1015</v>
      </c>
    </row>
    <row r="518" spans="36:46" x14ac:dyDescent="0.3">
      <c r="AJ518">
        <v>34820</v>
      </c>
      <c r="AK518" s="30">
        <v>42278</v>
      </c>
      <c r="AL518" t="s">
        <v>407</v>
      </c>
      <c r="AM518">
        <v>63</v>
      </c>
      <c r="AN518" t="str">
        <f>VLOOKUP(Transaction[[#This Row],[Model No.]],$AV$2:$BD$100,2,TRUE)</f>
        <v>Troegs LaGrave - 4 Pack</v>
      </c>
      <c r="AO518" s="21">
        <f>VLOOKUP(Transaction[[#This Row],[Model No.]],$AV$2:$BD$100,6,TRUE)</f>
        <v>12.99</v>
      </c>
      <c r="AP518" s="9">
        <v>3</v>
      </c>
      <c r="AQ518" s="5">
        <f>Transaction[[#This Row],[Price]]*Transaction[[#This Row],[Qty]]</f>
        <v>38.97</v>
      </c>
      <c r="AR518" s="5">
        <f>VLOOKUP(Transaction[[#This Row],[Model No.]],$AV$2:$BD$100,7,TRUE)*Transaction[[#This Row],[Qty]]</f>
        <v>11.690999999999999</v>
      </c>
      <c r="AS518">
        <v>1104</v>
      </c>
      <c r="AT518">
        <v>1020</v>
      </c>
    </row>
    <row r="519" spans="36:46" x14ac:dyDescent="0.3">
      <c r="AJ519">
        <v>54243</v>
      </c>
      <c r="AK519" s="30">
        <v>42279</v>
      </c>
      <c r="AL519" t="s">
        <v>1849</v>
      </c>
      <c r="AM519">
        <v>77</v>
      </c>
      <c r="AN519" t="str">
        <f>VLOOKUP(Transaction[[#This Row],[Model No.]],$AV$2:$BD$100,2,TRUE)</f>
        <v>LA CHASSE PRETIGE CDR</v>
      </c>
      <c r="AO519" s="21">
        <f>VLOOKUP(Transaction[[#This Row],[Model No.]],$AV$2:$BD$100,6,TRUE)</f>
        <v>11.99</v>
      </c>
      <c r="AP519" s="9">
        <v>5</v>
      </c>
      <c r="AQ519" s="5">
        <f>Transaction[[#This Row],[Price]]*Transaction[[#This Row],[Qty]]</f>
        <v>59.95</v>
      </c>
      <c r="AR519" s="5">
        <f>VLOOKUP(Transaction[[#This Row],[Model No.]],$AV$2:$BD$100,7,TRUE)*Transaction[[#This Row],[Qty]]</f>
        <v>23.98</v>
      </c>
      <c r="AS519">
        <v>1102</v>
      </c>
      <c r="AT519">
        <v>1001</v>
      </c>
    </row>
    <row r="520" spans="36:46" x14ac:dyDescent="0.3">
      <c r="AJ520">
        <v>44194</v>
      </c>
      <c r="AK520" s="30">
        <v>42279</v>
      </c>
      <c r="AL520" t="s">
        <v>940</v>
      </c>
      <c r="AM520">
        <v>86</v>
      </c>
      <c r="AN520" t="str">
        <f>VLOOKUP(Transaction[[#This Row],[Model No.]],$AV$2:$BD$100,2,TRUE)</f>
        <v>Bully Hill Vineyards Love My Goat Baco Noir</v>
      </c>
      <c r="AO520" s="21">
        <f>VLOOKUP(Transaction[[#This Row],[Model No.]],$AV$2:$BD$100,6,TRUE)</f>
        <v>9.49</v>
      </c>
      <c r="AP520" s="9">
        <v>3</v>
      </c>
      <c r="AQ520" s="5">
        <f>Transaction[[#This Row],[Price]]*Transaction[[#This Row],[Qty]]</f>
        <v>28.47</v>
      </c>
      <c r="AR520" s="5">
        <f>VLOOKUP(Transaction[[#This Row],[Model No.]],$AV$2:$BD$100,7,TRUE)*Transaction[[#This Row],[Qty]]</f>
        <v>2.8470000000000004</v>
      </c>
      <c r="AS520">
        <v>1107</v>
      </c>
      <c r="AT520">
        <v>1015</v>
      </c>
    </row>
    <row r="521" spans="36:46" x14ac:dyDescent="0.3">
      <c r="AJ521">
        <v>21321</v>
      </c>
      <c r="AK521" s="30">
        <v>42280</v>
      </c>
      <c r="AL521" t="s">
        <v>583</v>
      </c>
      <c r="AM521">
        <v>22</v>
      </c>
      <c r="AN521" t="str">
        <f>VLOOKUP(Transaction[[#This Row],[Model No.]],$AV$2:$BD$100,2,TRUE)</f>
        <v>Efe Raki Black Triple Distilled Liqueur</v>
      </c>
      <c r="AO521" s="21">
        <f>VLOOKUP(Transaction[[#This Row],[Model No.]],$AV$2:$BD$100,6,TRUE)</f>
        <v>25.99</v>
      </c>
      <c r="AP521" s="9">
        <v>5</v>
      </c>
      <c r="AQ521" s="5">
        <f>Transaction[[#This Row],[Price]]*Transaction[[#This Row],[Qty]]</f>
        <v>129.94999999999999</v>
      </c>
      <c r="AR521" s="5">
        <f>VLOOKUP(Transaction[[#This Row],[Model No.]],$AV$2:$BD$100,7,TRUE)*Transaction[[#This Row],[Qty]]</f>
        <v>38.984999999999992</v>
      </c>
      <c r="AS521">
        <v>1108</v>
      </c>
      <c r="AT521">
        <v>1016</v>
      </c>
    </row>
    <row r="522" spans="36:46" x14ac:dyDescent="0.3">
      <c r="AJ522">
        <v>68485</v>
      </c>
      <c r="AK522" s="30">
        <v>42280</v>
      </c>
      <c r="AL522" t="s">
        <v>1132</v>
      </c>
      <c r="AM522">
        <v>38</v>
      </c>
      <c r="AN522" t="str">
        <f>VLOOKUP(Transaction[[#This Row],[Model No.]],$AV$2:$BD$100,2,TRUE)</f>
        <v>CiROC Red Berry Vodka</v>
      </c>
      <c r="AO522" s="21">
        <f>VLOOKUP(Transaction[[#This Row],[Model No.]],$AV$2:$BD$100,6,TRUE)</f>
        <v>19.989999999999998</v>
      </c>
      <c r="AP522" s="9">
        <v>2</v>
      </c>
      <c r="AQ522" s="5">
        <f>Transaction[[#This Row],[Price]]*Transaction[[#This Row],[Qty]]</f>
        <v>39.979999999999997</v>
      </c>
      <c r="AR522" s="5">
        <f>VLOOKUP(Transaction[[#This Row],[Model No.]],$AV$2:$BD$100,7,TRUE)*Transaction[[#This Row],[Qty]]</f>
        <v>11.993999999999998</v>
      </c>
      <c r="AS522">
        <v>1098</v>
      </c>
      <c r="AT522">
        <v>1019</v>
      </c>
    </row>
    <row r="523" spans="36:46" x14ac:dyDescent="0.3">
      <c r="AJ523">
        <v>46323</v>
      </c>
      <c r="AK523" s="30">
        <v>42282</v>
      </c>
      <c r="AL523" t="s">
        <v>1122</v>
      </c>
      <c r="AM523">
        <v>20</v>
      </c>
      <c r="AN523" t="str">
        <f>VLOOKUP(Transaction[[#This Row],[Model No.]],$AV$2:$BD$100,2,TRUE)</f>
        <v>Stonewall American Rum</v>
      </c>
      <c r="AO523" s="21">
        <f>VLOOKUP(Transaction[[#This Row],[Model No.]],$AV$2:$BD$100,6,TRUE)</f>
        <v>27.99</v>
      </c>
      <c r="AP523" s="9">
        <v>2</v>
      </c>
      <c r="AQ523" s="5">
        <f>Transaction[[#This Row],[Price]]*Transaction[[#This Row],[Qty]]</f>
        <v>55.98</v>
      </c>
      <c r="AR523" s="5">
        <f>VLOOKUP(Transaction[[#This Row],[Model No.]],$AV$2:$BD$100,7,TRUE)*Transaction[[#This Row],[Qty]]</f>
        <v>11.196</v>
      </c>
      <c r="AS523">
        <v>1108</v>
      </c>
      <c r="AT523">
        <v>1020</v>
      </c>
    </row>
    <row r="524" spans="36:46" x14ac:dyDescent="0.3">
      <c r="AJ524">
        <v>57468</v>
      </c>
      <c r="AK524" s="30">
        <v>42284</v>
      </c>
      <c r="AL524" t="s">
        <v>628</v>
      </c>
      <c r="AM524">
        <v>18</v>
      </c>
      <c r="AN524" t="str">
        <f>VLOOKUP(Transaction[[#This Row],[Model No.]],$AV$2:$BD$100,2,TRUE)</f>
        <v>Twenty Grand Peach Vodka</v>
      </c>
      <c r="AO524" s="21">
        <f>VLOOKUP(Transaction[[#This Row],[Model No.]],$AV$2:$BD$100,6,TRUE)</f>
        <v>30.99</v>
      </c>
      <c r="AP524" s="9">
        <v>5</v>
      </c>
      <c r="AQ524" s="5">
        <f>Transaction[[#This Row],[Price]]*Transaction[[#This Row],[Qty]]</f>
        <v>154.94999999999999</v>
      </c>
      <c r="AR524" s="5">
        <f>VLOOKUP(Transaction[[#This Row],[Model No.]],$AV$2:$BD$100,7,TRUE)*Transaction[[#This Row],[Qty]]</f>
        <v>46.484999999999992</v>
      </c>
      <c r="AS524">
        <v>1107</v>
      </c>
      <c r="AT524">
        <v>1004</v>
      </c>
    </row>
    <row r="525" spans="36:46" x14ac:dyDescent="0.3">
      <c r="AJ525">
        <v>75349</v>
      </c>
      <c r="AK525" s="30">
        <v>42284</v>
      </c>
      <c r="AL525" t="s">
        <v>459</v>
      </c>
      <c r="AM525">
        <v>34</v>
      </c>
      <c r="AN525" t="str">
        <f>VLOOKUP(Transaction[[#This Row],[Model No.]],$AV$2:$BD$100,2,TRUE)</f>
        <v>The Eyrie Vineyards Pinot Gris</v>
      </c>
      <c r="AO525" s="21">
        <f>VLOOKUP(Transaction[[#This Row],[Model No.]],$AV$2:$BD$100,6,TRUE)</f>
        <v>20.99</v>
      </c>
      <c r="AP525" s="9">
        <v>5</v>
      </c>
      <c r="AQ525" s="5">
        <f>Transaction[[#This Row],[Price]]*Transaction[[#This Row],[Qty]]</f>
        <v>104.94999999999999</v>
      </c>
      <c r="AR525" s="5">
        <f>VLOOKUP(Transaction[[#This Row],[Model No.]],$AV$2:$BD$100,7,TRUE)*Transaction[[#This Row],[Qty]]</f>
        <v>20.99</v>
      </c>
      <c r="AS525">
        <v>1105</v>
      </c>
      <c r="AT525">
        <v>1011</v>
      </c>
    </row>
    <row r="526" spans="36:46" x14ac:dyDescent="0.3">
      <c r="AJ526">
        <v>28293</v>
      </c>
      <c r="AK526" s="30">
        <v>42286</v>
      </c>
      <c r="AL526" t="s">
        <v>1712</v>
      </c>
      <c r="AM526">
        <v>45</v>
      </c>
      <c r="AN526" t="str">
        <f>VLOOKUP(Transaction[[#This Row],[Model No.]],$AV$2:$BD$100,2,TRUE)</f>
        <v>Sixpoint Resin - 6 Pack</v>
      </c>
      <c r="AO526" s="21">
        <f>VLOOKUP(Transaction[[#This Row],[Model No.]],$AV$2:$BD$100,6,TRUE)</f>
        <v>15.99</v>
      </c>
      <c r="AP526" s="9">
        <v>4</v>
      </c>
      <c r="AQ526" s="5">
        <f>Transaction[[#This Row],[Price]]*Transaction[[#This Row],[Qty]]</f>
        <v>63.96</v>
      </c>
      <c r="AR526" s="5">
        <f>VLOOKUP(Transaction[[#This Row],[Model No.]],$AV$2:$BD$100,7,TRUE)*Transaction[[#This Row],[Qty]]</f>
        <v>19.187999999999999</v>
      </c>
      <c r="AS526">
        <v>1104</v>
      </c>
      <c r="AT526">
        <v>1008</v>
      </c>
    </row>
    <row r="527" spans="36:46" x14ac:dyDescent="0.3">
      <c r="AJ527">
        <v>32715</v>
      </c>
      <c r="AK527" s="30">
        <v>42292</v>
      </c>
      <c r="AL527" t="s">
        <v>1138</v>
      </c>
      <c r="AM527">
        <v>72</v>
      </c>
      <c r="AN527" t="str">
        <f>VLOOKUP(Transaction[[#This Row],[Model No.]],$AV$2:$BD$100,2,TRUE)</f>
        <v>Pearl Wedding Cake Vodka</v>
      </c>
      <c r="AO527" s="21">
        <f>VLOOKUP(Transaction[[#This Row],[Model No.]],$AV$2:$BD$100,6,TRUE)</f>
        <v>12.49</v>
      </c>
      <c r="AP527" s="9">
        <v>1</v>
      </c>
      <c r="AQ527" s="5">
        <f>Transaction[[#This Row],[Price]]*Transaction[[#This Row],[Qty]]</f>
        <v>12.49</v>
      </c>
      <c r="AR527" s="5">
        <f>VLOOKUP(Transaction[[#This Row],[Model No.]],$AV$2:$BD$100,7,TRUE)*Transaction[[#This Row],[Qty]]</f>
        <v>3.7469999999999999</v>
      </c>
      <c r="AS527">
        <v>1107</v>
      </c>
      <c r="AT527">
        <v>1021</v>
      </c>
    </row>
    <row r="528" spans="36:46" x14ac:dyDescent="0.3">
      <c r="AJ528">
        <v>30673</v>
      </c>
      <c r="AK528" s="30">
        <v>42293</v>
      </c>
      <c r="AL528" t="s">
        <v>677</v>
      </c>
      <c r="AM528">
        <v>15</v>
      </c>
      <c r="AN528" t="str">
        <f>VLOOKUP(Transaction[[#This Row],[Model No.]],$AV$2:$BD$100,2,TRUE)</f>
        <v>Wild Turkey 101 Kentucky Straight Bourbon Whiskey</v>
      </c>
      <c r="AO528" s="21">
        <f>VLOOKUP(Transaction[[#This Row],[Model No.]],$AV$2:$BD$100,6,TRUE)</f>
        <v>32.99</v>
      </c>
      <c r="AP528" s="9">
        <v>5</v>
      </c>
      <c r="AQ528" s="5">
        <f>Transaction[[#This Row],[Price]]*Transaction[[#This Row],[Qty]]</f>
        <v>164.95000000000002</v>
      </c>
      <c r="AR528" s="5">
        <f>VLOOKUP(Transaction[[#This Row],[Model No.]],$AV$2:$BD$100,7,TRUE)*Transaction[[#This Row],[Qty]]</f>
        <v>32.99</v>
      </c>
      <c r="AS528">
        <v>1104</v>
      </c>
      <c r="AT528">
        <v>1007</v>
      </c>
    </row>
    <row r="529" spans="36:46" x14ac:dyDescent="0.3">
      <c r="AJ529">
        <v>50248</v>
      </c>
      <c r="AK529" s="30">
        <v>42295</v>
      </c>
      <c r="AL529" t="s">
        <v>1814</v>
      </c>
      <c r="AM529">
        <v>73</v>
      </c>
      <c r="AN529" t="str">
        <f>VLOOKUP(Transaction[[#This Row],[Model No.]],$AV$2:$BD$100,2,TRUE)</f>
        <v>Schlafly Oktoberfest - 6 Pack</v>
      </c>
      <c r="AO529" s="21">
        <f>VLOOKUP(Transaction[[#This Row],[Model No.]],$AV$2:$BD$100,6,TRUE)</f>
        <v>11.99</v>
      </c>
      <c r="AP529" s="9">
        <v>4</v>
      </c>
      <c r="AQ529" s="5">
        <f>Transaction[[#This Row],[Price]]*Transaction[[#This Row],[Qty]]</f>
        <v>47.96</v>
      </c>
      <c r="AR529" s="5">
        <f>VLOOKUP(Transaction[[#This Row],[Model No.]],$AV$2:$BD$100,7,TRUE)*Transaction[[#This Row],[Qty]]</f>
        <v>14.388</v>
      </c>
      <c r="AS529">
        <v>1105</v>
      </c>
      <c r="AT529">
        <v>1001</v>
      </c>
    </row>
    <row r="530" spans="36:46" x14ac:dyDescent="0.3">
      <c r="AJ530">
        <v>26924</v>
      </c>
      <c r="AK530" s="30">
        <v>42297</v>
      </c>
      <c r="AL530" t="s">
        <v>539</v>
      </c>
      <c r="AM530">
        <v>7</v>
      </c>
      <c r="AN530" t="str">
        <f>VLOOKUP(Transaction[[#This Row],[Model No.]],$AV$2:$BD$100,2,TRUE)</f>
        <v>Glenkinchie Distillers Edition Single Malt Scotch Whisky</v>
      </c>
      <c r="AO530" s="21">
        <f>VLOOKUP(Transaction[[#This Row],[Model No.]],$AV$2:$BD$100,6,TRUE)</f>
        <v>45.99</v>
      </c>
      <c r="AP530" s="9">
        <v>2</v>
      </c>
      <c r="AQ530" s="5">
        <f>Transaction[[#This Row],[Price]]*Transaction[[#This Row],[Qty]]</f>
        <v>91.98</v>
      </c>
      <c r="AR530" s="5">
        <f>VLOOKUP(Transaction[[#This Row],[Model No.]],$AV$2:$BD$100,7,TRUE)*Transaction[[#This Row],[Qty]]</f>
        <v>27.594000000000001</v>
      </c>
      <c r="AS530">
        <v>1098</v>
      </c>
      <c r="AT530">
        <v>1021</v>
      </c>
    </row>
    <row r="531" spans="36:46" x14ac:dyDescent="0.3">
      <c r="AJ531">
        <v>79013</v>
      </c>
      <c r="AK531" s="30">
        <v>42297</v>
      </c>
      <c r="AL531" t="s">
        <v>588</v>
      </c>
      <c r="AM531">
        <v>27</v>
      </c>
      <c r="AN531" t="str">
        <f>VLOOKUP(Transaction[[#This Row],[Model No.]],$AV$2:$BD$100,2,TRUE)</f>
        <v>Prairie Organic Gin</v>
      </c>
      <c r="AO531" s="21">
        <f>VLOOKUP(Transaction[[#This Row],[Model No.]],$AV$2:$BD$100,6,TRUE)</f>
        <v>23.99</v>
      </c>
      <c r="AP531" s="9">
        <v>2</v>
      </c>
      <c r="AQ531" s="5">
        <f>Transaction[[#This Row],[Price]]*Transaction[[#This Row],[Qty]]</f>
        <v>47.98</v>
      </c>
      <c r="AR531" s="5">
        <f>VLOOKUP(Transaction[[#This Row],[Model No.]],$AV$2:$BD$100,7,TRUE)*Transaction[[#This Row],[Qty]]</f>
        <v>19.192</v>
      </c>
      <c r="AS531">
        <v>1103</v>
      </c>
      <c r="AT531">
        <v>1018</v>
      </c>
    </row>
    <row r="532" spans="36:46" x14ac:dyDescent="0.3">
      <c r="AJ532">
        <v>13873</v>
      </c>
      <c r="AK532" s="30">
        <v>42298</v>
      </c>
      <c r="AL532" t="s">
        <v>1705</v>
      </c>
      <c r="AM532">
        <v>46</v>
      </c>
      <c r="AN532" t="str">
        <f>VLOOKUP(Transaction[[#This Row],[Model No.]],$AV$2:$BD$100,2,TRUE)</f>
        <v>Label 5 Classic Black Blended Scotch Whisky</v>
      </c>
      <c r="AO532" s="21">
        <f>VLOOKUP(Transaction[[#This Row],[Model No.]],$AV$2:$BD$100,6,TRUE)</f>
        <v>15.99</v>
      </c>
      <c r="AP532" s="9">
        <v>5</v>
      </c>
      <c r="AQ532" s="5">
        <f>Transaction[[#This Row],[Price]]*Transaction[[#This Row],[Qty]]</f>
        <v>79.95</v>
      </c>
      <c r="AR532" s="5">
        <f>VLOOKUP(Transaction[[#This Row],[Model No.]],$AV$2:$BD$100,7,TRUE)*Transaction[[#This Row],[Qty]]</f>
        <v>15.990000000000002</v>
      </c>
      <c r="AS532">
        <v>1098</v>
      </c>
      <c r="AT532">
        <v>1000</v>
      </c>
    </row>
    <row r="533" spans="36:46" x14ac:dyDescent="0.3">
      <c r="AJ533">
        <v>18114</v>
      </c>
      <c r="AK533" s="30">
        <v>42299</v>
      </c>
      <c r="AL533" t="s">
        <v>656</v>
      </c>
      <c r="AM533">
        <v>31</v>
      </c>
      <c r="AN533" t="str">
        <f>VLOOKUP(Transaction[[#This Row],[Model No.]],$AV$2:$BD$100,2,TRUE)</f>
        <v>Gulden Draak 9000 Quadruple - 4 Pack</v>
      </c>
      <c r="AO533" s="21">
        <f>VLOOKUP(Transaction[[#This Row],[Model No.]],$AV$2:$BD$100,6,TRUE)</f>
        <v>21.99</v>
      </c>
      <c r="AP533" s="9">
        <v>4</v>
      </c>
      <c r="AQ533" s="5">
        <f>Transaction[[#This Row],[Price]]*Transaction[[#This Row],[Qty]]</f>
        <v>87.96</v>
      </c>
      <c r="AR533" s="5">
        <f>VLOOKUP(Transaction[[#This Row],[Model No.]],$AV$2:$BD$100,7,TRUE)*Transaction[[#This Row],[Qty]]</f>
        <v>26.387999999999998</v>
      </c>
      <c r="AS533">
        <v>1098</v>
      </c>
      <c r="AT533">
        <v>1004</v>
      </c>
    </row>
    <row r="534" spans="36:46" x14ac:dyDescent="0.3">
      <c r="AJ534">
        <v>31049</v>
      </c>
      <c r="AK534" s="30">
        <v>42300</v>
      </c>
      <c r="AL534" t="s">
        <v>835</v>
      </c>
      <c r="AM534">
        <v>3</v>
      </c>
      <c r="AN534" t="str">
        <f>VLOOKUP(Transaction[[#This Row],[Model No.]],$AV$2:$BD$100,2,TRUE)</f>
        <v>Compass Box Orangerie Scotch Whisky</v>
      </c>
      <c r="AO534" s="21">
        <f>VLOOKUP(Transaction[[#This Row],[Model No.]],$AV$2:$BD$100,6,TRUE)</f>
        <v>56.99</v>
      </c>
      <c r="AP534" s="9">
        <v>3</v>
      </c>
      <c r="AQ534" s="5">
        <f>Transaction[[#This Row],[Price]]*Transaction[[#This Row],[Qty]]</f>
        <v>170.97</v>
      </c>
      <c r="AR534" s="5">
        <f>VLOOKUP(Transaction[[#This Row],[Model No.]],$AV$2:$BD$100,7,TRUE)*Transaction[[#This Row],[Qty]]</f>
        <v>51.291000000000004</v>
      </c>
      <c r="AS534">
        <v>1101</v>
      </c>
      <c r="AT534">
        <v>1017</v>
      </c>
    </row>
    <row r="535" spans="36:46" x14ac:dyDescent="0.3">
      <c r="AJ535">
        <v>70028</v>
      </c>
      <c r="AK535" s="30">
        <v>42300</v>
      </c>
      <c r="AL535" t="s">
        <v>390</v>
      </c>
      <c r="AM535">
        <v>51</v>
      </c>
      <c r="AN535" t="str">
        <f>VLOOKUP(Transaction[[#This Row],[Model No.]],$AV$2:$BD$100,2,TRUE)</f>
        <v>Waterbrook Cabernet Sauvignon</v>
      </c>
      <c r="AO535" s="21">
        <f>VLOOKUP(Transaction[[#This Row],[Model No.]],$AV$2:$BD$100,6,TRUE)</f>
        <v>14.99</v>
      </c>
      <c r="AP535" s="9">
        <v>2</v>
      </c>
      <c r="AQ535" s="5">
        <f>Transaction[[#This Row],[Price]]*Transaction[[#This Row],[Qty]]</f>
        <v>29.98</v>
      </c>
      <c r="AR535" s="5">
        <f>VLOOKUP(Transaction[[#This Row],[Model No.]],$AV$2:$BD$100,7,TRUE)*Transaction[[#This Row],[Qty]]</f>
        <v>2.9980000000000002</v>
      </c>
      <c r="AS535">
        <v>1106</v>
      </c>
      <c r="AT535">
        <v>1003</v>
      </c>
    </row>
    <row r="536" spans="36:46" x14ac:dyDescent="0.3">
      <c r="AJ536">
        <v>71952</v>
      </c>
      <c r="AK536" s="30">
        <v>42300</v>
      </c>
      <c r="AL536" t="s">
        <v>1239</v>
      </c>
      <c r="AM536">
        <v>69</v>
      </c>
      <c r="AN536" t="str">
        <f>VLOOKUP(Transaction[[#This Row],[Model No.]],$AV$2:$BD$100,2,TRUE)</f>
        <v>Castillo de Maluenda Vinas Viejas Punto y Coma Garnacha</v>
      </c>
      <c r="AO536" s="21">
        <f>VLOOKUP(Transaction[[#This Row],[Model No.]],$AV$2:$BD$100,6,TRUE)</f>
        <v>12.99</v>
      </c>
      <c r="AP536" s="9">
        <v>4</v>
      </c>
      <c r="AQ536" s="5">
        <f>Transaction[[#This Row],[Price]]*Transaction[[#This Row],[Qty]]</f>
        <v>51.96</v>
      </c>
      <c r="AR536" s="5">
        <f>VLOOKUP(Transaction[[#This Row],[Model No.]],$AV$2:$BD$100,7,TRUE)*Transaction[[#This Row],[Qty]]</f>
        <v>20.784000000000002</v>
      </c>
      <c r="AS536">
        <v>1104</v>
      </c>
      <c r="AT536">
        <v>1010</v>
      </c>
    </row>
    <row r="537" spans="36:46" x14ac:dyDescent="0.3">
      <c r="AJ537">
        <v>82273</v>
      </c>
      <c r="AK537" s="30">
        <v>42302</v>
      </c>
      <c r="AL537" t="s">
        <v>1527</v>
      </c>
      <c r="AM537">
        <v>29</v>
      </c>
      <c r="AN537" t="str">
        <f>VLOOKUP(Transaction[[#This Row],[Model No.]],$AV$2:$BD$100,2,TRUE)</f>
        <v>SCHLAFLY STOUT BOUT SAMPLER   2/12 - 12 Pack</v>
      </c>
      <c r="AO537" s="21">
        <f>VLOOKUP(Transaction[[#This Row],[Model No.]],$AV$2:$BD$100,6,TRUE)</f>
        <v>22.99</v>
      </c>
      <c r="AP537" s="9">
        <v>4</v>
      </c>
      <c r="AQ537" s="5">
        <f>Transaction[[#This Row],[Price]]*Transaction[[#This Row],[Qty]]</f>
        <v>91.96</v>
      </c>
      <c r="AR537" s="5">
        <f>VLOOKUP(Transaction[[#This Row],[Model No.]],$AV$2:$BD$100,7,TRUE)*Transaction[[#This Row],[Qty]]</f>
        <v>27.587999999999997</v>
      </c>
      <c r="AS537">
        <v>1102</v>
      </c>
      <c r="AT537">
        <v>1006</v>
      </c>
    </row>
    <row r="538" spans="36:46" x14ac:dyDescent="0.3">
      <c r="AJ538">
        <v>48490</v>
      </c>
      <c r="AK538" s="30">
        <v>42302</v>
      </c>
      <c r="AL538" t="s">
        <v>407</v>
      </c>
      <c r="AM538">
        <v>97</v>
      </c>
      <c r="AN538" t="str">
        <f>VLOOKUP(Transaction[[#This Row],[Model No.]],$AV$2:$BD$100,2,TRUE)</f>
        <v>Sea Ridge Cabernet Sauvignon</v>
      </c>
      <c r="AO538" s="21">
        <f>VLOOKUP(Transaction[[#This Row],[Model No.]],$AV$2:$BD$100,6,TRUE)</f>
        <v>5.99</v>
      </c>
      <c r="AP538" s="9">
        <v>1</v>
      </c>
      <c r="AQ538" s="5">
        <f>Transaction[[#This Row],[Price]]*Transaction[[#This Row],[Qty]]</f>
        <v>5.99</v>
      </c>
      <c r="AR538" s="5">
        <f>VLOOKUP(Transaction[[#This Row],[Model No.]],$AV$2:$BD$100,7,TRUE)*Transaction[[#This Row],[Qty]]</f>
        <v>0.59900000000000009</v>
      </c>
      <c r="AS538">
        <v>1107</v>
      </c>
      <c r="AT538">
        <v>1010</v>
      </c>
    </row>
    <row r="539" spans="36:46" x14ac:dyDescent="0.3">
      <c r="AJ539">
        <v>76744</v>
      </c>
      <c r="AK539" s="30">
        <v>42303</v>
      </c>
      <c r="AL539" t="s">
        <v>896</v>
      </c>
      <c r="AM539">
        <v>40</v>
      </c>
      <c r="AN539" t="str">
        <f>VLOOKUP(Transaction[[#This Row],[Model No.]],$AV$2:$BD$100,2,TRUE)</f>
        <v>Takara Can Chu Hi JPop Grapefruit - 6 Pack</v>
      </c>
      <c r="AO539" s="21">
        <f>VLOOKUP(Transaction[[#This Row],[Model No.]],$AV$2:$BD$100,6,TRUE)</f>
        <v>17.989999999999998</v>
      </c>
      <c r="AP539" s="9">
        <v>3</v>
      </c>
      <c r="AQ539" s="5">
        <f>Transaction[[#This Row],[Price]]*Transaction[[#This Row],[Qty]]</f>
        <v>53.97</v>
      </c>
      <c r="AR539" s="5">
        <f>VLOOKUP(Transaction[[#This Row],[Model No.]],$AV$2:$BD$100,7,TRUE)*Transaction[[#This Row],[Qty]]</f>
        <v>16.190999999999999</v>
      </c>
      <c r="AS539">
        <v>1103</v>
      </c>
      <c r="AT539">
        <v>1012</v>
      </c>
    </row>
    <row r="540" spans="36:46" x14ac:dyDescent="0.3">
      <c r="AJ540">
        <v>24734</v>
      </c>
      <c r="AK540" s="30">
        <v>42303</v>
      </c>
      <c r="AL540" t="s">
        <v>430</v>
      </c>
      <c r="AM540">
        <v>81</v>
      </c>
      <c r="AN540" t="str">
        <f>VLOOKUP(Transaction[[#This Row],[Model No.]],$AV$2:$BD$100,2,TRUE)</f>
        <v>TerraNoble Reserva La Higuera Vineyard Carmenere</v>
      </c>
      <c r="AO540" s="21">
        <f>VLOOKUP(Transaction[[#This Row],[Model No.]],$AV$2:$BD$100,6,TRUE)</f>
        <v>10.99</v>
      </c>
      <c r="AP540" s="9">
        <v>1</v>
      </c>
      <c r="AQ540" s="5">
        <f>Transaction[[#This Row],[Price]]*Transaction[[#This Row],[Qty]]</f>
        <v>10.99</v>
      </c>
      <c r="AR540" s="5">
        <f>VLOOKUP(Transaction[[#This Row],[Model No.]],$AV$2:$BD$100,7,TRUE)*Transaction[[#This Row],[Qty]]</f>
        <v>3.2970000000000002</v>
      </c>
      <c r="AS540">
        <v>1103</v>
      </c>
      <c r="AT540">
        <v>1011</v>
      </c>
    </row>
    <row r="541" spans="36:46" x14ac:dyDescent="0.3">
      <c r="AJ541">
        <v>83063</v>
      </c>
      <c r="AK541" s="30">
        <v>42303</v>
      </c>
      <c r="AL541" t="s">
        <v>1373</v>
      </c>
      <c r="AM541">
        <v>96</v>
      </c>
      <c r="AN541" t="str">
        <f>VLOOKUP(Transaction[[#This Row],[Model No.]],$AV$2:$BD$100,2,TRUE)</f>
        <v>Arbor Mist Blackberry Merlot</v>
      </c>
      <c r="AO541" s="21">
        <f>VLOOKUP(Transaction[[#This Row],[Model No.]],$AV$2:$BD$100,6,TRUE)</f>
        <v>6.19</v>
      </c>
      <c r="AP541" s="9">
        <v>3</v>
      </c>
      <c r="AQ541" s="5">
        <f>Transaction[[#This Row],[Price]]*Transaction[[#This Row],[Qty]]</f>
        <v>18.57</v>
      </c>
      <c r="AR541" s="5">
        <f>VLOOKUP(Transaction[[#This Row],[Model No.]],$AV$2:$BD$100,7,TRUE)*Transaction[[#This Row],[Qty]]</f>
        <v>1.8570000000000002</v>
      </c>
      <c r="AS541">
        <v>1098</v>
      </c>
      <c r="AT541">
        <v>1013</v>
      </c>
    </row>
    <row r="542" spans="36:46" x14ac:dyDescent="0.3">
      <c r="AJ542">
        <v>28328</v>
      </c>
      <c r="AK542" s="30">
        <v>42304</v>
      </c>
      <c r="AL542" t="s">
        <v>371</v>
      </c>
      <c r="AM542">
        <v>3</v>
      </c>
      <c r="AN542" t="str">
        <f>VLOOKUP(Transaction[[#This Row],[Model No.]],$AV$2:$BD$100,2,TRUE)</f>
        <v>Compass Box Orangerie Scotch Whisky</v>
      </c>
      <c r="AO542" s="21">
        <f>VLOOKUP(Transaction[[#This Row],[Model No.]],$AV$2:$BD$100,6,TRUE)</f>
        <v>56.99</v>
      </c>
      <c r="AP542" s="9">
        <v>2</v>
      </c>
      <c r="AQ542" s="5">
        <f>Transaction[[#This Row],[Price]]*Transaction[[#This Row],[Qty]]</f>
        <v>113.98</v>
      </c>
      <c r="AR542" s="5">
        <f>VLOOKUP(Transaction[[#This Row],[Model No.]],$AV$2:$BD$100,7,TRUE)*Transaction[[#This Row],[Qty]]</f>
        <v>34.194000000000003</v>
      </c>
      <c r="AS542">
        <v>1103</v>
      </c>
      <c r="AT542">
        <v>1008</v>
      </c>
    </row>
    <row r="543" spans="36:46" x14ac:dyDescent="0.3">
      <c r="AJ543">
        <v>25641</v>
      </c>
      <c r="AK543" s="30">
        <v>42305</v>
      </c>
      <c r="AL543" t="s">
        <v>550</v>
      </c>
      <c r="AM543">
        <v>96</v>
      </c>
      <c r="AN543" t="str">
        <f>VLOOKUP(Transaction[[#This Row],[Model No.]],$AV$2:$BD$100,2,TRUE)</f>
        <v>Arbor Mist Blackberry Merlot</v>
      </c>
      <c r="AO543" s="21">
        <f>VLOOKUP(Transaction[[#This Row],[Model No.]],$AV$2:$BD$100,6,TRUE)</f>
        <v>6.19</v>
      </c>
      <c r="AP543" s="9">
        <v>5</v>
      </c>
      <c r="AQ543" s="5">
        <f>Transaction[[#This Row],[Price]]*Transaction[[#This Row],[Qty]]</f>
        <v>30.950000000000003</v>
      </c>
      <c r="AR543" s="5">
        <f>VLOOKUP(Transaction[[#This Row],[Model No.]],$AV$2:$BD$100,7,TRUE)*Transaction[[#This Row],[Qty]]</f>
        <v>3.0950000000000006</v>
      </c>
      <c r="AS543">
        <v>1098</v>
      </c>
      <c r="AT543">
        <v>1000</v>
      </c>
    </row>
    <row r="544" spans="36:46" x14ac:dyDescent="0.3">
      <c r="AJ544">
        <v>78070</v>
      </c>
      <c r="AK544" s="30">
        <v>42306</v>
      </c>
      <c r="AL544" t="s">
        <v>766</v>
      </c>
      <c r="AM544">
        <v>81</v>
      </c>
      <c r="AN544" t="str">
        <f>VLOOKUP(Transaction[[#This Row],[Model No.]],$AV$2:$BD$100,2,TRUE)</f>
        <v>TerraNoble Reserva La Higuera Vineyard Carmenere</v>
      </c>
      <c r="AO544" s="21">
        <f>VLOOKUP(Transaction[[#This Row],[Model No.]],$AV$2:$BD$100,6,TRUE)</f>
        <v>10.99</v>
      </c>
      <c r="AP544" s="9">
        <v>2</v>
      </c>
      <c r="AQ544" s="5">
        <f>Transaction[[#This Row],[Price]]*Transaction[[#This Row],[Qty]]</f>
        <v>21.98</v>
      </c>
      <c r="AR544" s="5">
        <f>VLOOKUP(Transaction[[#This Row],[Model No.]],$AV$2:$BD$100,7,TRUE)*Transaction[[#This Row],[Qty]]</f>
        <v>6.5940000000000003</v>
      </c>
      <c r="AS544">
        <v>1100</v>
      </c>
      <c r="AT544">
        <v>1006</v>
      </c>
    </row>
    <row r="545" spans="36:46" x14ac:dyDescent="0.3">
      <c r="AJ545">
        <v>72093</v>
      </c>
      <c r="AK545" s="30">
        <v>42308</v>
      </c>
      <c r="AL545" t="s">
        <v>607</v>
      </c>
      <c r="AM545">
        <v>86</v>
      </c>
      <c r="AN545" t="str">
        <f>VLOOKUP(Transaction[[#This Row],[Model No.]],$AV$2:$BD$100,2,TRUE)</f>
        <v>Bully Hill Vineyards Love My Goat Baco Noir</v>
      </c>
      <c r="AO545" s="21">
        <f>VLOOKUP(Transaction[[#This Row],[Model No.]],$AV$2:$BD$100,6,TRUE)</f>
        <v>9.49</v>
      </c>
      <c r="AP545" s="9">
        <v>3</v>
      </c>
      <c r="AQ545" s="5">
        <f>Transaction[[#This Row],[Price]]*Transaction[[#This Row],[Qty]]</f>
        <v>28.47</v>
      </c>
      <c r="AR545" s="5">
        <f>VLOOKUP(Transaction[[#This Row],[Model No.]],$AV$2:$BD$100,7,TRUE)*Transaction[[#This Row],[Qty]]</f>
        <v>2.8470000000000004</v>
      </c>
      <c r="AS545">
        <v>1108</v>
      </c>
      <c r="AT545">
        <v>1014</v>
      </c>
    </row>
    <row r="546" spans="36:46" x14ac:dyDescent="0.3">
      <c r="AJ546">
        <v>41564</v>
      </c>
      <c r="AK546" s="30">
        <v>42309</v>
      </c>
      <c r="AL546" t="s">
        <v>625</v>
      </c>
      <c r="AM546">
        <v>98</v>
      </c>
      <c r="AN546" t="str">
        <f>VLOOKUP(Transaction[[#This Row],[Model No.]],$AV$2:$BD$100,2,TRUE)</f>
        <v>Wychwood Hobgoblin</v>
      </c>
      <c r="AO546" s="21">
        <f>VLOOKUP(Transaction[[#This Row],[Model No.]],$AV$2:$BD$100,6,TRUE)</f>
        <v>5.99</v>
      </c>
      <c r="AP546" s="9">
        <v>2</v>
      </c>
      <c r="AQ546" s="5">
        <f>Transaction[[#This Row],[Price]]*Transaction[[#This Row],[Qty]]</f>
        <v>11.98</v>
      </c>
      <c r="AR546" s="5">
        <f>VLOOKUP(Transaction[[#This Row],[Model No.]],$AV$2:$BD$100,7,TRUE)*Transaction[[#This Row],[Qty]]</f>
        <v>3.5939999999999999</v>
      </c>
      <c r="AS546">
        <v>1102</v>
      </c>
      <c r="AT546">
        <v>1010</v>
      </c>
    </row>
    <row r="547" spans="36:46" x14ac:dyDescent="0.3">
      <c r="AJ547">
        <v>93746</v>
      </c>
      <c r="AK547" s="30">
        <v>42310</v>
      </c>
      <c r="AL547" t="s">
        <v>1377</v>
      </c>
      <c r="AM547">
        <v>92</v>
      </c>
      <c r="AN547" t="str">
        <f>VLOOKUP(Transaction[[#This Row],[Model No.]],$AV$2:$BD$100,2,TRUE)</f>
        <v>Four Seasons Collection Late Harvest White Moscato Dessert Muscat</v>
      </c>
      <c r="AO547" s="21">
        <f>VLOOKUP(Transaction[[#This Row],[Model No.]],$AV$2:$BD$100,6,TRUE)</f>
        <v>7.69</v>
      </c>
      <c r="AP547" s="9">
        <v>2</v>
      </c>
      <c r="AQ547" s="5">
        <f>Transaction[[#This Row],[Price]]*Transaction[[#This Row],[Qty]]</f>
        <v>15.38</v>
      </c>
      <c r="AR547" s="5">
        <f>VLOOKUP(Transaction[[#This Row],[Model No.]],$AV$2:$BD$100,7,TRUE)*Transaction[[#This Row],[Qty]]</f>
        <v>1.5380000000000003</v>
      </c>
      <c r="AS547">
        <v>1102</v>
      </c>
      <c r="AT547">
        <v>1001</v>
      </c>
    </row>
    <row r="548" spans="36:46" x14ac:dyDescent="0.3">
      <c r="AJ548">
        <v>45558</v>
      </c>
      <c r="AK548" s="30">
        <v>42310</v>
      </c>
      <c r="AL548" t="s">
        <v>1630</v>
      </c>
      <c r="AM548">
        <v>93</v>
      </c>
      <c r="AN548" t="str">
        <f>VLOOKUP(Transaction[[#This Row],[Model No.]],$AV$2:$BD$100,2,TRUE)</f>
        <v>Beringer Vineyards Stone Cellars Shiraz</v>
      </c>
      <c r="AO548" s="21">
        <f>VLOOKUP(Transaction[[#This Row],[Model No.]],$AV$2:$BD$100,6,TRUE)</f>
        <v>7.49</v>
      </c>
      <c r="AP548" s="9">
        <v>1</v>
      </c>
      <c r="AQ548" s="5">
        <f>Transaction[[#This Row],[Price]]*Transaction[[#This Row],[Qty]]</f>
        <v>7.49</v>
      </c>
      <c r="AR548" s="5">
        <f>VLOOKUP(Transaction[[#This Row],[Model No.]],$AV$2:$BD$100,7,TRUE)*Transaction[[#This Row],[Qty]]</f>
        <v>0.74900000000000011</v>
      </c>
      <c r="AS548">
        <v>1107</v>
      </c>
      <c r="AT548">
        <v>1008</v>
      </c>
    </row>
    <row r="549" spans="36:46" x14ac:dyDescent="0.3">
      <c r="AJ549">
        <v>64409</v>
      </c>
      <c r="AK549" s="30">
        <v>42312</v>
      </c>
      <c r="AL549" t="s">
        <v>1490</v>
      </c>
      <c r="AM549">
        <v>48</v>
      </c>
      <c r="AN549" t="str">
        <f>VLOOKUP(Transaction[[#This Row],[Model No.]],$AV$2:$BD$100,2,TRUE)</f>
        <v>CH TOUR D'AURON</v>
      </c>
      <c r="AO549" s="21">
        <f>VLOOKUP(Transaction[[#This Row],[Model No.]],$AV$2:$BD$100,6,TRUE)</f>
        <v>15.99</v>
      </c>
      <c r="AP549" s="9">
        <v>3</v>
      </c>
      <c r="AQ549" s="5">
        <f>Transaction[[#This Row],[Price]]*Transaction[[#This Row],[Qty]]</f>
        <v>47.97</v>
      </c>
      <c r="AR549" s="5">
        <f>VLOOKUP(Transaction[[#This Row],[Model No.]],$AV$2:$BD$100,7,TRUE)*Transaction[[#This Row],[Qty]]</f>
        <v>19.188000000000002</v>
      </c>
      <c r="AS549">
        <v>1105</v>
      </c>
      <c r="AT549">
        <v>1012</v>
      </c>
    </row>
    <row r="550" spans="36:46" x14ac:dyDescent="0.3">
      <c r="AJ550">
        <v>64807</v>
      </c>
      <c r="AK550" s="30">
        <v>42313</v>
      </c>
      <c r="AL550" t="s">
        <v>1828</v>
      </c>
      <c r="AM550">
        <v>7</v>
      </c>
      <c r="AN550" t="str">
        <f>VLOOKUP(Transaction[[#This Row],[Model No.]],$AV$2:$BD$100,2,TRUE)</f>
        <v>Glenkinchie Distillers Edition Single Malt Scotch Whisky</v>
      </c>
      <c r="AO550" s="21">
        <f>VLOOKUP(Transaction[[#This Row],[Model No.]],$AV$2:$BD$100,6,TRUE)</f>
        <v>45.99</v>
      </c>
      <c r="AP550" s="9">
        <v>4</v>
      </c>
      <c r="AQ550" s="5">
        <f>Transaction[[#This Row],[Price]]*Transaction[[#This Row],[Qty]]</f>
        <v>183.96</v>
      </c>
      <c r="AR550" s="5">
        <f>VLOOKUP(Transaction[[#This Row],[Model No.]],$AV$2:$BD$100,7,TRUE)*Transaction[[#This Row],[Qty]]</f>
        <v>55.188000000000002</v>
      </c>
      <c r="AS550">
        <v>1099</v>
      </c>
      <c r="AT550">
        <v>1003</v>
      </c>
    </row>
    <row r="551" spans="36:46" x14ac:dyDescent="0.3">
      <c r="AJ551">
        <v>73378</v>
      </c>
      <c r="AK551" s="30">
        <v>42316</v>
      </c>
      <c r="AL551" t="s">
        <v>1118</v>
      </c>
      <c r="AM551">
        <v>76</v>
      </c>
      <c r="AN551" t="str">
        <f>VLOOKUP(Transaction[[#This Row],[Model No.]],$AV$2:$BD$100,2,TRUE)</f>
        <v>Lagunitas Super Cluster Can - 6 Pack</v>
      </c>
      <c r="AO551" s="21">
        <f>VLOOKUP(Transaction[[#This Row],[Model No.]],$AV$2:$BD$100,6,TRUE)</f>
        <v>11.99</v>
      </c>
      <c r="AP551" s="9">
        <v>4</v>
      </c>
      <c r="AQ551" s="5">
        <f>Transaction[[#This Row],[Price]]*Transaction[[#This Row],[Qty]]</f>
        <v>47.96</v>
      </c>
      <c r="AR551" s="5">
        <f>VLOOKUP(Transaction[[#This Row],[Model No.]],$AV$2:$BD$100,7,TRUE)*Transaction[[#This Row],[Qty]]</f>
        <v>14.388</v>
      </c>
      <c r="AS551">
        <v>1103</v>
      </c>
      <c r="AT551">
        <v>1011</v>
      </c>
    </row>
    <row r="552" spans="36:46" x14ac:dyDescent="0.3">
      <c r="AJ552">
        <v>72293</v>
      </c>
      <c r="AK552" s="30">
        <v>42317</v>
      </c>
      <c r="AL552" t="s">
        <v>1178</v>
      </c>
      <c r="AM552">
        <v>7</v>
      </c>
      <c r="AN552" t="str">
        <f>VLOOKUP(Transaction[[#This Row],[Model No.]],$AV$2:$BD$100,2,TRUE)</f>
        <v>Glenkinchie Distillers Edition Single Malt Scotch Whisky</v>
      </c>
      <c r="AO552" s="21">
        <f>VLOOKUP(Transaction[[#This Row],[Model No.]],$AV$2:$BD$100,6,TRUE)</f>
        <v>45.99</v>
      </c>
      <c r="AP552" s="9">
        <v>3</v>
      </c>
      <c r="AQ552" s="5">
        <f>Transaction[[#This Row],[Price]]*Transaction[[#This Row],[Qty]]</f>
        <v>137.97</v>
      </c>
      <c r="AR552" s="5">
        <f>VLOOKUP(Transaction[[#This Row],[Model No.]],$AV$2:$BD$100,7,TRUE)*Transaction[[#This Row],[Qty]]</f>
        <v>41.391000000000005</v>
      </c>
      <c r="AS552">
        <v>1108</v>
      </c>
      <c r="AT552">
        <v>1001</v>
      </c>
    </row>
    <row r="553" spans="36:46" x14ac:dyDescent="0.3">
      <c r="AJ553">
        <v>29030</v>
      </c>
      <c r="AK553" s="30">
        <v>42317</v>
      </c>
      <c r="AL553" t="s">
        <v>1445</v>
      </c>
      <c r="AM553">
        <v>55</v>
      </c>
      <c r="AN553" t="str">
        <f>VLOOKUP(Transaction[[#This Row],[Model No.]],$AV$2:$BD$100,2,TRUE)</f>
        <v>Clos du Bois Hand Selected Lots Shiraz</v>
      </c>
      <c r="AO553" s="21">
        <f>VLOOKUP(Transaction[[#This Row],[Model No.]],$AV$2:$BD$100,6,TRUE)</f>
        <v>14.49</v>
      </c>
      <c r="AP553" s="9">
        <v>1</v>
      </c>
      <c r="AQ553" s="5">
        <f>Transaction[[#This Row],[Price]]*Transaction[[#This Row],[Qty]]</f>
        <v>14.49</v>
      </c>
      <c r="AR553" s="5">
        <f>VLOOKUP(Transaction[[#This Row],[Model No.]],$AV$2:$BD$100,7,TRUE)*Transaction[[#This Row],[Qty]]</f>
        <v>1.4490000000000001</v>
      </c>
      <c r="AS553">
        <v>1107</v>
      </c>
      <c r="AT553">
        <v>1013</v>
      </c>
    </row>
    <row r="554" spans="36:46" x14ac:dyDescent="0.3">
      <c r="AJ554">
        <v>72109</v>
      </c>
      <c r="AK554" s="30">
        <v>42318</v>
      </c>
      <c r="AL554" t="s">
        <v>1302</v>
      </c>
      <c r="AM554">
        <v>54</v>
      </c>
      <c r="AN554" t="str">
        <f>VLOOKUP(Transaction[[#This Row],[Model No.]],$AV$2:$BD$100,2,TRUE)</f>
        <v>Pucker Cherry Tease Vodka</v>
      </c>
      <c r="AO554" s="21">
        <f>VLOOKUP(Transaction[[#This Row],[Model No.]],$AV$2:$BD$100,6,TRUE)</f>
        <v>14.99</v>
      </c>
      <c r="AP554" s="9">
        <v>4</v>
      </c>
      <c r="AQ554" s="5">
        <f>Transaction[[#This Row],[Price]]*Transaction[[#This Row],[Qty]]</f>
        <v>59.96</v>
      </c>
      <c r="AR554" s="5">
        <f>VLOOKUP(Transaction[[#This Row],[Model No.]],$AV$2:$BD$100,7,TRUE)*Transaction[[#This Row],[Qty]]</f>
        <v>17.988</v>
      </c>
      <c r="AS554">
        <v>1107</v>
      </c>
      <c r="AT554">
        <v>1003</v>
      </c>
    </row>
    <row r="555" spans="36:46" x14ac:dyDescent="0.3">
      <c r="AJ555">
        <v>87328</v>
      </c>
      <c r="AK555" s="30">
        <v>42321</v>
      </c>
      <c r="AL555" t="s">
        <v>1128</v>
      </c>
      <c r="AM555">
        <v>64</v>
      </c>
      <c r="AN555" t="str">
        <f>VLOOKUP(Transaction[[#This Row],[Model No.]],$AV$2:$BD$100,2,TRUE)</f>
        <v>Maui Brewing Big Swell IPA - 6 Pack</v>
      </c>
      <c r="AO555" s="21">
        <f>VLOOKUP(Transaction[[#This Row],[Model No.]],$AV$2:$BD$100,6,TRUE)</f>
        <v>12.99</v>
      </c>
      <c r="AP555" s="9">
        <v>5</v>
      </c>
      <c r="AQ555" s="5">
        <f>Transaction[[#This Row],[Price]]*Transaction[[#This Row],[Qty]]</f>
        <v>64.95</v>
      </c>
      <c r="AR555" s="5">
        <f>VLOOKUP(Transaction[[#This Row],[Model No.]],$AV$2:$BD$100,7,TRUE)*Transaction[[#This Row],[Qty]]</f>
        <v>19.484999999999999</v>
      </c>
      <c r="AS555">
        <v>1103</v>
      </c>
      <c r="AT555">
        <v>1009</v>
      </c>
    </row>
    <row r="556" spans="36:46" x14ac:dyDescent="0.3">
      <c r="AJ556">
        <v>13031</v>
      </c>
      <c r="AK556" s="30">
        <v>42322</v>
      </c>
      <c r="AL556" t="s">
        <v>336</v>
      </c>
      <c r="AM556">
        <v>63</v>
      </c>
      <c r="AN556" t="str">
        <f>VLOOKUP(Transaction[[#This Row],[Model No.]],$AV$2:$BD$100,2,TRUE)</f>
        <v>Troegs LaGrave - 4 Pack</v>
      </c>
      <c r="AO556" s="21">
        <f>VLOOKUP(Transaction[[#This Row],[Model No.]],$AV$2:$BD$100,6,TRUE)</f>
        <v>12.99</v>
      </c>
      <c r="AP556" s="9">
        <v>2</v>
      </c>
      <c r="AQ556" s="5">
        <f>Transaction[[#This Row],[Price]]*Transaction[[#This Row],[Qty]]</f>
        <v>25.98</v>
      </c>
      <c r="AR556" s="5">
        <f>VLOOKUP(Transaction[[#This Row],[Model No.]],$AV$2:$BD$100,7,TRUE)*Transaction[[#This Row],[Qty]]</f>
        <v>7.7939999999999996</v>
      </c>
      <c r="AS556">
        <v>1103</v>
      </c>
      <c r="AT556">
        <v>1010</v>
      </c>
    </row>
    <row r="557" spans="36:46" x14ac:dyDescent="0.3">
      <c r="AJ557">
        <v>70025</v>
      </c>
      <c r="AK557" s="30">
        <v>42323</v>
      </c>
      <c r="AL557" t="s">
        <v>1236</v>
      </c>
      <c r="AM557">
        <v>89</v>
      </c>
      <c r="AN557" t="str">
        <f>VLOOKUP(Transaction[[#This Row],[Model No.]],$AV$2:$BD$100,2,TRUE)</f>
        <v>Piera Martellozzo Blu Giovello Moscato Puglia IGT Muscat</v>
      </c>
      <c r="AO557" s="21">
        <f>VLOOKUP(Transaction[[#This Row],[Model No.]],$AV$2:$BD$100,6,TRUE)</f>
        <v>8.49</v>
      </c>
      <c r="AP557" s="9">
        <v>4</v>
      </c>
      <c r="AQ557" s="5">
        <f>Transaction[[#This Row],[Price]]*Transaction[[#This Row],[Qty]]</f>
        <v>33.96</v>
      </c>
      <c r="AR557" s="5">
        <f>VLOOKUP(Transaction[[#This Row],[Model No.]],$AV$2:$BD$100,7,TRUE)*Transaction[[#This Row],[Qty]]</f>
        <v>3.3960000000000004</v>
      </c>
      <c r="AS557">
        <v>1103</v>
      </c>
      <c r="AT557">
        <v>1009</v>
      </c>
    </row>
    <row r="558" spans="36:46" x14ac:dyDescent="0.3">
      <c r="AJ558">
        <v>57049</v>
      </c>
      <c r="AK558" s="30">
        <v>42324</v>
      </c>
      <c r="AL558" t="s">
        <v>1733</v>
      </c>
      <c r="AM558">
        <v>57</v>
      </c>
      <c r="AN558" t="str">
        <f>VLOOKUP(Transaction[[#This Row],[Model No.]],$AV$2:$BD$100,2,TRUE)</f>
        <v>Familia Dante Twelve Months Oak Aged Toscana IGT Sangiovese</v>
      </c>
      <c r="AO558" s="21">
        <f>VLOOKUP(Transaction[[#This Row],[Model No.]],$AV$2:$BD$100,6,TRUE)</f>
        <v>13.69</v>
      </c>
      <c r="AP558" s="9">
        <v>5</v>
      </c>
      <c r="AQ558" s="5">
        <f>Transaction[[#This Row],[Price]]*Transaction[[#This Row],[Qty]]</f>
        <v>68.45</v>
      </c>
      <c r="AR558" s="5">
        <f>VLOOKUP(Transaction[[#This Row],[Model No.]],$AV$2:$BD$100,7,TRUE)*Transaction[[#This Row],[Qty]]</f>
        <v>6.8449999999999998</v>
      </c>
      <c r="AS558">
        <v>1104</v>
      </c>
      <c r="AT558">
        <v>1006</v>
      </c>
    </row>
    <row r="559" spans="36:46" x14ac:dyDescent="0.3">
      <c r="AJ559">
        <v>54447</v>
      </c>
      <c r="AK559" s="30">
        <v>42324</v>
      </c>
      <c r="AL559" t="s">
        <v>1793</v>
      </c>
      <c r="AM559">
        <v>86</v>
      </c>
      <c r="AN559" t="str">
        <f>VLOOKUP(Transaction[[#This Row],[Model No.]],$AV$2:$BD$100,2,TRUE)</f>
        <v>Bully Hill Vineyards Love My Goat Baco Noir</v>
      </c>
      <c r="AO559" s="21">
        <f>VLOOKUP(Transaction[[#This Row],[Model No.]],$AV$2:$BD$100,6,TRUE)</f>
        <v>9.49</v>
      </c>
      <c r="AP559" s="9">
        <v>4</v>
      </c>
      <c r="AQ559" s="5">
        <f>Transaction[[#This Row],[Price]]*Transaction[[#This Row],[Qty]]</f>
        <v>37.96</v>
      </c>
      <c r="AR559" s="5">
        <f>VLOOKUP(Transaction[[#This Row],[Model No.]],$AV$2:$BD$100,7,TRUE)*Transaction[[#This Row],[Qty]]</f>
        <v>3.7960000000000003</v>
      </c>
      <c r="AS559">
        <v>1099</v>
      </c>
      <c r="AT559">
        <v>1017</v>
      </c>
    </row>
    <row r="560" spans="36:46" x14ac:dyDescent="0.3">
      <c r="AJ560">
        <v>53753</v>
      </c>
      <c r="AK560" s="30">
        <v>42326</v>
      </c>
      <c r="AL560" t="s">
        <v>797</v>
      </c>
      <c r="AM560">
        <v>34</v>
      </c>
      <c r="AN560" t="str">
        <f>VLOOKUP(Transaction[[#This Row],[Model No.]],$AV$2:$BD$100,2,TRUE)</f>
        <v>The Eyrie Vineyards Pinot Gris</v>
      </c>
      <c r="AO560" s="21">
        <f>VLOOKUP(Transaction[[#This Row],[Model No.]],$AV$2:$BD$100,6,TRUE)</f>
        <v>20.99</v>
      </c>
      <c r="AP560" s="9">
        <v>5</v>
      </c>
      <c r="AQ560" s="5">
        <f>Transaction[[#This Row],[Price]]*Transaction[[#This Row],[Qty]]</f>
        <v>104.94999999999999</v>
      </c>
      <c r="AR560" s="5">
        <f>VLOOKUP(Transaction[[#This Row],[Model No.]],$AV$2:$BD$100,7,TRUE)*Transaction[[#This Row],[Qty]]</f>
        <v>20.99</v>
      </c>
      <c r="AS560">
        <v>1100</v>
      </c>
      <c r="AT560">
        <v>1000</v>
      </c>
    </row>
    <row r="561" spans="36:46" x14ac:dyDescent="0.3">
      <c r="AJ561">
        <v>76434</v>
      </c>
      <c r="AK561" s="30">
        <v>42326</v>
      </c>
      <c r="AL561" t="s">
        <v>973</v>
      </c>
      <c r="AM561">
        <v>87</v>
      </c>
      <c r="AN561" t="str">
        <f>VLOOKUP(Transaction[[#This Row],[Model No.]],$AV$2:$BD$100,2,TRUE)</f>
        <v>Cruzan 9 Spiced Rum</v>
      </c>
      <c r="AO561" s="21">
        <f>VLOOKUP(Transaction[[#This Row],[Model No.]],$AV$2:$BD$100,6,TRUE)</f>
        <v>9.49</v>
      </c>
      <c r="AP561" s="9">
        <v>5</v>
      </c>
      <c r="AQ561" s="5">
        <f>Transaction[[#This Row],[Price]]*Transaction[[#This Row],[Qty]]</f>
        <v>47.45</v>
      </c>
      <c r="AR561" s="5">
        <f>VLOOKUP(Transaction[[#This Row],[Model No.]],$AV$2:$BD$100,7,TRUE)*Transaction[[#This Row],[Qty]]</f>
        <v>9.49</v>
      </c>
      <c r="AS561">
        <v>1108</v>
      </c>
      <c r="AT561">
        <v>1009</v>
      </c>
    </row>
    <row r="562" spans="36:46" x14ac:dyDescent="0.3">
      <c r="AJ562">
        <v>36108</v>
      </c>
      <c r="AK562" s="30">
        <v>42327</v>
      </c>
      <c r="AL562" t="s">
        <v>1165</v>
      </c>
      <c r="AM562">
        <v>60</v>
      </c>
      <c r="AN562" t="str">
        <f>VLOOKUP(Transaction[[#This Row],[Model No.]],$AV$2:$BD$100,2,TRUE)</f>
        <v>La Catrina Cabernet Sauvignon</v>
      </c>
      <c r="AO562" s="21">
        <f>VLOOKUP(Transaction[[#This Row],[Model No.]],$AV$2:$BD$100,6,TRUE)</f>
        <v>12.99</v>
      </c>
      <c r="AP562" s="9">
        <v>1</v>
      </c>
      <c r="AQ562" s="5">
        <f>Transaction[[#This Row],[Price]]*Transaction[[#This Row],[Qty]]</f>
        <v>12.99</v>
      </c>
      <c r="AR562" s="5">
        <f>VLOOKUP(Transaction[[#This Row],[Model No.]],$AV$2:$BD$100,7,TRUE)*Transaction[[#This Row],[Qty]]</f>
        <v>1.2990000000000002</v>
      </c>
      <c r="AS562">
        <v>1104</v>
      </c>
      <c r="AT562">
        <v>1015</v>
      </c>
    </row>
    <row r="563" spans="36:46" x14ac:dyDescent="0.3">
      <c r="AJ563">
        <v>12076</v>
      </c>
      <c r="AK563" s="30">
        <v>42330</v>
      </c>
      <c r="AL563" t="s">
        <v>770</v>
      </c>
      <c r="AM563">
        <v>39</v>
      </c>
      <c r="AN563" t="str">
        <f>VLOOKUP(Transaction[[#This Row],[Model No.]],$AV$2:$BD$100,2,TRUE)</f>
        <v>Moorhouse's English Owd Ale - 4 Pack</v>
      </c>
      <c r="AO563" s="21">
        <f>VLOOKUP(Transaction[[#This Row],[Model No.]],$AV$2:$BD$100,6,TRUE)</f>
        <v>18.989999999999998</v>
      </c>
      <c r="AP563" s="9">
        <v>3</v>
      </c>
      <c r="AQ563" s="5">
        <f>Transaction[[#This Row],[Price]]*Transaction[[#This Row],[Qty]]</f>
        <v>56.97</v>
      </c>
      <c r="AR563" s="5">
        <f>VLOOKUP(Transaction[[#This Row],[Model No.]],$AV$2:$BD$100,7,TRUE)*Transaction[[#This Row],[Qty]]</f>
        <v>17.090999999999998</v>
      </c>
      <c r="AS563">
        <v>1107</v>
      </c>
      <c r="AT563">
        <v>1011</v>
      </c>
    </row>
    <row r="564" spans="36:46" x14ac:dyDescent="0.3">
      <c r="AJ564">
        <v>58176</v>
      </c>
      <c r="AK564" s="30">
        <v>42330</v>
      </c>
      <c r="AL564" t="s">
        <v>710</v>
      </c>
      <c r="AM564">
        <v>45</v>
      </c>
      <c r="AN564" t="str">
        <f>VLOOKUP(Transaction[[#This Row],[Model No.]],$AV$2:$BD$100,2,TRUE)</f>
        <v>Sixpoint Resin - 6 Pack</v>
      </c>
      <c r="AO564" s="21">
        <f>VLOOKUP(Transaction[[#This Row],[Model No.]],$AV$2:$BD$100,6,TRUE)</f>
        <v>15.99</v>
      </c>
      <c r="AP564" s="9">
        <v>2</v>
      </c>
      <c r="AQ564" s="5">
        <f>Transaction[[#This Row],[Price]]*Transaction[[#This Row],[Qty]]</f>
        <v>31.98</v>
      </c>
      <c r="AR564" s="5">
        <f>VLOOKUP(Transaction[[#This Row],[Model No.]],$AV$2:$BD$100,7,TRUE)*Transaction[[#This Row],[Qty]]</f>
        <v>9.5939999999999994</v>
      </c>
      <c r="AS564">
        <v>1103</v>
      </c>
      <c r="AT564">
        <v>1012</v>
      </c>
    </row>
    <row r="565" spans="36:46" x14ac:dyDescent="0.3">
      <c r="AJ565">
        <v>54799</v>
      </c>
      <c r="AK565" s="30">
        <v>42330</v>
      </c>
      <c r="AL565" t="s">
        <v>1347</v>
      </c>
      <c r="AM565">
        <v>75</v>
      </c>
      <c r="AN565" t="str">
        <f>VLOOKUP(Transaction[[#This Row],[Model No.]],$AV$2:$BD$100,2,TRUE)</f>
        <v>Uinta Ready Set Gose - 6 Pack</v>
      </c>
      <c r="AO565" s="21">
        <f>VLOOKUP(Transaction[[#This Row],[Model No.]],$AV$2:$BD$100,6,TRUE)</f>
        <v>11.99</v>
      </c>
      <c r="AP565" s="9">
        <v>4</v>
      </c>
      <c r="AQ565" s="5">
        <f>Transaction[[#This Row],[Price]]*Transaction[[#This Row],[Qty]]</f>
        <v>47.96</v>
      </c>
      <c r="AR565" s="5">
        <f>VLOOKUP(Transaction[[#This Row],[Model No.]],$AV$2:$BD$100,7,TRUE)*Transaction[[#This Row],[Qty]]</f>
        <v>14.388</v>
      </c>
      <c r="AS565">
        <v>1103</v>
      </c>
      <c r="AT565">
        <v>1006</v>
      </c>
    </row>
    <row r="566" spans="36:46" x14ac:dyDescent="0.3">
      <c r="AJ566">
        <v>30828</v>
      </c>
      <c r="AK566" s="30">
        <v>42331</v>
      </c>
      <c r="AL566" t="s">
        <v>397</v>
      </c>
      <c r="AM566">
        <v>9</v>
      </c>
      <c r="AN566" t="str">
        <f>VLOOKUP(Transaction[[#This Row],[Model No.]],$AV$2:$BD$100,2,TRUE)</f>
        <v>Ass Kisser Double IPA - 12 Pack</v>
      </c>
      <c r="AO566" s="21">
        <f>VLOOKUP(Transaction[[#This Row],[Model No.]],$AV$2:$BD$100,6,TRUE)</f>
        <v>43.99</v>
      </c>
      <c r="AP566" s="9">
        <v>3</v>
      </c>
      <c r="AQ566" s="5">
        <f>Transaction[[#This Row],[Price]]*Transaction[[#This Row],[Qty]]</f>
        <v>131.97</v>
      </c>
      <c r="AR566" s="5">
        <f>VLOOKUP(Transaction[[#This Row],[Model No.]],$AV$2:$BD$100,7,TRUE)*Transaction[[#This Row],[Qty]]</f>
        <v>39.591000000000001</v>
      </c>
      <c r="AS566">
        <v>1099</v>
      </c>
      <c r="AT566">
        <v>1017</v>
      </c>
    </row>
    <row r="567" spans="36:46" x14ac:dyDescent="0.3">
      <c r="AJ567">
        <v>38455</v>
      </c>
      <c r="AK567" s="30">
        <v>42331</v>
      </c>
      <c r="AL567" t="s">
        <v>721</v>
      </c>
      <c r="AM567">
        <v>67</v>
      </c>
      <c r="AN567" t="str">
        <f>VLOOKUP(Transaction[[#This Row],[Model No.]],$AV$2:$BD$100,2,TRUE)</f>
        <v>Oh Be Joyful Sweet Deutscher Qualitatswein Dornfelder</v>
      </c>
      <c r="AO567" s="21">
        <f>VLOOKUP(Transaction[[#This Row],[Model No.]],$AV$2:$BD$100,6,TRUE)</f>
        <v>12.99</v>
      </c>
      <c r="AP567" s="9">
        <v>2</v>
      </c>
      <c r="AQ567" s="5">
        <f>Transaction[[#This Row],[Price]]*Transaction[[#This Row],[Qty]]</f>
        <v>25.98</v>
      </c>
      <c r="AR567" s="5">
        <f>VLOOKUP(Transaction[[#This Row],[Model No.]],$AV$2:$BD$100,7,TRUE)*Transaction[[#This Row],[Qty]]</f>
        <v>10.392000000000001</v>
      </c>
      <c r="AS567">
        <v>1104</v>
      </c>
      <c r="AT567">
        <v>1013</v>
      </c>
    </row>
    <row r="568" spans="36:46" x14ac:dyDescent="0.3">
      <c r="AJ568">
        <v>71176</v>
      </c>
      <c r="AK568" s="30">
        <v>42334</v>
      </c>
      <c r="AL568" t="s">
        <v>1412</v>
      </c>
      <c r="AM568">
        <v>26</v>
      </c>
      <c r="AN568" t="str">
        <f>VLOOKUP(Transaction[[#This Row],[Model No.]],$AV$2:$BD$100,2,TRUE)</f>
        <v>Belhaven Scottish Stout - 4 Pack</v>
      </c>
      <c r="AO568" s="21">
        <f>VLOOKUP(Transaction[[#This Row],[Model No.]],$AV$2:$BD$100,6,TRUE)</f>
        <v>23.99</v>
      </c>
      <c r="AP568" s="9">
        <v>1</v>
      </c>
      <c r="AQ568" s="5">
        <f>Transaction[[#This Row],[Price]]*Transaction[[#This Row],[Qty]]</f>
        <v>23.99</v>
      </c>
      <c r="AR568" s="5">
        <f>VLOOKUP(Transaction[[#This Row],[Model No.]],$AV$2:$BD$100,7,TRUE)*Transaction[[#This Row],[Qty]]</f>
        <v>7.1969999999999992</v>
      </c>
      <c r="AS568">
        <v>1105</v>
      </c>
      <c r="AT568">
        <v>1021</v>
      </c>
    </row>
    <row r="569" spans="36:46" x14ac:dyDescent="0.3">
      <c r="AJ569">
        <v>56921</v>
      </c>
      <c r="AK569" s="30">
        <v>42336</v>
      </c>
      <c r="AL569" t="s">
        <v>1704</v>
      </c>
      <c r="AM569">
        <v>32</v>
      </c>
      <c r="AN569" t="str">
        <f>VLOOKUP(Transaction[[#This Row],[Model No.]],$AV$2:$BD$100,2,TRUE)</f>
        <v>Sugar Island Spiced Rum</v>
      </c>
      <c r="AO569" s="21">
        <f>VLOOKUP(Transaction[[#This Row],[Model No.]],$AV$2:$BD$100,6,TRUE)</f>
        <v>21.99</v>
      </c>
      <c r="AP569" s="9">
        <v>1</v>
      </c>
      <c r="AQ569" s="5">
        <f>Transaction[[#This Row],[Price]]*Transaction[[#This Row],[Qty]]</f>
        <v>21.99</v>
      </c>
      <c r="AR569" s="5">
        <f>VLOOKUP(Transaction[[#This Row],[Model No.]],$AV$2:$BD$100,7,TRUE)*Transaction[[#This Row],[Qty]]</f>
        <v>4.3979999999999997</v>
      </c>
      <c r="AS569">
        <v>1106</v>
      </c>
      <c r="AT569">
        <v>1000</v>
      </c>
    </row>
    <row r="570" spans="36:46" x14ac:dyDescent="0.3">
      <c r="AJ570">
        <v>29465</v>
      </c>
      <c r="AK570" s="30">
        <v>42337</v>
      </c>
      <c r="AL570" t="s">
        <v>586</v>
      </c>
      <c r="AM570">
        <v>57</v>
      </c>
      <c r="AN570" t="str">
        <f>VLOOKUP(Transaction[[#This Row],[Model No.]],$AV$2:$BD$100,2,TRUE)</f>
        <v>Familia Dante Twelve Months Oak Aged Toscana IGT Sangiovese</v>
      </c>
      <c r="AO570" s="21">
        <f>VLOOKUP(Transaction[[#This Row],[Model No.]],$AV$2:$BD$100,6,TRUE)</f>
        <v>13.69</v>
      </c>
      <c r="AP570" s="9">
        <v>1</v>
      </c>
      <c r="AQ570" s="5">
        <f>Transaction[[#This Row],[Price]]*Transaction[[#This Row],[Qty]]</f>
        <v>13.69</v>
      </c>
      <c r="AR570" s="5">
        <f>VLOOKUP(Transaction[[#This Row],[Model No.]],$AV$2:$BD$100,7,TRUE)*Transaction[[#This Row],[Qty]]</f>
        <v>1.369</v>
      </c>
      <c r="AS570">
        <v>1104</v>
      </c>
      <c r="AT570">
        <v>1001</v>
      </c>
    </row>
    <row r="571" spans="36:46" x14ac:dyDescent="0.3">
      <c r="AJ571">
        <v>45446</v>
      </c>
      <c r="AK571" s="30">
        <v>42341</v>
      </c>
      <c r="AL571" t="s">
        <v>1859</v>
      </c>
      <c r="AM571">
        <v>33</v>
      </c>
      <c r="AN571" t="str">
        <f>VLOOKUP(Transaction[[#This Row],[Model No.]],$AV$2:$BD$100,2,TRUE)</f>
        <v>Saracina Unoaked Chardonnay</v>
      </c>
      <c r="AO571" s="21">
        <f>VLOOKUP(Transaction[[#This Row],[Model No.]],$AV$2:$BD$100,6,TRUE)</f>
        <v>20.99</v>
      </c>
      <c r="AP571" s="9">
        <v>4</v>
      </c>
      <c r="AQ571" s="5">
        <f>Transaction[[#This Row],[Price]]*Transaction[[#This Row],[Qty]]</f>
        <v>83.96</v>
      </c>
      <c r="AR571" s="5">
        <f>VLOOKUP(Transaction[[#This Row],[Model No.]],$AV$2:$BD$100,7,TRUE)*Transaction[[#This Row],[Qty]]</f>
        <v>16.791999999999998</v>
      </c>
      <c r="AS571">
        <v>1101</v>
      </c>
      <c r="AT571">
        <v>1003</v>
      </c>
    </row>
    <row r="572" spans="36:46" x14ac:dyDescent="0.3">
      <c r="AJ572">
        <v>92154</v>
      </c>
      <c r="AK572" s="30">
        <v>42343</v>
      </c>
      <c r="AL572" t="s">
        <v>1262</v>
      </c>
      <c r="AM572">
        <v>56</v>
      </c>
      <c r="AN572" t="str">
        <f>VLOOKUP(Transaction[[#This Row],[Model No.]],$AV$2:$BD$100,2,TRUE)</f>
        <v>Roy Pitz Sour Hound - 6 Pack</v>
      </c>
      <c r="AO572" s="21">
        <f>VLOOKUP(Transaction[[#This Row],[Model No.]],$AV$2:$BD$100,6,TRUE)</f>
        <v>13.99</v>
      </c>
      <c r="AP572" s="9">
        <v>3</v>
      </c>
      <c r="AQ572" s="5">
        <f>Transaction[[#This Row],[Price]]*Transaction[[#This Row],[Qty]]</f>
        <v>41.97</v>
      </c>
      <c r="AR572" s="5">
        <f>VLOOKUP(Transaction[[#This Row],[Model No.]],$AV$2:$BD$100,7,TRUE)*Transaction[[#This Row],[Qty]]</f>
        <v>12.591000000000001</v>
      </c>
      <c r="AS572">
        <v>1108</v>
      </c>
      <c r="AT572">
        <v>1008</v>
      </c>
    </row>
    <row r="573" spans="36:46" x14ac:dyDescent="0.3">
      <c r="AJ573">
        <v>45835</v>
      </c>
      <c r="AK573" s="30">
        <v>42345</v>
      </c>
      <c r="AL573" t="s">
        <v>746</v>
      </c>
      <c r="AM573">
        <v>14</v>
      </c>
      <c r="AN573" t="str">
        <f>VLOOKUP(Transaction[[#This Row],[Model No.]],$AV$2:$BD$100,2,TRUE)</f>
        <v>Walter Hansel Winery The Estate Vineyards Chardonnay</v>
      </c>
      <c r="AO573" s="21">
        <f>VLOOKUP(Transaction[[#This Row],[Model No.]],$AV$2:$BD$100,6,TRUE)</f>
        <v>34.99</v>
      </c>
      <c r="AP573" s="9">
        <v>1</v>
      </c>
      <c r="AQ573" s="5">
        <f>Transaction[[#This Row],[Price]]*Transaction[[#This Row],[Qty]]</f>
        <v>34.99</v>
      </c>
      <c r="AR573" s="5">
        <f>VLOOKUP(Transaction[[#This Row],[Model No.]],$AV$2:$BD$100,7,TRUE)*Transaction[[#This Row],[Qty]]</f>
        <v>6.9980000000000011</v>
      </c>
      <c r="AS573">
        <v>1104</v>
      </c>
      <c r="AT573">
        <v>1021</v>
      </c>
    </row>
    <row r="574" spans="36:46" x14ac:dyDescent="0.3">
      <c r="AJ574">
        <v>41760</v>
      </c>
      <c r="AK574" s="30">
        <v>42346</v>
      </c>
      <c r="AL574" t="s">
        <v>1192</v>
      </c>
      <c r="AM574">
        <v>21</v>
      </c>
      <c r="AN574" t="str">
        <f>VLOOKUP(Transaction[[#This Row],[Model No.]],$AV$2:$BD$100,2,TRUE)</f>
        <v>Adelsheim Ribbon Springs Auxerrois</v>
      </c>
      <c r="AO574" s="21">
        <f>VLOOKUP(Transaction[[#This Row],[Model No.]],$AV$2:$BD$100,6,TRUE)</f>
        <v>25.99</v>
      </c>
      <c r="AP574" s="9">
        <v>3</v>
      </c>
      <c r="AQ574" s="5">
        <f>Transaction[[#This Row],[Price]]*Transaction[[#This Row],[Qty]]</f>
        <v>77.97</v>
      </c>
      <c r="AR574" s="5">
        <f>VLOOKUP(Transaction[[#This Row],[Model No.]],$AV$2:$BD$100,7,TRUE)*Transaction[[#This Row],[Qty]]</f>
        <v>7.7970000000000006</v>
      </c>
      <c r="AS574">
        <v>1100</v>
      </c>
      <c r="AT574">
        <v>1013</v>
      </c>
    </row>
    <row r="575" spans="36:46" x14ac:dyDescent="0.3">
      <c r="AJ575">
        <v>44700</v>
      </c>
      <c r="AK575" s="30">
        <v>42346</v>
      </c>
      <c r="AL575" t="s">
        <v>1639</v>
      </c>
      <c r="AM575">
        <v>42</v>
      </c>
      <c r="AN575" t="str">
        <f>VLOOKUP(Transaction[[#This Row],[Model No.]],$AV$2:$BD$100,2,TRUE)</f>
        <v>Francis Ford Coppola Sofia Brut Rose Pinot Noir</v>
      </c>
      <c r="AO575" s="21">
        <f>VLOOKUP(Transaction[[#This Row],[Model No.]],$AV$2:$BD$100,6,TRUE)</f>
        <v>16.989999999999998</v>
      </c>
      <c r="AP575" s="9">
        <v>4</v>
      </c>
      <c r="AQ575" s="5">
        <f>Transaction[[#This Row],[Price]]*Transaction[[#This Row],[Qty]]</f>
        <v>67.959999999999994</v>
      </c>
      <c r="AR575" s="5">
        <f>VLOOKUP(Transaction[[#This Row],[Model No.]],$AV$2:$BD$100,7,TRUE)*Transaction[[#This Row],[Qty]]</f>
        <v>27.183999999999997</v>
      </c>
      <c r="AS575">
        <v>1099</v>
      </c>
      <c r="AT575">
        <v>1006</v>
      </c>
    </row>
    <row r="576" spans="36:46" x14ac:dyDescent="0.3">
      <c r="AJ576">
        <v>80112</v>
      </c>
      <c r="AK576" s="30">
        <v>42346</v>
      </c>
      <c r="AL576" t="s">
        <v>527</v>
      </c>
      <c r="AM576">
        <v>83</v>
      </c>
      <c r="AN576" t="str">
        <f>VLOOKUP(Transaction[[#This Row],[Model No.]],$AV$2:$BD$100,2,TRUE)</f>
        <v>Pinnacle Cherry Whipped Vodka</v>
      </c>
      <c r="AO576" s="21">
        <f>VLOOKUP(Transaction[[#This Row],[Model No.]],$AV$2:$BD$100,6,TRUE)</f>
        <v>10.99</v>
      </c>
      <c r="AP576" s="9">
        <v>4</v>
      </c>
      <c r="AQ576" s="5">
        <f>Transaction[[#This Row],[Price]]*Transaction[[#This Row],[Qty]]</f>
        <v>43.96</v>
      </c>
      <c r="AR576" s="5">
        <f>VLOOKUP(Transaction[[#This Row],[Model No.]],$AV$2:$BD$100,7,TRUE)*Transaction[[#This Row],[Qty]]</f>
        <v>13.188000000000001</v>
      </c>
      <c r="AS576">
        <v>1105</v>
      </c>
      <c r="AT576">
        <v>1000</v>
      </c>
    </row>
    <row r="577" spans="36:46" x14ac:dyDescent="0.3">
      <c r="AJ577">
        <v>80327</v>
      </c>
      <c r="AK577" s="30">
        <v>42349</v>
      </c>
      <c r="AL577" t="s">
        <v>587</v>
      </c>
      <c r="AM577">
        <v>66</v>
      </c>
      <c r="AN577" t="str">
        <f>VLOOKUP(Transaction[[#This Row],[Model No.]],$AV$2:$BD$100,2,TRUE)</f>
        <v>Red Horse Beer - 6 Pack</v>
      </c>
      <c r="AO577" s="21">
        <f>VLOOKUP(Transaction[[#This Row],[Model No.]],$AV$2:$BD$100,6,TRUE)</f>
        <v>12.99</v>
      </c>
      <c r="AP577" s="9">
        <v>4</v>
      </c>
      <c r="AQ577" s="5">
        <f>Transaction[[#This Row],[Price]]*Transaction[[#This Row],[Qty]]</f>
        <v>51.96</v>
      </c>
      <c r="AR577" s="5">
        <f>VLOOKUP(Transaction[[#This Row],[Model No.]],$AV$2:$BD$100,7,TRUE)*Transaction[[#This Row],[Qty]]</f>
        <v>15.587999999999999</v>
      </c>
      <c r="AS577">
        <v>1105</v>
      </c>
      <c r="AT577">
        <v>1010</v>
      </c>
    </row>
    <row r="578" spans="36:46" x14ac:dyDescent="0.3">
      <c r="AJ578">
        <v>56610</v>
      </c>
      <c r="AK578" s="30">
        <v>42352</v>
      </c>
      <c r="AL578" t="s">
        <v>751</v>
      </c>
      <c r="AM578">
        <v>45</v>
      </c>
      <c r="AN578" t="str">
        <f>VLOOKUP(Transaction[[#This Row],[Model No.]],$AV$2:$BD$100,2,TRUE)</f>
        <v>Sixpoint Resin - 6 Pack</v>
      </c>
      <c r="AO578" s="21">
        <f>VLOOKUP(Transaction[[#This Row],[Model No.]],$AV$2:$BD$100,6,TRUE)</f>
        <v>15.99</v>
      </c>
      <c r="AP578" s="9">
        <v>4</v>
      </c>
      <c r="AQ578" s="5">
        <f>Transaction[[#This Row],[Price]]*Transaction[[#This Row],[Qty]]</f>
        <v>63.96</v>
      </c>
      <c r="AR578" s="5">
        <f>VLOOKUP(Transaction[[#This Row],[Model No.]],$AV$2:$BD$100,7,TRUE)*Transaction[[#This Row],[Qty]]</f>
        <v>19.187999999999999</v>
      </c>
      <c r="AS578">
        <v>1100</v>
      </c>
      <c r="AT578">
        <v>1007</v>
      </c>
    </row>
    <row r="579" spans="36:46" x14ac:dyDescent="0.3">
      <c r="AJ579">
        <v>96527</v>
      </c>
      <c r="AK579" s="30">
        <v>42352</v>
      </c>
      <c r="AL579" t="s">
        <v>1475</v>
      </c>
      <c r="AM579">
        <v>65</v>
      </c>
      <c r="AN579" t="str">
        <f>VLOOKUP(Transaction[[#This Row],[Model No.]],$AV$2:$BD$100,2,TRUE)</f>
        <v>Shipyard Summer Ale - 6 Pack</v>
      </c>
      <c r="AO579" s="21">
        <f>VLOOKUP(Transaction[[#This Row],[Model No.]],$AV$2:$BD$100,6,TRUE)</f>
        <v>12.99</v>
      </c>
      <c r="AP579" s="9">
        <v>4</v>
      </c>
      <c r="AQ579" s="5">
        <f>Transaction[[#This Row],[Price]]*Transaction[[#This Row],[Qty]]</f>
        <v>51.96</v>
      </c>
      <c r="AR579" s="5">
        <f>VLOOKUP(Transaction[[#This Row],[Model No.]],$AV$2:$BD$100,7,TRUE)*Transaction[[#This Row],[Qty]]</f>
        <v>15.587999999999999</v>
      </c>
      <c r="AS579">
        <v>1108</v>
      </c>
      <c r="AT579">
        <v>1011</v>
      </c>
    </row>
    <row r="580" spans="36:46" x14ac:dyDescent="0.3">
      <c r="AJ580">
        <v>70939</v>
      </c>
      <c r="AK580" s="30">
        <v>42356</v>
      </c>
      <c r="AL580" t="s">
        <v>1720</v>
      </c>
      <c r="AM580">
        <v>3</v>
      </c>
      <c r="AN580" t="str">
        <f>VLOOKUP(Transaction[[#This Row],[Model No.]],$AV$2:$BD$100,2,TRUE)</f>
        <v>Compass Box Orangerie Scotch Whisky</v>
      </c>
      <c r="AO580" s="21">
        <f>VLOOKUP(Transaction[[#This Row],[Model No.]],$AV$2:$BD$100,6,TRUE)</f>
        <v>56.99</v>
      </c>
      <c r="AP580" s="9">
        <v>5</v>
      </c>
      <c r="AQ580" s="5">
        <f>Transaction[[#This Row],[Price]]*Transaction[[#This Row],[Qty]]</f>
        <v>284.95</v>
      </c>
      <c r="AR580" s="5">
        <f>VLOOKUP(Transaction[[#This Row],[Model No.]],$AV$2:$BD$100,7,TRUE)*Transaction[[#This Row],[Qty]]</f>
        <v>85.485000000000014</v>
      </c>
      <c r="AS580">
        <v>1101</v>
      </c>
      <c r="AT580">
        <v>1004</v>
      </c>
    </row>
    <row r="581" spans="36:46" x14ac:dyDescent="0.3">
      <c r="AJ581">
        <v>27460</v>
      </c>
      <c r="AK581" s="30">
        <v>42356</v>
      </c>
      <c r="AL581" t="s">
        <v>692</v>
      </c>
      <c r="AM581">
        <v>17</v>
      </c>
      <c r="AN581" t="str">
        <f>VLOOKUP(Transaction[[#This Row],[Model No.]],$AV$2:$BD$100,2,TRUE)</f>
        <v>Miller Lite Can - 24 Pack</v>
      </c>
      <c r="AO581" s="21">
        <f>VLOOKUP(Transaction[[#This Row],[Model No.]],$AV$2:$BD$100,6,TRUE)</f>
        <v>30.99</v>
      </c>
      <c r="AP581" s="9">
        <v>2</v>
      </c>
      <c r="AQ581" s="5">
        <f>Transaction[[#This Row],[Price]]*Transaction[[#This Row],[Qty]]</f>
        <v>61.98</v>
      </c>
      <c r="AR581" s="5">
        <f>VLOOKUP(Transaction[[#This Row],[Model No.]],$AV$2:$BD$100,7,TRUE)*Transaction[[#This Row],[Qty]]</f>
        <v>18.593999999999998</v>
      </c>
      <c r="AS581">
        <v>1101</v>
      </c>
      <c r="AT581">
        <v>1013</v>
      </c>
    </row>
    <row r="582" spans="36:46" x14ac:dyDescent="0.3">
      <c r="AJ582">
        <v>60969</v>
      </c>
      <c r="AK582" s="30">
        <v>42358</v>
      </c>
      <c r="AL582" t="s">
        <v>1310</v>
      </c>
      <c r="AM582">
        <v>45</v>
      </c>
      <c r="AN582" t="str">
        <f>VLOOKUP(Transaction[[#This Row],[Model No.]],$AV$2:$BD$100,2,TRUE)</f>
        <v>Sixpoint Resin - 6 Pack</v>
      </c>
      <c r="AO582" s="21">
        <f>VLOOKUP(Transaction[[#This Row],[Model No.]],$AV$2:$BD$100,6,TRUE)</f>
        <v>15.99</v>
      </c>
      <c r="AP582" s="9">
        <v>1</v>
      </c>
      <c r="AQ582" s="5">
        <f>Transaction[[#This Row],[Price]]*Transaction[[#This Row],[Qty]]</f>
        <v>15.99</v>
      </c>
      <c r="AR582" s="5">
        <f>VLOOKUP(Transaction[[#This Row],[Model No.]],$AV$2:$BD$100,7,TRUE)*Transaction[[#This Row],[Qty]]</f>
        <v>4.7969999999999997</v>
      </c>
      <c r="AS582">
        <v>1098</v>
      </c>
      <c r="AT582">
        <v>1020</v>
      </c>
    </row>
    <row r="583" spans="36:46" x14ac:dyDescent="0.3">
      <c r="AJ583">
        <v>92275</v>
      </c>
      <c r="AK583" s="30">
        <v>42359</v>
      </c>
      <c r="AL583" t="s">
        <v>773</v>
      </c>
      <c r="AM583">
        <v>24</v>
      </c>
      <c r="AN583" t="str">
        <f>VLOOKUP(Transaction[[#This Row],[Model No.]],$AV$2:$BD$100,2,TRUE)</f>
        <v>Matchbook The Arsonist Bordeaux Blend</v>
      </c>
      <c r="AO583" s="21">
        <f>VLOOKUP(Transaction[[#This Row],[Model No.]],$AV$2:$BD$100,6,TRUE)</f>
        <v>24.99</v>
      </c>
      <c r="AP583" s="9">
        <v>3</v>
      </c>
      <c r="AQ583" s="5">
        <f>Transaction[[#This Row],[Price]]*Transaction[[#This Row],[Qty]]</f>
        <v>74.97</v>
      </c>
      <c r="AR583" s="5">
        <f>VLOOKUP(Transaction[[#This Row],[Model No.]],$AV$2:$BD$100,7,TRUE)*Transaction[[#This Row],[Qty]]</f>
        <v>7.4969999999999999</v>
      </c>
      <c r="AS583">
        <v>1099</v>
      </c>
      <c r="AT583">
        <v>1019</v>
      </c>
    </row>
    <row r="584" spans="36:46" x14ac:dyDescent="0.3">
      <c r="AJ584">
        <v>60720</v>
      </c>
      <c r="AK584" s="30">
        <v>42359</v>
      </c>
      <c r="AL584" t="s">
        <v>1862</v>
      </c>
      <c r="AM584">
        <v>85</v>
      </c>
      <c r="AN584" t="str">
        <f>VLOOKUP(Transaction[[#This Row],[Model No.]],$AV$2:$BD$100,2,TRUE)</f>
        <v>Shiner Sea Salt &amp; Lime - 6 Pack</v>
      </c>
      <c r="AO584" s="21">
        <f>VLOOKUP(Transaction[[#This Row],[Model No.]],$AV$2:$BD$100,6,TRUE)</f>
        <v>9.99</v>
      </c>
      <c r="AP584" s="9">
        <v>5</v>
      </c>
      <c r="AQ584" s="5">
        <f>Transaction[[#This Row],[Price]]*Transaction[[#This Row],[Qty]]</f>
        <v>49.95</v>
      </c>
      <c r="AR584" s="5">
        <f>VLOOKUP(Transaction[[#This Row],[Model No.]],$AV$2:$BD$100,7,TRUE)*Transaction[[#This Row],[Qty]]</f>
        <v>14.984999999999999</v>
      </c>
      <c r="AS584">
        <v>1106</v>
      </c>
      <c r="AT584">
        <v>1019</v>
      </c>
    </row>
    <row r="585" spans="36:46" x14ac:dyDescent="0.3">
      <c r="AJ585">
        <v>20662</v>
      </c>
      <c r="AK585" s="30">
        <v>42361</v>
      </c>
      <c r="AL585" t="s">
        <v>1609</v>
      </c>
      <c r="AM585">
        <v>17</v>
      </c>
      <c r="AN585" t="str">
        <f>VLOOKUP(Transaction[[#This Row],[Model No.]],$AV$2:$BD$100,2,TRUE)</f>
        <v>Miller Lite Can - 24 Pack</v>
      </c>
      <c r="AO585" s="21">
        <f>VLOOKUP(Transaction[[#This Row],[Model No.]],$AV$2:$BD$100,6,TRUE)</f>
        <v>30.99</v>
      </c>
      <c r="AP585" s="9">
        <v>4</v>
      </c>
      <c r="AQ585" s="5">
        <f>Transaction[[#This Row],[Price]]*Transaction[[#This Row],[Qty]]</f>
        <v>123.96</v>
      </c>
      <c r="AR585" s="5">
        <f>VLOOKUP(Transaction[[#This Row],[Model No.]],$AV$2:$BD$100,7,TRUE)*Transaction[[#This Row],[Qty]]</f>
        <v>37.187999999999995</v>
      </c>
      <c r="AS585">
        <v>1099</v>
      </c>
      <c r="AT585">
        <v>1014</v>
      </c>
    </row>
    <row r="586" spans="36:46" x14ac:dyDescent="0.3">
      <c r="AJ586">
        <v>92778</v>
      </c>
      <c r="AK586" s="30">
        <v>42364</v>
      </c>
      <c r="AL586" t="s">
        <v>481</v>
      </c>
      <c r="AM586">
        <v>76</v>
      </c>
      <c r="AN586" t="str">
        <f>VLOOKUP(Transaction[[#This Row],[Model No.]],$AV$2:$BD$100,2,TRUE)</f>
        <v>Lagunitas Super Cluster Can - 6 Pack</v>
      </c>
      <c r="AO586" s="21">
        <f>VLOOKUP(Transaction[[#This Row],[Model No.]],$AV$2:$BD$100,6,TRUE)</f>
        <v>11.99</v>
      </c>
      <c r="AP586" s="9">
        <v>5</v>
      </c>
      <c r="AQ586" s="5">
        <f>Transaction[[#This Row],[Price]]*Transaction[[#This Row],[Qty]]</f>
        <v>59.95</v>
      </c>
      <c r="AR586" s="5">
        <f>VLOOKUP(Transaction[[#This Row],[Model No.]],$AV$2:$BD$100,7,TRUE)*Transaction[[#This Row],[Qty]]</f>
        <v>17.984999999999999</v>
      </c>
      <c r="AS586">
        <v>1104</v>
      </c>
      <c r="AT586">
        <v>1003</v>
      </c>
    </row>
    <row r="587" spans="36:46" x14ac:dyDescent="0.3">
      <c r="AJ587">
        <v>73705</v>
      </c>
      <c r="AK587" s="30">
        <v>42368</v>
      </c>
      <c r="AL587" t="s">
        <v>1455</v>
      </c>
      <c r="AM587">
        <v>50</v>
      </c>
      <c r="AN587" t="str">
        <f>VLOOKUP(Transaction[[#This Row],[Model No.]],$AV$2:$BD$100,2,TRUE)</f>
        <v>CLOS DU BOIS ROSE</v>
      </c>
      <c r="AO587" s="21">
        <f>VLOOKUP(Transaction[[#This Row],[Model No.]],$AV$2:$BD$100,6,TRUE)</f>
        <v>14.99</v>
      </c>
      <c r="AP587" s="9">
        <v>4</v>
      </c>
      <c r="AQ587" s="5">
        <f>Transaction[[#This Row],[Price]]*Transaction[[#This Row],[Qty]]</f>
        <v>59.96</v>
      </c>
      <c r="AR587" s="5">
        <f>VLOOKUP(Transaction[[#This Row],[Model No.]],$AV$2:$BD$100,7,TRUE)*Transaction[[#This Row],[Qty]]</f>
        <v>23.984000000000002</v>
      </c>
      <c r="AS587">
        <v>1106</v>
      </c>
      <c r="AT587">
        <v>1012</v>
      </c>
    </row>
    <row r="588" spans="36:46" x14ac:dyDescent="0.3">
      <c r="AJ588">
        <v>70517</v>
      </c>
      <c r="AK588" s="30">
        <v>42369</v>
      </c>
      <c r="AL588" t="s">
        <v>1052</v>
      </c>
      <c r="AM588">
        <v>32</v>
      </c>
      <c r="AN588" t="str">
        <f>VLOOKUP(Transaction[[#This Row],[Model No.]],$AV$2:$BD$100,2,TRUE)</f>
        <v>Sugar Island Spiced Rum</v>
      </c>
      <c r="AO588" s="21">
        <f>VLOOKUP(Transaction[[#This Row],[Model No.]],$AV$2:$BD$100,6,TRUE)</f>
        <v>21.99</v>
      </c>
      <c r="AP588" s="9">
        <v>4</v>
      </c>
      <c r="AQ588" s="5">
        <f>Transaction[[#This Row],[Price]]*Transaction[[#This Row],[Qty]]</f>
        <v>87.96</v>
      </c>
      <c r="AR588" s="5">
        <f>VLOOKUP(Transaction[[#This Row],[Model No.]],$AV$2:$BD$100,7,TRUE)*Transaction[[#This Row],[Qty]]</f>
        <v>17.591999999999999</v>
      </c>
      <c r="AS588">
        <v>1102</v>
      </c>
      <c r="AT588">
        <v>1011</v>
      </c>
    </row>
    <row r="589" spans="36:46" x14ac:dyDescent="0.3">
      <c r="AJ589">
        <v>79470</v>
      </c>
      <c r="AK589" s="30">
        <v>42369</v>
      </c>
      <c r="AL589" t="s">
        <v>1388</v>
      </c>
      <c r="AM589">
        <v>34</v>
      </c>
      <c r="AN589" t="str">
        <f>VLOOKUP(Transaction[[#This Row],[Model No.]],$AV$2:$BD$100,2,TRUE)</f>
        <v>The Eyrie Vineyards Pinot Gris</v>
      </c>
      <c r="AO589" s="21">
        <f>VLOOKUP(Transaction[[#This Row],[Model No.]],$AV$2:$BD$100,6,TRUE)</f>
        <v>20.99</v>
      </c>
      <c r="AP589" s="9">
        <v>4</v>
      </c>
      <c r="AQ589" s="5">
        <f>Transaction[[#This Row],[Price]]*Transaction[[#This Row],[Qty]]</f>
        <v>83.96</v>
      </c>
      <c r="AR589" s="5">
        <f>VLOOKUP(Transaction[[#This Row],[Model No.]],$AV$2:$BD$100,7,TRUE)*Transaction[[#This Row],[Qty]]</f>
        <v>16.791999999999998</v>
      </c>
      <c r="AS589">
        <v>1103</v>
      </c>
      <c r="AT589">
        <v>1001</v>
      </c>
    </row>
    <row r="590" spans="36:46" x14ac:dyDescent="0.3">
      <c r="AJ590">
        <v>67158</v>
      </c>
      <c r="AK590" s="30">
        <v>42369</v>
      </c>
      <c r="AL590" t="s">
        <v>396</v>
      </c>
      <c r="AM590">
        <v>95</v>
      </c>
      <c r="AN590" t="str">
        <f>VLOOKUP(Transaction[[#This Row],[Model No.]],$AV$2:$BD$100,2,TRUE)</f>
        <v>Kuromatsu Hakushika Chokara Extra Dry Sake</v>
      </c>
      <c r="AO590" s="21">
        <f>VLOOKUP(Transaction[[#This Row],[Model No.]],$AV$2:$BD$100,6,TRUE)</f>
        <v>7.49</v>
      </c>
      <c r="AP590" s="9">
        <v>2</v>
      </c>
      <c r="AQ590" s="5">
        <f>Transaction[[#This Row],[Price]]*Transaction[[#This Row],[Qty]]</f>
        <v>14.98</v>
      </c>
      <c r="AR590" s="5">
        <f>VLOOKUP(Transaction[[#This Row],[Model No.]],$AV$2:$BD$100,7,TRUE)*Transaction[[#This Row],[Qty]]</f>
        <v>1.4980000000000002</v>
      </c>
      <c r="AS590">
        <v>1104</v>
      </c>
      <c r="AT590">
        <v>1001</v>
      </c>
    </row>
    <row r="591" spans="36:46" x14ac:dyDescent="0.3">
      <c r="AJ591">
        <v>55197</v>
      </c>
      <c r="AK591" s="30">
        <v>42370</v>
      </c>
      <c r="AL591" t="s">
        <v>533</v>
      </c>
      <c r="AM591">
        <v>10</v>
      </c>
      <c r="AN591" t="str">
        <f>VLOOKUP(Transaction[[#This Row],[Model No.]],$AV$2:$BD$100,2,TRUE)</f>
        <v>Hum Botanical Spirit Liqueur</v>
      </c>
      <c r="AO591" s="21">
        <f>VLOOKUP(Transaction[[#This Row],[Model No.]],$AV$2:$BD$100,6,TRUE)</f>
        <v>41.99</v>
      </c>
      <c r="AP591" s="9">
        <v>3</v>
      </c>
      <c r="AQ591" s="5">
        <f>Transaction[[#This Row],[Price]]*Transaction[[#This Row],[Qty]]</f>
        <v>125.97</v>
      </c>
      <c r="AR591" s="5">
        <f>VLOOKUP(Transaction[[#This Row],[Model No.]],$AV$2:$BD$100,7,TRUE)*Transaction[[#This Row],[Qty]]</f>
        <v>37.790999999999997</v>
      </c>
      <c r="AS591">
        <v>1099</v>
      </c>
      <c r="AT591">
        <v>1012</v>
      </c>
    </row>
    <row r="592" spans="36:46" x14ac:dyDescent="0.3">
      <c r="AJ592">
        <v>41633</v>
      </c>
      <c r="AK592" s="30">
        <v>42371</v>
      </c>
      <c r="AL592" t="s">
        <v>1317</v>
      </c>
      <c r="AM592">
        <v>57</v>
      </c>
      <c r="AN592" t="str">
        <f>VLOOKUP(Transaction[[#This Row],[Model No.]],$AV$2:$BD$100,2,TRUE)</f>
        <v>Familia Dante Twelve Months Oak Aged Toscana IGT Sangiovese</v>
      </c>
      <c r="AO592" s="21">
        <f>VLOOKUP(Transaction[[#This Row],[Model No.]],$AV$2:$BD$100,6,TRUE)</f>
        <v>13.69</v>
      </c>
      <c r="AP592" s="9">
        <v>5</v>
      </c>
      <c r="AQ592" s="5">
        <f>Transaction[[#This Row],[Price]]*Transaction[[#This Row],[Qty]]</f>
        <v>68.45</v>
      </c>
      <c r="AR592" s="5">
        <f>VLOOKUP(Transaction[[#This Row],[Model No.]],$AV$2:$BD$100,7,TRUE)*Transaction[[#This Row],[Qty]]</f>
        <v>6.8449999999999998</v>
      </c>
      <c r="AS592">
        <v>1107</v>
      </c>
      <c r="AT592">
        <v>1010</v>
      </c>
    </row>
    <row r="593" spans="36:46" x14ac:dyDescent="0.3">
      <c r="AJ593">
        <v>38724</v>
      </c>
      <c r="AK593" s="30">
        <v>42373</v>
      </c>
      <c r="AL593" t="s">
        <v>752</v>
      </c>
      <c r="AM593">
        <v>74</v>
      </c>
      <c r="AN593" t="str">
        <f>VLOOKUP(Transaction[[#This Row],[Model No.]],$AV$2:$BD$100,2,TRUE)</f>
        <v>UINTA PALE ALE NR - 6 Pack</v>
      </c>
      <c r="AO593" s="21">
        <f>VLOOKUP(Transaction[[#This Row],[Model No.]],$AV$2:$BD$100,6,TRUE)</f>
        <v>11.99</v>
      </c>
      <c r="AP593" s="9">
        <v>2</v>
      </c>
      <c r="AQ593" s="5">
        <f>Transaction[[#This Row],[Price]]*Transaction[[#This Row],[Qty]]</f>
        <v>23.98</v>
      </c>
      <c r="AR593" s="5">
        <f>VLOOKUP(Transaction[[#This Row],[Model No.]],$AV$2:$BD$100,7,TRUE)*Transaction[[#This Row],[Qty]]</f>
        <v>7.194</v>
      </c>
      <c r="AS593">
        <v>1108</v>
      </c>
      <c r="AT593">
        <v>1014</v>
      </c>
    </row>
    <row r="594" spans="36:46" x14ac:dyDescent="0.3">
      <c r="AJ594">
        <v>13876</v>
      </c>
      <c r="AK594" s="30">
        <v>42374</v>
      </c>
      <c r="AL594" t="s">
        <v>883</v>
      </c>
      <c r="AM594">
        <v>19</v>
      </c>
      <c r="AN594" t="str">
        <f>VLOOKUP(Transaction[[#This Row],[Model No.]],$AV$2:$BD$100,2,TRUE)</f>
        <v>District Made Vodka</v>
      </c>
      <c r="AO594" s="21">
        <f>VLOOKUP(Transaction[[#This Row],[Model No.]],$AV$2:$BD$100,6,TRUE)</f>
        <v>29.99</v>
      </c>
      <c r="AP594" s="9">
        <v>3</v>
      </c>
      <c r="AQ594" s="5">
        <f>Transaction[[#This Row],[Price]]*Transaction[[#This Row],[Qty]]</f>
        <v>89.97</v>
      </c>
      <c r="AR594" s="5">
        <f>VLOOKUP(Transaction[[#This Row],[Model No.]],$AV$2:$BD$100,7,TRUE)*Transaction[[#This Row],[Qty]]</f>
        <v>26.991</v>
      </c>
      <c r="AS594">
        <v>1101</v>
      </c>
      <c r="AT594">
        <v>1007</v>
      </c>
    </row>
    <row r="595" spans="36:46" x14ac:dyDescent="0.3">
      <c r="AJ595">
        <v>19170</v>
      </c>
      <c r="AK595" s="30">
        <v>42374</v>
      </c>
      <c r="AL595" t="s">
        <v>1328</v>
      </c>
      <c r="AM595">
        <v>67</v>
      </c>
      <c r="AN595" t="str">
        <f>VLOOKUP(Transaction[[#This Row],[Model No.]],$AV$2:$BD$100,2,TRUE)</f>
        <v>Oh Be Joyful Sweet Deutscher Qualitatswein Dornfelder</v>
      </c>
      <c r="AO595" s="21">
        <f>VLOOKUP(Transaction[[#This Row],[Model No.]],$AV$2:$BD$100,6,TRUE)</f>
        <v>12.99</v>
      </c>
      <c r="AP595" s="9">
        <v>1</v>
      </c>
      <c r="AQ595" s="5">
        <f>Transaction[[#This Row],[Price]]*Transaction[[#This Row],[Qty]]</f>
        <v>12.99</v>
      </c>
      <c r="AR595" s="5">
        <f>VLOOKUP(Transaction[[#This Row],[Model No.]],$AV$2:$BD$100,7,TRUE)*Transaction[[#This Row],[Qty]]</f>
        <v>5.1960000000000006</v>
      </c>
      <c r="AS595">
        <v>1099</v>
      </c>
      <c r="AT595">
        <v>1004</v>
      </c>
    </row>
    <row r="596" spans="36:46" x14ac:dyDescent="0.3">
      <c r="AJ596">
        <v>84012</v>
      </c>
      <c r="AK596" s="30">
        <v>42376</v>
      </c>
      <c r="AL596" t="s">
        <v>1121</v>
      </c>
      <c r="AM596">
        <v>79</v>
      </c>
      <c r="AN596" t="str">
        <f>VLOOKUP(Transaction[[#This Row],[Model No.]],$AV$2:$BD$100,2,TRUE)</f>
        <v>Baron Herzog Jeunesse Chardonnay</v>
      </c>
      <c r="AO596" s="21">
        <f>VLOOKUP(Transaction[[#This Row],[Model No.]],$AV$2:$BD$100,6,TRUE)</f>
        <v>11.49</v>
      </c>
      <c r="AP596" s="9">
        <v>1</v>
      </c>
      <c r="AQ596" s="5">
        <f>Transaction[[#This Row],[Price]]*Transaction[[#This Row],[Qty]]</f>
        <v>11.49</v>
      </c>
      <c r="AR596" s="5">
        <f>VLOOKUP(Transaction[[#This Row],[Model No.]],$AV$2:$BD$100,7,TRUE)*Transaction[[#This Row],[Qty]]</f>
        <v>2.298</v>
      </c>
      <c r="AS596">
        <v>1107</v>
      </c>
      <c r="AT596">
        <v>1004</v>
      </c>
    </row>
    <row r="597" spans="36:46" x14ac:dyDescent="0.3">
      <c r="AJ597">
        <v>22160</v>
      </c>
      <c r="AK597" s="30">
        <v>42379</v>
      </c>
      <c r="AL597" t="s">
        <v>1916</v>
      </c>
      <c r="AM597">
        <v>20</v>
      </c>
      <c r="AN597" t="str">
        <f>VLOOKUP(Transaction[[#This Row],[Model No.]],$AV$2:$BD$100,2,TRUE)</f>
        <v>Stonewall American Rum</v>
      </c>
      <c r="AO597" s="21">
        <f>VLOOKUP(Transaction[[#This Row],[Model No.]],$AV$2:$BD$100,6,TRUE)</f>
        <v>27.99</v>
      </c>
      <c r="AP597" s="9">
        <v>2</v>
      </c>
      <c r="AQ597" s="5">
        <f>Transaction[[#This Row],[Price]]*Transaction[[#This Row],[Qty]]</f>
        <v>55.98</v>
      </c>
      <c r="AR597" s="5">
        <f>VLOOKUP(Transaction[[#This Row],[Model No.]],$AV$2:$BD$100,7,TRUE)*Transaction[[#This Row],[Qty]]</f>
        <v>11.196</v>
      </c>
      <c r="AS597">
        <v>1108</v>
      </c>
      <c r="AT597">
        <v>1000</v>
      </c>
    </row>
    <row r="598" spans="36:46" x14ac:dyDescent="0.3">
      <c r="AJ598">
        <v>62064</v>
      </c>
      <c r="AK598" s="30">
        <v>42380</v>
      </c>
      <c r="AL598" t="s">
        <v>346</v>
      </c>
      <c r="AM598">
        <v>21</v>
      </c>
      <c r="AN598" t="str">
        <f>VLOOKUP(Transaction[[#This Row],[Model No.]],$AV$2:$BD$100,2,TRUE)</f>
        <v>Adelsheim Ribbon Springs Auxerrois</v>
      </c>
      <c r="AO598" s="21">
        <f>VLOOKUP(Transaction[[#This Row],[Model No.]],$AV$2:$BD$100,6,TRUE)</f>
        <v>25.99</v>
      </c>
      <c r="AP598" s="9">
        <v>5</v>
      </c>
      <c r="AQ598" s="5">
        <f>Transaction[[#This Row],[Price]]*Transaction[[#This Row],[Qty]]</f>
        <v>129.94999999999999</v>
      </c>
      <c r="AR598" s="5">
        <f>VLOOKUP(Transaction[[#This Row],[Model No.]],$AV$2:$BD$100,7,TRUE)*Transaction[[#This Row],[Qty]]</f>
        <v>12.995000000000001</v>
      </c>
      <c r="AS598">
        <v>1101</v>
      </c>
      <c r="AT598">
        <v>1013</v>
      </c>
    </row>
    <row r="599" spans="36:46" x14ac:dyDescent="0.3">
      <c r="AJ599">
        <v>35824</v>
      </c>
      <c r="AK599" s="30">
        <v>42384</v>
      </c>
      <c r="AL599" t="s">
        <v>1381</v>
      </c>
      <c r="AM599">
        <v>92</v>
      </c>
      <c r="AN599" t="str">
        <f>VLOOKUP(Transaction[[#This Row],[Model No.]],$AV$2:$BD$100,2,TRUE)</f>
        <v>Four Seasons Collection Late Harvest White Moscato Dessert Muscat</v>
      </c>
      <c r="AO599" s="21">
        <f>VLOOKUP(Transaction[[#This Row],[Model No.]],$AV$2:$BD$100,6,TRUE)</f>
        <v>7.69</v>
      </c>
      <c r="AP599" s="9">
        <v>5</v>
      </c>
      <c r="AQ599" s="5">
        <f>Transaction[[#This Row],[Price]]*Transaction[[#This Row],[Qty]]</f>
        <v>38.450000000000003</v>
      </c>
      <c r="AR599" s="5">
        <f>VLOOKUP(Transaction[[#This Row],[Model No.]],$AV$2:$BD$100,7,TRUE)*Transaction[[#This Row],[Qty]]</f>
        <v>3.8450000000000006</v>
      </c>
      <c r="AS599">
        <v>1102</v>
      </c>
      <c r="AT599">
        <v>1010</v>
      </c>
    </row>
    <row r="600" spans="36:46" x14ac:dyDescent="0.3">
      <c r="AJ600">
        <v>75736</v>
      </c>
      <c r="AK600" s="30">
        <v>42386</v>
      </c>
      <c r="AL600" t="s">
        <v>1440</v>
      </c>
      <c r="AM600">
        <v>72</v>
      </c>
      <c r="AN600" t="str">
        <f>VLOOKUP(Transaction[[#This Row],[Model No.]],$AV$2:$BD$100,2,TRUE)</f>
        <v>Pearl Wedding Cake Vodka</v>
      </c>
      <c r="AO600" s="21">
        <f>VLOOKUP(Transaction[[#This Row],[Model No.]],$AV$2:$BD$100,6,TRUE)</f>
        <v>12.49</v>
      </c>
      <c r="AP600" s="9">
        <v>3</v>
      </c>
      <c r="AQ600" s="5">
        <f>Transaction[[#This Row],[Price]]*Transaction[[#This Row],[Qty]]</f>
        <v>37.47</v>
      </c>
      <c r="AR600" s="5">
        <f>VLOOKUP(Transaction[[#This Row],[Model No.]],$AV$2:$BD$100,7,TRUE)*Transaction[[#This Row],[Qty]]</f>
        <v>11.241</v>
      </c>
      <c r="AS600">
        <v>1098</v>
      </c>
      <c r="AT600">
        <v>1006</v>
      </c>
    </row>
    <row r="601" spans="36:46" x14ac:dyDescent="0.3">
      <c r="AJ601">
        <v>50609</v>
      </c>
      <c r="AK601" s="30">
        <v>42387</v>
      </c>
      <c r="AL601" t="s">
        <v>989</v>
      </c>
      <c r="AM601">
        <v>72</v>
      </c>
      <c r="AN601" t="str">
        <f>VLOOKUP(Transaction[[#This Row],[Model No.]],$AV$2:$BD$100,2,TRUE)</f>
        <v>Pearl Wedding Cake Vodka</v>
      </c>
      <c r="AO601" s="21">
        <f>VLOOKUP(Transaction[[#This Row],[Model No.]],$AV$2:$BD$100,6,TRUE)</f>
        <v>12.49</v>
      </c>
      <c r="AP601" s="9">
        <v>4</v>
      </c>
      <c r="AQ601" s="5">
        <f>Transaction[[#This Row],[Price]]*Transaction[[#This Row],[Qty]]</f>
        <v>49.96</v>
      </c>
      <c r="AR601" s="5">
        <f>VLOOKUP(Transaction[[#This Row],[Model No.]],$AV$2:$BD$100,7,TRUE)*Transaction[[#This Row],[Qty]]</f>
        <v>14.988</v>
      </c>
      <c r="AS601">
        <v>1101</v>
      </c>
      <c r="AT601">
        <v>1006</v>
      </c>
    </row>
    <row r="602" spans="36:46" x14ac:dyDescent="0.3">
      <c r="AJ602">
        <v>71365</v>
      </c>
      <c r="AK602" s="30">
        <v>42388</v>
      </c>
      <c r="AL602" t="s">
        <v>1752</v>
      </c>
      <c r="AM602">
        <v>32</v>
      </c>
      <c r="AN602" t="str">
        <f>VLOOKUP(Transaction[[#This Row],[Model No.]],$AV$2:$BD$100,2,TRUE)</f>
        <v>Sugar Island Spiced Rum</v>
      </c>
      <c r="AO602" s="21">
        <f>VLOOKUP(Transaction[[#This Row],[Model No.]],$AV$2:$BD$100,6,TRUE)</f>
        <v>21.99</v>
      </c>
      <c r="AP602" s="9">
        <v>2</v>
      </c>
      <c r="AQ602" s="5">
        <f>Transaction[[#This Row],[Price]]*Transaction[[#This Row],[Qty]]</f>
        <v>43.98</v>
      </c>
      <c r="AR602" s="5">
        <f>VLOOKUP(Transaction[[#This Row],[Model No.]],$AV$2:$BD$100,7,TRUE)*Transaction[[#This Row],[Qty]]</f>
        <v>8.7959999999999994</v>
      </c>
      <c r="AS602">
        <v>1108</v>
      </c>
      <c r="AT602">
        <v>1005</v>
      </c>
    </row>
    <row r="603" spans="36:46" x14ac:dyDescent="0.3">
      <c r="AJ603">
        <v>75007</v>
      </c>
      <c r="AK603" s="30">
        <v>42388</v>
      </c>
      <c r="AL603" t="s">
        <v>461</v>
      </c>
      <c r="AM603">
        <v>48</v>
      </c>
      <c r="AN603" t="str">
        <f>VLOOKUP(Transaction[[#This Row],[Model No.]],$AV$2:$BD$100,2,TRUE)</f>
        <v>CH TOUR D'AURON</v>
      </c>
      <c r="AO603" s="21">
        <f>VLOOKUP(Transaction[[#This Row],[Model No.]],$AV$2:$BD$100,6,TRUE)</f>
        <v>15.99</v>
      </c>
      <c r="AP603" s="9">
        <v>4</v>
      </c>
      <c r="AQ603" s="5">
        <f>Transaction[[#This Row],[Price]]*Transaction[[#This Row],[Qty]]</f>
        <v>63.96</v>
      </c>
      <c r="AR603" s="5">
        <f>VLOOKUP(Transaction[[#This Row],[Model No.]],$AV$2:$BD$100,7,TRUE)*Transaction[[#This Row],[Qty]]</f>
        <v>25.584000000000003</v>
      </c>
      <c r="AS603">
        <v>1103</v>
      </c>
      <c r="AT603">
        <v>1003</v>
      </c>
    </row>
    <row r="604" spans="36:46" x14ac:dyDescent="0.3">
      <c r="AJ604">
        <v>71480</v>
      </c>
      <c r="AK604" s="30">
        <v>42388</v>
      </c>
      <c r="AL604" t="s">
        <v>1068</v>
      </c>
      <c r="AM604">
        <v>98</v>
      </c>
      <c r="AN604" t="str">
        <f>VLOOKUP(Transaction[[#This Row],[Model No.]],$AV$2:$BD$100,2,TRUE)</f>
        <v>Wychwood Hobgoblin</v>
      </c>
      <c r="AO604" s="21">
        <f>VLOOKUP(Transaction[[#This Row],[Model No.]],$AV$2:$BD$100,6,TRUE)</f>
        <v>5.99</v>
      </c>
      <c r="AP604" s="9">
        <v>3</v>
      </c>
      <c r="AQ604" s="5">
        <f>Transaction[[#This Row],[Price]]*Transaction[[#This Row],[Qty]]</f>
        <v>17.97</v>
      </c>
      <c r="AR604" s="5">
        <f>VLOOKUP(Transaction[[#This Row],[Model No.]],$AV$2:$BD$100,7,TRUE)*Transaction[[#This Row],[Qty]]</f>
        <v>5.391</v>
      </c>
      <c r="AS604">
        <v>1104</v>
      </c>
      <c r="AT604">
        <v>1003</v>
      </c>
    </row>
    <row r="605" spans="36:46" x14ac:dyDescent="0.3">
      <c r="AJ605">
        <v>16524</v>
      </c>
      <c r="AK605" s="30">
        <v>42391</v>
      </c>
      <c r="AL605" t="s">
        <v>1478</v>
      </c>
      <c r="AM605">
        <v>75</v>
      </c>
      <c r="AN605" t="str">
        <f>VLOOKUP(Transaction[[#This Row],[Model No.]],$AV$2:$BD$100,2,TRUE)</f>
        <v>Uinta Ready Set Gose - 6 Pack</v>
      </c>
      <c r="AO605" s="21">
        <f>VLOOKUP(Transaction[[#This Row],[Model No.]],$AV$2:$BD$100,6,TRUE)</f>
        <v>11.99</v>
      </c>
      <c r="AP605" s="9">
        <v>5</v>
      </c>
      <c r="AQ605" s="5">
        <f>Transaction[[#This Row],[Price]]*Transaction[[#This Row],[Qty]]</f>
        <v>59.95</v>
      </c>
      <c r="AR605" s="5">
        <f>VLOOKUP(Transaction[[#This Row],[Model No.]],$AV$2:$BD$100,7,TRUE)*Transaction[[#This Row],[Qty]]</f>
        <v>17.984999999999999</v>
      </c>
      <c r="AS605">
        <v>1102</v>
      </c>
      <c r="AT605">
        <v>1017</v>
      </c>
    </row>
    <row r="606" spans="36:46" x14ac:dyDescent="0.3">
      <c r="AJ606">
        <v>41057</v>
      </c>
      <c r="AK606" s="30">
        <v>42392</v>
      </c>
      <c r="AL606" t="s">
        <v>1867</v>
      </c>
      <c r="AM606">
        <v>59</v>
      </c>
      <c r="AN606" t="str">
        <f>VLOOKUP(Transaction[[#This Row],[Model No.]],$AV$2:$BD$100,2,TRUE)</f>
        <v>Smirnoff Kissed Caramel Vodka</v>
      </c>
      <c r="AO606" s="21">
        <f>VLOOKUP(Transaction[[#This Row],[Model No.]],$AV$2:$BD$100,6,TRUE)</f>
        <v>13.49</v>
      </c>
      <c r="AP606" s="9">
        <v>4</v>
      </c>
      <c r="AQ606" s="5">
        <f>Transaction[[#This Row],[Price]]*Transaction[[#This Row],[Qty]]</f>
        <v>53.96</v>
      </c>
      <c r="AR606" s="5">
        <f>VLOOKUP(Transaction[[#This Row],[Model No.]],$AV$2:$BD$100,7,TRUE)*Transaction[[#This Row],[Qty]]</f>
        <v>16.187999999999999</v>
      </c>
      <c r="AS606">
        <v>1105</v>
      </c>
      <c r="AT606">
        <v>1018</v>
      </c>
    </row>
    <row r="607" spans="36:46" x14ac:dyDescent="0.3">
      <c r="AJ607">
        <v>28298</v>
      </c>
      <c r="AK607" s="30">
        <v>42392</v>
      </c>
      <c r="AL607" t="s">
        <v>1813</v>
      </c>
      <c r="AM607">
        <v>98</v>
      </c>
      <c r="AN607" t="str">
        <f>VLOOKUP(Transaction[[#This Row],[Model No.]],$AV$2:$BD$100,2,TRUE)</f>
        <v>Wychwood Hobgoblin</v>
      </c>
      <c r="AO607" s="21">
        <f>VLOOKUP(Transaction[[#This Row],[Model No.]],$AV$2:$BD$100,6,TRUE)</f>
        <v>5.99</v>
      </c>
      <c r="AP607" s="9">
        <v>3</v>
      </c>
      <c r="AQ607" s="5">
        <f>Transaction[[#This Row],[Price]]*Transaction[[#This Row],[Qty]]</f>
        <v>17.97</v>
      </c>
      <c r="AR607" s="5">
        <f>VLOOKUP(Transaction[[#This Row],[Model No.]],$AV$2:$BD$100,7,TRUE)*Transaction[[#This Row],[Qty]]</f>
        <v>5.391</v>
      </c>
      <c r="AS607">
        <v>1101</v>
      </c>
      <c r="AT607">
        <v>1010</v>
      </c>
    </row>
    <row r="608" spans="36:46" x14ac:dyDescent="0.3">
      <c r="AJ608">
        <v>16182</v>
      </c>
      <c r="AK608" s="30">
        <v>42392</v>
      </c>
      <c r="AL608" t="s">
        <v>1852</v>
      </c>
      <c r="AM608">
        <v>98</v>
      </c>
      <c r="AN608" t="str">
        <f>VLOOKUP(Transaction[[#This Row],[Model No.]],$AV$2:$BD$100,2,TRUE)</f>
        <v>Wychwood Hobgoblin</v>
      </c>
      <c r="AO608" s="21">
        <f>VLOOKUP(Transaction[[#This Row],[Model No.]],$AV$2:$BD$100,6,TRUE)</f>
        <v>5.99</v>
      </c>
      <c r="AP608" s="9">
        <v>5</v>
      </c>
      <c r="AQ608" s="5">
        <f>Transaction[[#This Row],[Price]]*Transaction[[#This Row],[Qty]]</f>
        <v>29.950000000000003</v>
      </c>
      <c r="AR608" s="5">
        <f>VLOOKUP(Transaction[[#This Row],[Model No.]],$AV$2:$BD$100,7,TRUE)*Transaction[[#This Row],[Qty]]</f>
        <v>8.9849999999999994</v>
      </c>
      <c r="AS608">
        <v>1099</v>
      </c>
      <c r="AT608">
        <v>1008</v>
      </c>
    </row>
    <row r="609" spans="36:46" x14ac:dyDescent="0.3">
      <c r="AJ609">
        <v>70208</v>
      </c>
      <c r="AK609" s="30">
        <v>42394</v>
      </c>
      <c r="AL609" t="s">
        <v>939</v>
      </c>
      <c r="AM609">
        <v>93</v>
      </c>
      <c r="AN609" t="str">
        <f>VLOOKUP(Transaction[[#This Row],[Model No.]],$AV$2:$BD$100,2,TRUE)</f>
        <v>Beringer Vineyards Stone Cellars Shiraz</v>
      </c>
      <c r="AO609" s="21">
        <f>VLOOKUP(Transaction[[#This Row],[Model No.]],$AV$2:$BD$100,6,TRUE)</f>
        <v>7.49</v>
      </c>
      <c r="AP609" s="9">
        <v>3</v>
      </c>
      <c r="AQ609" s="5">
        <f>Transaction[[#This Row],[Price]]*Transaction[[#This Row],[Qty]]</f>
        <v>22.47</v>
      </c>
      <c r="AR609" s="5">
        <f>VLOOKUP(Transaction[[#This Row],[Model No.]],$AV$2:$BD$100,7,TRUE)*Transaction[[#This Row],[Qty]]</f>
        <v>2.2470000000000003</v>
      </c>
      <c r="AS609">
        <v>1101</v>
      </c>
      <c r="AT609">
        <v>1002</v>
      </c>
    </row>
    <row r="610" spans="36:46" x14ac:dyDescent="0.3">
      <c r="AJ610">
        <v>81583</v>
      </c>
      <c r="AK610" s="30">
        <v>42395</v>
      </c>
      <c r="AL610" t="s">
        <v>415</v>
      </c>
      <c r="AM610">
        <v>12</v>
      </c>
      <c r="AN610" t="str">
        <f>VLOOKUP(Transaction[[#This Row],[Model No.]],$AV$2:$BD$100,2,TRUE)</f>
        <v>Cuvaison Pinot Noir</v>
      </c>
      <c r="AO610" s="21">
        <f>VLOOKUP(Transaction[[#This Row],[Model No.]],$AV$2:$BD$100,6,TRUE)</f>
        <v>36.99</v>
      </c>
      <c r="AP610" s="9">
        <v>1</v>
      </c>
      <c r="AQ610" s="5">
        <f>Transaction[[#This Row],[Price]]*Transaction[[#This Row],[Qty]]</f>
        <v>36.99</v>
      </c>
      <c r="AR610" s="5">
        <f>VLOOKUP(Transaction[[#This Row],[Model No.]],$AV$2:$BD$100,7,TRUE)*Transaction[[#This Row],[Qty]]</f>
        <v>3.6990000000000003</v>
      </c>
      <c r="AS610">
        <v>1108</v>
      </c>
      <c r="AT610">
        <v>1014</v>
      </c>
    </row>
    <row r="611" spans="36:46" x14ac:dyDescent="0.3">
      <c r="AJ611">
        <v>42897</v>
      </c>
      <c r="AK611" s="30">
        <v>42396</v>
      </c>
      <c r="AL611" t="s">
        <v>541</v>
      </c>
      <c r="AM611">
        <v>64</v>
      </c>
      <c r="AN611" t="str">
        <f>VLOOKUP(Transaction[[#This Row],[Model No.]],$AV$2:$BD$100,2,TRUE)</f>
        <v>Maui Brewing Big Swell IPA - 6 Pack</v>
      </c>
      <c r="AO611" s="21">
        <f>VLOOKUP(Transaction[[#This Row],[Model No.]],$AV$2:$BD$100,6,TRUE)</f>
        <v>12.99</v>
      </c>
      <c r="AP611" s="9">
        <v>1</v>
      </c>
      <c r="AQ611" s="5">
        <f>Transaction[[#This Row],[Price]]*Transaction[[#This Row],[Qty]]</f>
        <v>12.99</v>
      </c>
      <c r="AR611" s="5">
        <f>VLOOKUP(Transaction[[#This Row],[Model No.]],$AV$2:$BD$100,7,TRUE)*Transaction[[#This Row],[Qty]]</f>
        <v>3.8969999999999998</v>
      </c>
      <c r="AS611">
        <v>1100</v>
      </c>
      <c r="AT611">
        <v>1003</v>
      </c>
    </row>
    <row r="612" spans="36:46" x14ac:dyDescent="0.3">
      <c r="AJ612">
        <v>18708</v>
      </c>
      <c r="AK612" s="30">
        <v>42399</v>
      </c>
      <c r="AL612" t="s">
        <v>1775</v>
      </c>
      <c r="AM612">
        <v>40</v>
      </c>
      <c r="AN612" t="str">
        <f>VLOOKUP(Transaction[[#This Row],[Model No.]],$AV$2:$BD$100,2,TRUE)</f>
        <v>Takara Can Chu Hi JPop Grapefruit - 6 Pack</v>
      </c>
      <c r="AO612" s="21">
        <f>VLOOKUP(Transaction[[#This Row],[Model No.]],$AV$2:$BD$100,6,TRUE)</f>
        <v>17.989999999999998</v>
      </c>
      <c r="AP612" s="9">
        <v>2</v>
      </c>
      <c r="AQ612" s="5">
        <f>Transaction[[#This Row],[Price]]*Transaction[[#This Row],[Qty]]</f>
        <v>35.979999999999997</v>
      </c>
      <c r="AR612" s="5">
        <f>VLOOKUP(Transaction[[#This Row],[Model No.]],$AV$2:$BD$100,7,TRUE)*Transaction[[#This Row],[Qty]]</f>
        <v>10.793999999999999</v>
      </c>
      <c r="AS612">
        <v>1104</v>
      </c>
      <c r="AT612">
        <v>1014</v>
      </c>
    </row>
    <row r="613" spans="36:46" x14ac:dyDescent="0.3">
      <c r="AJ613">
        <v>81283</v>
      </c>
      <c r="AK613" s="30">
        <v>42399</v>
      </c>
      <c r="AL613" t="s">
        <v>1516</v>
      </c>
      <c r="AM613">
        <v>63</v>
      </c>
      <c r="AN613" t="str">
        <f>VLOOKUP(Transaction[[#This Row],[Model No.]],$AV$2:$BD$100,2,TRUE)</f>
        <v>Troegs LaGrave - 4 Pack</v>
      </c>
      <c r="AO613" s="21">
        <f>VLOOKUP(Transaction[[#This Row],[Model No.]],$AV$2:$BD$100,6,TRUE)</f>
        <v>12.99</v>
      </c>
      <c r="AP613" s="9">
        <v>1</v>
      </c>
      <c r="AQ613" s="5">
        <f>Transaction[[#This Row],[Price]]*Transaction[[#This Row],[Qty]]</f>
        <v>12.99</v>
      </c>
      <c r="AR613" s="5">
        <f>VLOOKUP(Transaction[[#This Row],[Model No.]],$AV$2:$BD$100,7,TRUE)*Transaction[[#This Row],[Qty]]</f>
        <v>3.8969999999999998</v>
      </c>
      <c r="AS613">
        <v>1104</v>
      </c>
      <c r="AT613">
        <v>1006</v>
      </c>
    </row>
    <row r="614" spans="36:46" x14ac:dyDescent="0.3">
      <c r="AJ614">
        <v>24369</v>
      </c>
      <c r="AK614" s="30">
        <v>42399</v>
      </c>
      <c r="AL614" t="s">
        <v>1682</v>
      </c>
      <c r="AM614">
        <v>87</v>
      </c>
      <c r="AN614" t="str">
        <f>VLOOKUP(Transaction[[#This Row],[Model No.]],$AV$2:$BD$100,2,TRUE)</f>
        <v>Cruzan 9 Spiced Rum</v>
      </c>
      <c r="AO614" s="21">
        <f>VLOOKUP(Transaction[[#This Row],[Model No.]],$AV$2:$BD$100,6,TRUE)</f>
        <v>9.49</v>
      </c>
      <c r="AP614" s="9">
        <v>3</v>
      </c>
      <c r="AQ614" s="5">
        <f>Transaction[[#This Row],[Price]]*Transaction[[#This Row],[Qty]]</f>
        <v>28.47</v>
      </c>
      <c r="AR614" s="5">
        <f>VLOOKUP(Transaction[[#This Row],[Model No.]],$AV$2:$BD$100,7,TRUE)*Transaction[[#This Row],[Qty]]</f>
        <v>5.6940000000000008</v>
      </c>
      <c r="AS614">
        <v>1101</v>
      </c>
      <c r="AT614">
        <v>1009</v>
      </c>
    </row>
    <row r="615" spans="36:46" x14ac:dyDescent="0.3">
      <c r="AJ615">
        <v>94776</v>
      </c>
      <c r="AK615" s="30">
        <v>42400</v>
      </c>
      <c r="AL615" t="s">
        <v>778</v>
      </c>
      <c r="AM615">
        <v>18</v>
      </c>
      <c r="AN615" t="str">
        <f>VLOOKUP(Transaction[[#This Row],[Model No.]],$AV$2:$BD$100,2,TRUE)</f>
        <v>Twenty Grand Peach Vodka</v>
      </c>
      <c r="AO615" s="21">
        <f>VLOOKUP(Transaction[[#This Row],[Model No.]],$AV$2:$BD$100,6,TRUE)</f>
        <v>30.99</v>
      </c>
      <c r="AP615" s="9">
        <v>3</v>
      </c>
      <c r="AQ615" s="5">
        <f>Transaction[[#This Row],[Price]]*Transaction[[#This Row],[Qty]]</f>
        <v>92.97</v>
      </c>
      <c r="AR615" s="5">
        <f>VLOOKUP(Transaction[[#This Row],[Model No.]],$AV$2:$BD$100,7,TRUE)*Transaction[[#This Row],[Qty]]</f>
        <v>27.890999999999998</v>
      </c>
      <c r="AS615">
        <v>1099</v>
      </c>
      <c r="AT615">
        <v>1016</v>
      </c>
    </row>
    <row r="616" spans="36:46" x14ac:dyDescent="0.3">
      <c r="AJ616">
        <v>13178</v>
      </c>
      <c r="AK616" s="30">
        <v>42400</v>
      </c>
      <c r="AL616" t="s">
        <v>1232</v>
      </c>
      <c r="AM616">
        <v>69</v>
      </c>
      <c r="AN616" t="str">
        <f>VLOOKUP(Transaction[[#This Row],[Model No.]],$AV$2:$BD$100,2,TRUE)</f>
        <v>Castillo de Maluenda Vinas Viejas Punto y Coma Garnacha</v>
      </c>
      <c r="AO616" s="21">
        <f>VLOOKUP(Transaction[[#This Row],[Model No.]],$AV$2:$BD$100,6,TRUE)</f>
        <v>12.99</v>
      </c>
      <c r="AP616" s="9">
        <v>1</v>
      </c>
      <c r="AQ616" s="5">
        <f>Transaction[[#This Row],[Price]]*Transaction[[#This Row],[Qty]]</f>
        <v>12.99</v>
      </c>
      <c r="AR616" s="5">
        <f>VLOOKUP(Transaction[[#This Row],[Model No.]],$AV$2:$BD$100,7,TRUE)*Transaction[[#This Row],[Qty]]</f>
        <v>5.1960000000000006</v>
      </c>
      <c r="AS616">
        <v>1104</v>
      </c>
      <c r="AT616">
        <v>1014</v>
      </c>
    </row>
    <row r="617" spans="36:46" x14ac:dyDescent="0.3">
      <c r="AJ617">
        <v>62092</v>
      </c>
      <c r="AK617" s="30">
        <v>42402</v>
      </c>
      <c r="AL617" t="s">
        <v>1889</v>
      </c>
      <c r="AM617">
        <v>48</v>
      </c>
      <c r="AN617" t="str">
        <f>VLOOKUP(Transaction[[#This Row],[Model No.]],$AV$2:$BD$100,2,TRUE)</f>
        <v>CH TOUR D'AURON</v>
      </c>
      <c r="AO617" s="21">
        <f>VLOOKUP(Transaction[[#This Row],[Model No.]],$AV$2:$BD$100,6,TRUE)</f>
        <v>15.99</v>
      </c>
      <c r="AP617" s="9">
        <v>3</v>
      </c>
      <c r="AQ617" s="5">
        <f>Transaction[[#This Row],[Price]]*Transaction[[#This Row],[Qty]]</f>
        <v>47.97</v>
      </c>
      <c r="AR617" s="5">
        <f>VLOOKUP(Transaction[[#This Row],[Model No.]],$AV$2:$BD$100,7,TRUE)*Transaction[[#This Row],[Qty]]</f>
        <v>19.188000000000002</v>
      </c>
      <c r="AS617">
        <v>1101</v>
      </c>
      <c r="AT617">
        <v>1004</v>
      </c>
    </row>
    <row r="618" spans="36:46" x14ac:dyDescent="0.3">
      <c r="AJ618">
        <v>17961</v>
      </c>
      <c r="AK618" s="30">
        <v>42402</v>
      </c>
      <c r="AL618" t="s">
        <v>1822</v>
      </c>
      <c r="AM618">
        <v>76</v>
      </c>
      <c r="AN618" t="str">
        <f>VLOOKUP(Transaction[[#This Row],[Model No.]],$AV$2:$BD$100,2,TRUE)</f>
        <v>Lagunitas Super Cluster Can - 6 Pack</v>
      </c>
      <c r="AO618" s="21">
        <f>VLOOKUP(Transaction[[#This Row],[Model No.]],$AV$2:$BD$100,6,TRUE)</f>
        <v>11.99</v>
      </c>
      <c r="AP618" s="9">
        <v>1</v>
      </c>
      <c r="AQ618" s="5">
        <f>Transaction[[#This Row],[Price]]*Transaction[[#This Row],[Qty]]</f>
        <v>11.99</v>
      </c>
      <c r="AR618" s="5">
        <f>VLOOKUP(Transaction[[#This Row],[Model No.]],$AV$2:$BD$100,7,TRUE)*Transaction[[#This Row],[Qty]]</f>
        <v>3.597</v>
      </c>
      <c r="AS618">
        <v>1105</v>
      </c>
      <c r="AT618">
        <v>1009</v>
      </c>
    </row>
    <row r="619" spans="36:46" x14ac:dyDescent="0.3">
      <c r="AJ619">
        <v>74246</v>
      </c>
      <c r="AK619" s="30">
        <v>42403</v>
      </c>
      <c r="AL619" t="s">
        <v>1526</v>
      </c>
      <c r="AM619">
        <v>34</v>
      </c>
      <c r="AN619" t="str">
        <f>VLOOKUP(Transaction[[#This Row],[Model No.]],$AV$2:$BD$100,2,TRUE)</f>
        <v>The Eyrie Vineyards Pinot Gris</v>
      </c>
      <c r="AO619" s="21">
        <f>VLOOKUP(Transaction[[#This Row],[Model No.]],$AV$2:$BD$100,6,TRUE)</f>
        <v>20.99</v>
      </c>
      <c r="AP619" s="9">
        <v>4</v>
      </c>
      <c r="AQ619" s="5">
        <f>Transaction[[#This Row],[Price]]*Transaction[[#This Row],[Qty]]</f>
        <v>83.96</v>
      </c>
      <c r="AR619" s="5">
        <f>VLOOKUP(Transaction[[#This Row],[Model No.]],$AV$2:$BD$100,7,TRUE)*Transaction[[#This Row],[Qty]]</f>
        <v>16.791999999999998</v>
      </c>
      <c r="AS619">
        <v>1099</v>
      </c>
      <c r="AT619">
        <v>1006</v>
      </c>
    </row>
    <row r="620" spans="36:46" x14ac:dyDescent="0.3">
      <c r="AJ620">
        <v>38119</v>
      </c>
      <c r="AK620" s="30">
        <v>42406</v>
      </c>
      <c r="AL620" t="s">
        <v>546</v>
      </c>
      <c r="AM620">
        <v>15</v>
      </c>
      <c r="AN620" t="str">
        <f>VLOOKUP(Transaction[[#This Row],[Model No.]],$AV$2:$BD$100,2,TRUE)</f>
        <v>Wild Turkey 101 Kentucky Straight Bourbon Whiskey</v>
      </c>
      <c r="AO620" s="21">
        <f>VLOOKUP(Transaction[[#This Row],[Model No.]],$AV$2:$BD$100,6,TRUE)</f>
        <v>32.99</v>
      </c>
      <c r="AP620" s="9">
        <v>3</v>
      </c>
      <c r="AQ620" s="5">
        <f>Transaction[[#This Row],[Price]]*Transaction[[#This Row],[Qty]]</f>
        <v>98.97</v>
      </c>
      <c r="AR620" s="5">
        <f>VLOOKUP(Transaction[[#This Row],[Model No.]],$AV$2:$BD$100,7,TRUE)*Transaction[[#This Row],[Qty]]</f>
        <v>19.794000000000004</v>
      </c>
      <c r="AS620">
        <v>1098</v>
      </c>
      <c r="AT620">
        <v>1021</v>
      </c>
    </row>
    <row r="621" spans="36:46" x14ac:dyDescent="0.3">
      <c r="AJ621">
        <v>99574</v>
      </c>
      <c r="AK621" s="30">
        <v>42408</v>
      </c>
      <c r="AL621" t="s">
        <v>1108</v>
      </c>
      <c r="AM621">
        <v>37</v>
      </c>
      <c r="AN621" t="str">
        <f>VLOOKUP(Transaction[[#This Row],[Model No.]],$AV$2:$BD$100,2,TRUE)</f>
        <v>Francis Ford Coppola Diamond Collection Black Label Pavilion Chardonnay</v>
      </c>
      <c r="AO621" s="21">
        <f>VLOOKUP(Transaction[[#This Row],[Model No.]],$AV$2:$BD$100,6,TRUE)</f>
        <v>19.989999999999998</v>
      </c>
      <c r="AP621" s="9">
        <v>4</v>
      </c>
      <c r="AQ621" s="5">
        <f>Transaction[[#This Row],[Price]]*Transaction[[#This Row],[Qty]]</f>
        <v>79.959999999999994</v>
      </c>
      <c r="AR621" s="5">
        <f>VLOOKUP(Transaction[[#This Row],[Model No.]],$AV$2:$BD$100,7,TRUE)*Transaction[[#This Row],[Qty]]</f>
        <v>7.9959999999999996</v>
      </c>
      <c r="AS621">
        <v>1100</v>
      </c>
      <c r="AT621">
        <v>1003</v>
      </c>
    </row>
    <row r="622" spans="36:46" x14ac:dyDescent="0.3">
      <c r="AJ622">
        <v>15284</v>
      </c>
      <c r="AK622" s="30">
        <v>42410</v>
      </c>
      <c r="AL622" t="s">
        <v>1736</v>
      </c>
      <c r="AM622">
        <v>45</v>
      </c>
      <c r="AN622" t="str">
        <f>VLOOKUP(Transaction[[#This Row],[Model No.]],$AV$2:$BD$100,2,TRUE)</f>
        <v>Sixpoint Resin - 6 Pack</v>
      </c>
      <c r="AO622" s="21">
        <f>VLOOKUP(Transaction[[#This Row],[Model No.]],$AV$2:$BD$100,6,TRUE)</f>
        <v>15.99</v>
      </c>
      <c r="AP622" s="9">
        <v>4</v>
      </c>
      <c r="AQ622" s="5">
        <f>Transaction[[#This Row],[Price]]*Transaction[[#This Row],[Qty]]</f>
        <v>63.96</v>
      </c>
      <c r="AR622" s="5">
        <f>VLOOKUP(Transaction[[#This Row],[Model No.]],$AV$2:$BD$100,7,TRUE)*Transaction[[#This Row],[Qty]]</f>
        <v>19.187999999999999</v>
      </c>
      <c r="AS622">
        <v>1106</v>
      </c>
      <c r="AT622">
        <v>1015</v>
      </c>
    </row>
    <row r="623" spans="36:46" x14ac:dyDescent="0.3">
      <c r="AJ623">
        <v>39808</v>
      </c>
      <c r="AK623" s="30">
        <v>42410</v>
      </c>
      <c r="AL623" t="s">
        <v>966</v>
      </c>
      <c r="AM623">
        <v>81</v>
      </c>
      <c r="AN623" t="str">
        <f>VLOOKUP(Transaction[[#This Row],[Model No.]],$AV$2:$BD$100,2,TRUE)</f>
        <v>TerraNoble Reserva La Higuera Vineyard Carmenere</v>
      </c>
      <c r="AO623" s="21">
        <f>VLOOKUP(Transaction[[#This Row],[Model No.]],$AV$2:$BD$100,6,TRUE)</f>
        <v>10.99</v>
      </c>
      <c r="AP623" s="9">
        <v>3</v>
      </c>
      <c r="AQ623" s="5">
        <f>Transaction[[#This Row],[Price]]*Transaction[[#This Row],[Qty]]</f>
        <v>32.97</v>
      </c>
      <c r="AR623" s="5">
        <f>VLOOKUP(Transaction[[#This Row],[Model No.]],$AV$2:$BD$100,7,TRUE)*Transaction[[#This Row],[Qty]]</f>
        <v>9.891</v>
      </c>
      <c r="AS623">
        <v>1102</v>
      </c>
      <c r="AT623">
        <v>1002</v>
      </c>
    </row>
    <row r="624" spans="36:46" x14ac:dyDescent="0.3">
      <c r="AJ624">
        <v>58899</v>
      </c>
      <c r="AK624" s="30">
        <v>42412</v>
      </c>
      <c r="AL624" t="s">
        <v>739</v>
      </c>
      <c r="AM624">
        <v>84</v>
      </c>
      <c r="AN624" t="str">
        <f>VLOOKUP(Transaction[[#This Row],[Model No.]],$AV$2:$BD$100,2,TRUE)</f>
        <v>UV Blue Raspberry Vodka</v>
      </c>
      <c r="AO624" s="21">
        <f>VLOOKUP(Transaction[[#This Row],[Model No.]],$AV$2:$BD$100,6,TRUE)</f>
        <v>10.49</v>
      </c>
      <c r="AP624" s="9">
        <v>1</v>
      </c>
      <c r="AQ624" s="5">
        <f>Transaction[[#This Row],[Price]]*Transaction[[#This Row],[Qty]]</f>
        <v>10.49</v>
      </c>
      <c r="AR624" s="5">
        <f>VLOOKUP(Transaction[[#This Row],[Model No.]],$AV$2:$BD$100,7,TRUE)*Transaction[[#This Row],[Qty]]</f>
        <v>3.1469999999999998</v>
      </c>
      <c r="AS624">
        <v>1099</v>
      </c>
      <c r="AT624">
        <v>1018</v>
      </c>
    </row>
    <row r="625" spans="36:46" x14ac:dyDescent="0.3">
      <c r="AJ625">
        <v>48595</v>
      </c>
      <c r="AK625" s="30">
        <v>42413</v>
      </c>
      <c r="AL625" t="s">
        <v>1555</v>
      </c>
      <c r="AM625">
        <v>86</v>
      </c>
      <c r="AN625" t="str">
        <f>VLOOKUP(Transaction[[#This Row],[Model No.]],$AV$2:$BD$100,2,TRUE)</f>
        <v>Bully Hill Vineyards Love My Goat Baco Noir</v>
      </c>
      <c r="AO625" s="21">
        <f>VLOOKUP(Transaction[[#This Row],[Model No.]],$AV$2:$BD$100,6,TRUE)</f>
        <v>9.49</v>
      </c>
      <c r="AP625" s="9">
        <v>1</v>
      </c>
      <c r="AQ625" s="5">
        <f>Transaction[[#This Row],[Price]]*Transaction[[#This Row],[Qty]]</f>
        <v>9.49</v>
      </c>
      <c r="AR625" s="5">
        <f>VLOOKUP(Transaction[[#This Row],[Model No.]],$AV$2:$BD$100,7,TRUE)*Transaction[[#This Row],[Qty]]</f>
        <v>0.94900000000000007</v>
      </c>
      <c r="AS625">
        <v>1098</v>
      </c>
      <c r="AT625">
        <v>1010</v>
      </c>
    </row>
    <row r="626" spans="36:46" x14ac:dyDescent="0.3">
      <c r="AJ626">
        <v>33904</v>
      </c>
      <c r="AK626" s="30">
        <v>42414</v>
      </c>
      <c r="AL626" t="s">
        <v>1665</v>
      </c>
      <c r="AM626">
        <v>47</v>
      </c>
      <c r="AN626" t="str">
        <f>VLOOKUP(Transaction[[#This Row],[Model No.]],$AV$2:$BD$100,2,TRUE)</f>
        <v>IL Tramonto Amaretto Liqueur</v>
      </c>
      <c r="AO626" s="21">
        <f>VLOOKUP(Transaction[[#This Row],[Model No.]],$AV$2:$BD$100,6,TRUE)</f>
        <v>15.99</v>
      </c>
      <c r="AP626" s="9">
        <v>4</v>
      </c>
      <c r="AQ626" s="5">
        <f>Transaction[[#This Row],[Price]]*Transaction[[#This Row],[Qty]]</f>
        <v>63.96</v>
      </c>
      <c r="AR626" s="5">
        <f>VLOOKUP(Transaction[[#This Row],[Model No.]],$AV$2:$BD$100,7,TRUE)*Transaction[[#This Row],[Qty]]</f>
        <v>19.187999999999999</v>
      </c>
      <c r="AS626">
        <v>1101</v>
      </c>
      <c r="AT626">
        <v>1009</v>
      </c>
    </row>
    <row r="627" spans="36:46" x14ac:dyDescent="0.3">
      <c r="AJ627">
        <v>79037</v>
      </c>
      <c r="AK627" s="30">
        <v>42414</v>
      </c>
      <c r="AL627" t="s">
        <v>1094</v>
      </c>
      <c r="AM627">
        <v>95</v>
      </c>
      <c r="AN627" t="str">
        <f>VLOOKUP(Transaction[[#This Row],[Model No.]],$AV$2:$BD$100,2,TRUE)</f>
        <v>Kuromatsu Hakushika Chokara Extra Dry Sake</v>
      </c>
      <c r="AO627" s="21">
        <f>VLOOKUP(Transaction[[#This Row],[Model No.]],$AV$2:$BD$100,6,TRUE)</f>
        <v>7.49</v>
      </c>
      <c r="AP627" s="9">
        <v>3</v>
      </c>
      <c r="AQ627" s="5">
        <f>Transaction[[#This Row],[Price]]*Transaction[[#This Row],[Qty]]</f>
        <v>22.47</v>
      </c>
      <c r="AR627" s="5">
        <f>VLOOKUP(Transaction[[#This Row],[Model No.]],$AV$2:$BD$100,7,TRUE)*Transaction[[#This Row],[Qty]]</f>
        <v>2.2470000000000003</v>
      </c>
      <c r="AS627">
        <v>1102</v>
      </c>
      <c r="AT627">
        <v>1000</v>
      </c>
    </row>
    <row r="628" spans="36:46" x14ac:dyDescent="0.3">
      <c r="AJ628">
        <v>34827</v>
      </c>
      <c r="AK628" s="30">
        <v>42416</v>
      </c>
      <c r="AL628" t="s">
        <v>949</v>
      </c>
      <c r="AM628">
        <v>46</v>
      </c>
      <c r="AN628" t="str">
        <f>VLOOKUP(Transaction[[#This Row],[Model No.]],$AV$2:$BD$100,2,TRUE)</f>
        <v>Label 5 Classic Black Blended Scotch Whisky</v>
      </c>
      <c r="AO628" s="21">
        <f>VLOOKUP(Transaction[[#This Row],[Model No.]],$AV$2:$BD$100,6,TRUE)</f>
        <v>15.99</v>
      </c>
      <c r="AP628" s="9">
        <v>3</v>
      </c>
      <c r="AQ628" s="5">
        <f>Transaction[[#This Row],[Price]]*Transaction[[#This Row],[Qty]]</f>
        <v>47.97</v>
      </c>
      <c r="AR628" s="5">
        <f>VLOOKUP(Transaction[[#This Row],[Model No.]],$AV$2:$BD$100,7,TRUE)*Transaction[[#This Row],[Qty]]</f>
        <v>9.5940000000000012</v>
      </c>
      <c r="AS628">
        <v>1106</v>
      </c>
      <c r="AT628">
        <v>1008</v>
      </c>
    </row>
    <row r="629" spans="36:46" x14ac:dyDescent="0.3">
      <c r="AJ629">
        <v>27363</v>
      </c>
      <c r="AK629" s="30">
        <v>42416</v>
      </c>
      <c r="AL629" t="s">
        <v>695</v>
      </c>
      <c r="AM629">
        <v>96</v>
      </c>
      <c r="AN629" t="str">
        <f>VLOOKUP(Transaction[[#This Row],[Model No.]],$AV$2:$BD$100,2,TRUE)</f>
        <v>Arbor Mist Blackberry Merlot</v>
      </c>
      <c r="AO629" s="21">
        <f>VLOOKUP(Transaction[[#This Row],[Model No.]],$AV$2:$BD$100,6,TRUE)</f>
        <v>6.19</v>
      </c>
      <c r="AP629" s="9">
        <v>4</v>
      </c>
      <c r="AQ629" s="5">
        <f>Transaction[[#This Row],[Price]]*Transaction[[#This Row],[Qty]]</f>
        <v>24.76</v>
      </c>
      <c r="AR629" s="5">
        <f>VLOOKUP(Transaction[[#This Row],[Model No.]],$AV$2:$BD$100,7,TRUE)*Transaction[[#This Row],[Qty]]</f>
        <v>2.4760000000000004</v>
      </c>
      <c r="AS629">
        <v>1108</v>
      </c>
      <c r="AT629">
        <v>1007</v>
      </c>
    </row>
    <row r="630" spans="36:46" x14ac:dyDescent="0.3">
      <c r="AJ630">
        <v>88197</v>
      </c>
      <c r="AK630" s="30">
        <v>42417</v>
      </c>
      <c r="AL630" t="s">
        <v>1195</v>
      </c>
      <c r="AM630">
        <v>78</v>
      </c>
      <c r="AN630" t="str">
        <f>VLOOKUP(Transaction[[#This Row],[Model No.]],$AV$2:$BD$100,2,TRUE)</f>
        <v>Tomasello Winery Blueberry Wine Red Blend</v>
      </c>
      <c r="AO630" s="21">
        <f>VLOOKUP(Transaction[[#This Row],[Model No.]],$AV$2:$BD$100,6,TRUE)</f>
        <v>11.49</v>
      </c>
      <c r="AP630" s="9">
        <v>3</v>
      </c>
      <c r="AQ630" s="5">
        <f>Transaction[[#This Row],[Price]]*Transaction[[#This Row],[Qty]]</f>
        <v>34.47</v>
      </c>
      <c r="AR630" s="5">
        <f>VLOOKUP(Transaction[[#This Row],[Model No.]],$AV$2:$BD$100,7,TRUE)*Transaction[[#This Row],[Qty]]</f>
        <v>3.4470000000000001</v>
      </c>
      <c r="AS630">
        <v>1103</v>
      </c>
      <c r="AT630">
        <v>1020</v>
      </c>
    </row>
    <row r="631" spans="36:46" x14ac:dyDescent="0.3">
      <c r="AJ631">
        <v>11384</v>
      </c>
      <c r="AK631" s="30">
        <v>42419</v>
      </c>
      <c r="AL631" t="s">
        <v>878</v>
      </c>
      <c r="AM631">
        <v>4</v>
      </c>
      <c r="AN631" t="str">
        <f>VLOOKUP(Transaction[[#This Row],[Model No.]],$AV$2:$BD$100,2,TRUE)</f>
        <v>Stags' Leap Winery Cabernet Sauvignon</v>
      </c>
      <c r="AO631" s="21">
        <f>VLOOKUP(Transaction[[#This Row],[Model No.]],$AV$2:$BD$100,6,TRUE)</f>
        <v>54.99</v>
      </c>
      <c r="AP631" s="9">
        <v>4</v>
      </c>
      <c r="AQ631" s="5">
        <f>Transaction[[#This Row],[Price]]*Transaction[[#This Row],[Qty]]</f>
        <v>219.96</v>
      </c>
      <c r="AR631" s="5">
        <f>VLOOKUP(Transaction[[#This Row],[Model No.]],$AV$2:$BD$100,7,TRUE)*Transaction[[#This Row],[Qty]]</f>
        <v>21.996000000000002</v>
      </c>
      <c r="AS631">
        <v>1100</v>
      </c>
      <c r="AT631">
        <v>1000</v>
      </c>
    </row>
    <row r="632" spans="36:46" x14ac:dyDescent="0.3">
      <c r="AJ632">
        <v>60596</v>
      </c>
      <c r="AK632" s="30">
        <v>42419</v>
      </c>
      <c r="AL632" t="s">
        <v>1763</v>
      </c>
      <c r="AM632">
        <v>88</v>
      </c>
      <c r="AN632" t="str">
        <f>VLOOKUP(Transaction[[#This Row],[Model No.]],$AV$2:$BD$100,2,TRUE)</f>
        <v>Ermita de Petrer Tinto Organic Alicante</v>
      </c>
      <c r="AO632" s="21">
        <f>VLOOKUP(Transaction[[#This Row],[Model No.]],$AV$2:$BD$100,6,TRUE)</f>
        <v>8.99</v>
      </c>
      <c r="AP632" s="9">
        <v>5</v>
      </c>
      <c r="AQ632" s="5">
        <f>Transaction[[#This Row],[Price]]*Transaction[[#This Row],[Qty]]</f>
        <v>44.95</v>
      </c>
      <c r="AR632" s="5">
        <f>VLOOKUP(Transaction[[#This Row],[Model No.]],$AV$2:$BD$100,7,TRUE)*Transaction[[#This Row],[Qty]]</f>
        <v>17.98</v>
      </c>
      <c r="AS632">
        <v>1098</v>
      </c>
      <c r="AT632">
        <v>1015</v>
      </c>
    </row>
    <row r="633" spans="36:46" x14ac:dyDescent="0.3">
      <c r="AJ633">
        <v>48607</v>
      </c>
      <c r="AK633" s="30">
        <v>42420</v>
      </c>
      <c r="AL633" t="s">
        <v>1714</v>
      </c>
      <c r="AM633">
        <v>50</v>
      </c>
      <c r="AN633" t="str">
        <f>VLOOKUP(Transaction[[#This Row],[Model No.]],$AV$2:$BD$100,2,TRUE)</f>
        <v>CLOS DU BOIS ROSE</v>
      </c>
      <c r="AO633" s="21">
        <f>VLOOKUP(Transaction[[#This Row],[Model No.]],$AV$2:$BD$100,6,TRUE)</f>
        <v>14.99</v>
      </c>
      <c r="AP633" s="9">
        <v>3</v>
      </c>
      <c r="AQ633" s="5">
        <f>Transaction[[#This Row],[Price]]*Transaction[[#This Row],[Qty]]</f>
        <v>44.97</v>
      </c>
      <c r="AR633" s="5">
        <f>VLOOKUP(Transaction[[#This Row],[Model No.]],$AV$2:$BD$100,7,TRUE)*Transaction[[#This Row],[Qty]]</f>
        <v>17.988</v>
      </c>
      <c r="AS633">
        <v>1099</v>
      </c>
      <c r="AT633">
        <v>1004</v>
      </c>
    </row>
    <row r="634" spans="36:46" x14ac:dyDescent="0.3">
      <c r="AJ634">
        <v>20214</v>
      </c>
      <c r="AK634" s="30">
        <v>42423</v>
      </c>
      <c r="AL634" t="s">
        <v>1119</v>
      </c>
      <c r="AM634">
        <v>77</v>
      </c>
      <c r="AN634" t="str">
        <f>VLOOKUP(Transaction[[#This Row],[Model No.]],$AV$2:$BD$100,2,TRUE)</f>
        <v>LA CHASSE PRETIGE CDR</v>
      </c>
      <c r="AO634" s="21">
        <f>VLOOKUP(Transaction[[#This Row],[Model No.]],$AV$2:$BD$100,6,TRUE)</f>
        <v>11.99</v>
      </c>
      <c r="AP634" s="9">
        <v>5</v>
      </c>
      <c r="AQ634" s="5">
        <f>Transaction[[#This Row],[Price]]*Transaction[[#This Row],[Qty]]</f>
        <v>59.95</v>
      </c>
      <c r="AR634" s="5">
        <f>VLOOKUP(Transaction[[#This Row],[Model No.]],$AV$2:$BD$100,7,TRUE)*Transaction[[#This Row],[Qty]]</f>
        <v>23.98</v>
      </c>
      <c r="AS634">
        <v>1108</v>
      </c>
      <c r="AT634">
        <v>1007</v>
      </c>
    </row>
    <row r="635" spans="36:46" x14ac:dyDescent="0.3">
      <c r="AJ635">
        <v>32557</v>
      </c>
      <c r="AK635" s="30">
        <v>42424</v>
      </c>
      <c r="AL635" t="s">
        <v>552</v>
      </c>
      <c r="AM635">
        <v>42</v>
      </c>
      <c r="AN635" t="str">
        <f>VLOOKUP(Transaction[[#This Row],[Model No.]],$AV$2:$BD$100,2,TRUE)</f>
        <v>Francis Ford Coppola Sofia Brut Rose Pinot Noir</v>
      </c>
      <c r="AO635" s="21">
        <f>VLOOKUP(Transaction[[#This Row],[Model No.]],$AV$2:$BD$100,6,TRUE)</f>
        <v>16.989999999999998</v>
      </c>
      <c r="AP635" s="9">
        <v>4</v>
      </c>
      <c r="AQ635" s="5">
        <f>Transaction[[#This Row],[Price]]*Transaction[[#This Row],[Qty]]</f>
        <v>67.959999999999994</v>
      </c>
      <c r="AR635" s="5">
        <f>VLOOKUP(Transaction[[#This Row],[Model No.]],$AV$2:$BD$100,7,TRUE)*Transaction[[#This Row],[Qty]]</f>
        <v>27.183999999999997</v>
      </c>
      <c r="AS635">
        <v>1100</v>
      </c>
      <c r="AT635">
        <v>1001</v>
      </c>
    </row>
    <row r="636" spans="36:46" x14ac:dyDescent="0.3">
      <c r="AJ636">
        <v>28551</v>
      </c>
      <c r="AK636" s="30">
        <v>42427</v>
      </c>
      <c r="AL636" t="s">
        <v>755</v>
      </c>
      <c r="AM636">
        <v>10</v>
      </c>
      <c r="AN636" t="str">
        <f>VLOOKUP(Transaction[[#This Row],[Model No.]],$AV$2:$BD$100,2,TRUE)</f>
        <v>Hum Botanical Spirit Liqueur</v>
      </c>
      <c r="AO636" s="21">
        <f>VLOOKUP(Transaction[[#This Row],[Model No.]],$AV$2:$BD$100,6,TRUE)</f>
        <v>41.99</v>
      </c>
      <c r="AP636" s="9">
        <v>1</v>
      </c>
      <c r="AQ636" s="5">
        <f>Transaction[[#This Row],[Price]]*Transaction[[#This Row],[Qty]]</f>
        <v>41.99</v>
      </c>
      <c r="AR636" s="5">
        <f>VLOOKUP(Transaction[[#This Row],[Model No.]],$AV$2:$BD$100,7,TRUE)*Transaction[[#This Row],[Qty]]</f>
        <v>12.597</v>
      </c>
      <c r="AS636">
        <v>1105</v>
      </c>
      <c r="AT636">
        <v>1012</v>
      </c>
    </row>
    <row r="637" spans="36:46" x14ac:dyDescent="0.3">
      <c r="AJ637">
        <v>41041</v>
      </c>
      <c r="AK637" s="30">
        <v>42427</v>
      </c>
      <c r="AL637" t="s">
        <v>1529</v>
      </c>
      <c r="AM637">
        <v>16</v>
      </c>
      <c r="AN637" t="str">
        <f>VLOOKUP(Transaction[[#This Row],[Model No.]],$AV$2:$BD$100,2,TRUE)</f>
        <v>Hitachino Nest Red Rice Ale - 6 Pack</v>
      </c>
      <c r="AO637" s="21">
        <f>VLOOKUP(Transaction[[#This Row],[Model No.]],$AV$2:$BD$100,6,TRUE)</f>
        <v>31.99</v>
      </c>
      <c r="AP637" s="9">
        <v>3</v>
      </c>
      <c r="AQ637" s="5">
        <f>Transaction[[#This Row],[Price]]*Transaction[[#This Row],[Qty]]</f>
        <v>95.97</v>
      </c>
      <c r="AR637" s="5">
        <f>VLOOKUP(Transaction[[#This Row],[Model No.]],$AV$2:$BD$100,7,TRUE)*Transaction[[#This Row],[Qty]]</f>
        <v>28.790999999999997</v>
      </c>
      <c r="AS637">
        <v>1107</v>
      </c>
      <c r="AT637">
        <v>1004</v>
      </c>
    </row>
    <row r="638" spans="36:46" x14ac:dyDescent="0.3">
      <c r="AJ638">
        <v>77495</v>
      </c>
      <c r="AK638" s="30">
        <v>42427</v>
      </c>
      <c r="AL638" t="s">
        <v>1331</v>
      </c>
      <c r="AM638">
        <v>72</v>
      </c>
      <c r="AN638" t="str">
        <f>VLOOKUP(Transaction[[#This Row],[Model No.]],$AV$2:$BD$100,2,TRUE)</f>
        <v>Pearl Wedding Cake Vodka</v>
      </c>
      <c r="AO638" s="21">
        <f>VLOOKUP(Transaction[[#This Row],[Model No.]],$AV$2:$BD$100,6,TRUE)</f>
        <v>12.49</v>
      </c>
      <c r="AP638" s="9">
        <v>4</v>
      </c>
      <c r="AQ638" s="5">
        <f>Transaction[[#This Row],[Price]]*Transaction[[#This Row],[Qty]]</f>
        <v>49.96</v>
      </c>
      <c r="AR638" s="5">
        <f>VLOOKUP(Transaction[[#This Row],[Model No.]],$AV$2:$BD$100,7,TRUE)*Transaction[[#This Row],[Qty]]</f>
        <v>14.988</v>
      </c>
      <c r="AS638">
        <v>1102</v>
      </c>
      <c r="AT638">
        <v>1012</v>
      </c>
    </row>
    <row r="639" spans="36:46" x14ac:dyDescent="0.3">
      <c r="AJ639">
        <v>73849</v>
      </c>
      <c r="AK639" s="30">
        <v>42430</v>
      </c>
      <c r="AL639" t="s">
        <v>522</v>
      </c>
      <c r="AM639">
        <v>57</v>
      </c>
      <c r="AN639" t="str">
        <f>VLOOKUP(Transaction[[#This Row],[Model No.]],$AV$2:$BD$100,2,TRUE)</f>
        <v>Familia Dante Twelve Months Oak Aged Toscana IGT Sangiovese</v>
      </c>
      <c r="AO639" s="21">
        <f>VLOOKUP(Transaction[[#This Row],[Model No.]],$AV$2:$BD$100,6,TRUE)</f>
        <v>13.69</v>
      </c>
      <c r="AP639" s="9">
        <v>3</v>
      </c>
      <c r="AQ639" s="5">
        <f>Transaction[[#This Row],[Price]]*Transaction[[#This Row],[Qty]]</f>
        <v>41.07</v>
      </c>
      <c r="AR639" s="5">
        <f>VLOOKUP(Transaction[[#This Row],[Model No.]],$AV$2:$BD$100,7,TRUE)*Transaction[[#This Row],[Qty]]</f>
        <v>4.1070000000000002</v>
      </c>
      <c r="AS639">
        <v>1103</v>
      </c>
      <c r="AT639">
        <v>1016</v>
      </c>
    </row>
    <row r="640" spans="36:46" x14ac:dyDescent="0.3">
      <c r="AJ640">
        <v>93426</v>
      </c>
      <c r="AK640" s="30">
        <v>42432</v>
      </c>
      <c r="AL640" t="s">
        <v>1779</v>
      </c>
      <c r="AM640">
        <v>9</v>
      </c>
      <c r="AN640" t="str">
        <f>VLOOKUP(Transaction[[#This Row],[Model No.]],$AV$2:$BD$100,2,TRUE)</f>
        <v>Ass Kisser Double IPA - 12 Pack</v>
      </c>
      <c r="AO640" s="21">
        <f>VLOOKUP(Transaction[[#This Row],[Model No.]],$AV$2:$BD$100,6,TRUE)</f>
        <v>43.99</v>
      </c>
      <c r="AP640" s="9">
        <v>1</v>
      </c>
      <c r="AQ640" s="5">
        <f>Transaction[[#This Row],[Price]]*Transaction[[#This Row],[Qty]]</f>
        <v>43.99</v>
      </c>
      <c r="AR640" s="5">
        <f>VLOOKUP(Transaction[[#This Row],[Model No.]],$AV$2:$BD$100,7,TRUE)*Transaction[[#This Row],[Qty]]</f>
        <v>13.197000000000001</v>
      </c>
      <c r="AS640">
        <v>1099</v>
      </c>
      <c r="AT640">
        <v>1011</v>
      </c>
    </row>
    <row r="641" spans="36:46" x14ac:dyDescent="0.3">
      <c r="AJ641">
        <v>16376</v>
      </c>
      <c r="AK641" s="30">
        <v>42433</v>
      </c>
      <c r="AL641" t="s">
        <v>807</v>
      </c>
      <c r="AM641">
        <v>82</v>
      </c>
      <c r="AN641" t="str">
        <f>VLOOKUP(Transaction[[#This Row],[Model No.]],$AV$2:$BD$100,2,TRUE)</f>
        <v>PInnacle Chocolate Whipped Vodka</v>
      </c>
      <c r="AO641" s="21">
        <f>VLOOKUP(Transaction[[#This Row],[Model No.]],$AV$2:$BD$100,6,TRUE)</f>
        <v>10.99</v>
      </c>
      <c r="AP641" s="9">
        <v>2</v>
      </c>
      <c r="AQ641" s="5">
        <f>Transaction[[#This Row],[Price]]*Transaction[[#This Row],[Qty]]</f>
        <v>21.98</v>
      </c>
      <c r="AR641" s="5">
        <f>VLOOKUP(Transaction[[#This Row],[Model No.]],$AV$2:$BD$100,7,TRUE)*Transaction[[#This Row],[Qty]]</f>
        <v>6.5940000000000003</v>
      </c>
      <c r="AS641">
        <v>1104</v>
      </c>
      <c r="AT641">
        <v>1017</v>
      </c>
    </row>
    <row r="642" spans="36:46" x14ac:dyDescent="0.3">
      <c r="AJ642">
        <v>60837</v>
      </c>
      <c r="AK642" s="30">
        <v>42434</v>
      </c>
      <c r="AL642" t="s">
        <v>1161</v>
      </c>
      <c r="AM642">
        <v>58</v>
      </c>
      <c r="AN642" t="str">
        <f>VLOOKUP(Transaction[[#This Row],[Model No.]],$AV$2:$BD$100,2,TRUE)</f>
        <v>Smirnoff Mango Vodka</v>
      </c>
      <c r="AO642" s="21">
        <f>VLOOKUP(Transaction[[#This Row],[Model No.]],$AV$2:$BD$100,6,TRUE)</f>
        <v>13.49</v>
      </c>
      <c r="AP642" s="9">
        <v>2</v>
      </c>
      <c r="AQ642" s="5">
        <f>Transaction[[#This Row],[Price]]*Transaction[[#This Row],[Qty]]</f>
        <v>26.98</v>
      </c>
      <c r="AR642" s="5">
        <f>VLOOKUP(Transaction[[#This Row],[Model No.]],$AV$2:$BD$100,7,TRUE)*Transaction[[#This Row],[Qty]]</f>
        <v>8.0939999999999994</v>
      </c>
      <c r="AS642">
        <v>1106</v>
      </c>
      <c r="AT642">
        <v>1003</v>
      </c>
    </row>
    <row r="643" spans="36:46" x14ac:dyDescent="0.3">
      <c r="AJ643">
        <v>79718</v>
      </c>
      <c r="AK643" s="30">
        <v>42435</v>
      </c>
      <c r="AL643" t="s">
        <v>1644</v>
      </c>
      <c r="AM643">
        <v>4</v>
      </c>
      <c r="AN643" t="str">
        <f>VLOOKUP(Transaction[[#This Row],[Model No.]],$AV$2:$BD$100,2,TRUE)</f>
        <v>Stags' Leap Winery Cabernet Sauvignon</v>
      </c>
      <c r="AO643" s="21">
        <f>VLOOKUP(Transaction[[#This Row],[Model No.]],$AV$2:$BD$100,6,TRUE)</f>
        <v>54.99</v>
      </c>
      <c r="AP643" s="9">
        <v>1</v>
      </c>
      <c r="AQ643" s="5">
        <f>Transaction[[#This Row],[Price]]*Transaction[[#This Row],[Qty]]</f>
        <v>54.99</v>
      </c>
      <c r="AR643" s="5">
        <f>VLOOKUP(Transaction[[#This Row],[Model No.]],$AV$2:$BD$100,7,TRUE)*Transaction[[#This Row],[Qty]]</f>
        <v>5.4990000000000006</v>
      </c>
      <c r="AS643">
        <v>1098</v>
      </c>
      <c r="AT643">
        <v>1008</v>
      </c>
    </row>
    <row r="644" spans="36:46" x14ac:dyDescent="0.3">
      <c r="AJ644">
        <v>86684</v>
      </c>
      <c r="AK644" s="30">
        <v>42435</v>
      </c>
      <c r="AL644" t="s">
        <v>659</v>
      </c>
      <c r="AM644">
        <v>84</v>
      </c>
      <c r="AN644" t="str">
        <f>VLOOKUP(Transaction[[#This Row],[Model No.]],$AV$2:$BD$100,2,TRUE)</f>
        <v>UV Blue Raspberry Vodka</v>
      </c>
      <c r="AO644" s="21">
        <f>VLOOKUP(Transaction[[#This Row],[Model No.]],$AV$2:$BD$100,6,TRUE)</f>
        <v>10.49</v>
      </c>
      <c r="AP644" s="9">
        <v>4</v>
      </c>
      <c r="AQ644" s="5">
        <f>Transaction[[#This Row],[Price]]*Transaction[[#This Row],[Qty]]</f>
        <v>41.96</v>
      </c>
      <c r="AR644" s="5">
        <f>VLOOKUP(Transaction[[#This Row],[Model No.]],$AV$2:$BD$100,7,TRUE)*Transaction[[#This Row],[Qty]]</f>
        <v>12.587999999999999</v>
      </c>
      <c r="AS644">
        <v>1105</v>
      </c>
      <c r="AT644">
        <v>1003</v>
      </c>
    </row>
    <row r="645" spans="36:46" x14ac:dyDescent="0.3">
      <c r="AJ645">
        <v>70448</v>
      </c>
      <c r="AK645" s="30">
        <v>42436</v>
      </c>
      <c r="AL645" t="s">
        <v>1569</v>
      </c>
      <c r="AM645">
        <v>10</v>
      </c>
      <c r="AN645" t="str">
        <f>VLOOKUP(Transaction[[#This Row],[Model No.]],$AV$2:$BD$100,2,TRUE)</f>
        <v>Hum Botanical Spirit Liqueur</v>
      </c>
      <c r="AO645" s="21">
        <f>VLOOKUP(Transaction[[#This Row],[Model No.]],$AV$2:$BD$100,6,TRUE)</f>
        <v>41.99</v>
      </c>
      <c r="AP645" s="9">
        <v>5</v>
      </c>
      <c r="AQ645" s="5">
        <f>Transaction[[#This Row],[Price]]*Transaction[[#This Row],[Qty]]</f>
        <v>209.95000000000002</v>
      </c>
      <c r="AR645" s="5">
        <f>VLOOKUP(Transaction[[#This Row],[Model No.]],$AV$2:$BD$100,7,TRUE)*Transaction[[#This Row],[Qty]]</f>
        <v>62.984999999999999</v>
      </c>
      <c r="AS645">
        <v>1106</v>
      </c>
      <c r="AT645">
        <v>1005</v>
      </c>
    </row>
    <row r="646" spans="36:46" x14ac:dyDescent="0.3">
      <c r="AJ646">
        <v>34604</v>
      </c>
      <c r="AK646" s="30">
        <v>42436</v>
      </c>
      <c r="AL646" t="s">
        <v>838</v>
      </c>
      <c r="AM646">
        <v>11</v>
      </c>
      <c r="AN646" t="str">
        <f>VLOOKUP(Transaction[[#This Row],[Model No.]],$AV$2:$BD$100,2,TRUE)</f>
        <v>Kurant 1852 Crystal Limited Edition Vodka</v>
      </c>
      <c r="AO646" s="21">
        <f>VLOOKUP(Transaction[[#This Row],[Model No.]],$AV$2:$BD$100,6,TRUE)</f>
        <v>40.99</v>
      </c>
      <c r="AP646" s="9">
        <v>3</v>
      </c>
      <c r="AQ646" s="5">
        <f>Transaction[[#This Row],[Price]]*Transaction[[#This Row],[Qty]]</f>
        <v>122.97</v>
      </c>
      <c r="AR646" s="5">
        <f>VLOOKUP(Transaction[[#This Row],[Model No.]],$AV$2:$BD$100,7,TRUE)*Transaction[[#This Row],[Qty]]</f>
        <v>36.891000000000005</v>
      </c>
      <c r="AS646">
        <v>1099</v>
      </c>
      <c r="AT646">
        <v>1018</v>
      </c>
    </row>
    <row r="647" spans="36:46" x14ac:dyDescent="0.3">
      <c r="AJ647">
        <v>58814</v>
      </c>
      <c r="AK647" s="30">
        <v>42437</v>
      </c>
      <c r="AL647" t="s">
        <v>442</v>
      </c>
      <c r="AM647">
        <v>85</v>
      </c>
      <c r="AN647" t="str">
        <f>VLOOKUP(Transaction[[#This Row],[Model No.]],$AV$2:$BD$100,2,TRUE)</f>
        <v>Shiner Sea Salt &amp; Lime - 6 Pack</v>
      </c>
      <c r="AO647" s="21">
        <f>VLOOKUP(Transaction[[#This Row],[Model No.]],$AV$2:$BD$100,6,TRUE)</f>
        <v>9.99</v>
      </c>
      <c r="AP647" s="9">
        <v>5</v>
      </c>
      <c r="AQ647" s="5">
        <f>Transaction[[#This Row],[Price]]*Transaction[[#This Row],[Qty]]</f>
        <v>49.95</v>
      </c>
      <c r="AR647" s="5">
        <f>VLOOKUP(Transaction[[#This Row],[Model No.]],$AV$2:$BD$100,7,TRUE)*Transaction[[#This Row],[Qty]]</f>
        <v>14.984999999999999</v>
      </c>
      <c r="AS647">
        <v>1103</v>
      </c>
      <c r="AT647">
        <v>1002</v>
      </c>
    </row>
    <row r="648" spans="36:46" x14ac:dyDescent="0.3">
      <c r="AJ648">
        <v>64652</v>
      </c>
      <c r="AK648" s="30">
        <v>42439</v>
      </c>
      <c r="AL648" t="s">
        <v>1740</v>
      </c>
      <c r="AM648">
        <v>93</v>
      </c>
      <c r="AN648" t="str">
        <f>VLOOKUP(Transaction[[#This Row],[Model No.]],$AV$2:$BD$100,2,TRUE)</f>
        <v>Beringer Vineyards Stone Cellars Shiraz</v>
      </c>
      <c r="AO648" s="21">
        <f>VLOOKUP(Transaction[[#This Row],[Model No.]],$AV$2:$BD$100,6,TRUE)</f>
        <v>7.49</v>
      </c>
      <c r="AP648" s="9">
        <v>2</v>
      </c>
      <c r="AQ648" s="5">
        <f>Transaction[[#This Row],[Price]]*Transaction[[#This Row],[Qty]]</f>
        <v>14.98</v>
      </c>
      <c r="AR648" s="5">
        <f>VLOOKUP(Transaction[[#This Row],[Model No.]],$AV$2:$BD$100,7,TRUE)*Transaction[[#This Row],[Qty]]</f>
        <v>1.4980000000000002</v>
      </c>
      <c r="AS648">
        <v>1103</v>
      </c>
      <c r="AT648">
        <v>1006</v>
      </c>
    </row>
    <row r="649" spans="36:46" x14ac:dyDescent="0.3">
      <c r="AJ649">
        <v>19334</v>
      </c>
      <c r="AK649" s="30">
        <v>42441</v>
      </c>
      <c r="AL649" t="s">
        <v>1218</v>
      </c>
      <c r="AM649">
        <v>18</v>
      </c>
      <c r="AN649" t="str">
        <f>VLOOKUP(Transaction[[#This Row],[Model No.]],$AV$2:$BD$100,2,TRUE)</f>
        <v>Twenty Grand Peach Vodka</v>
      </c>
      <c r="AO649" s="21">
        <f>VLOOKUP(Transaction[[#This Row],[Model No.]],$AV$2:$BD$100,6,TRUE)</f>
        <v>30.99</v>
      </c>
      <c r="AP649" s="9">
        <v>3</v>
      </c>
      <c r="AQ649" s="5">
        <f>Transaction[[#This Row],[Price]]*Transaction[[#This Row],[Qty]]</f>
        <v>92.97</v>
      </c>
      <c r="AR649" s="5">
        <f>VLOOKUP(Transaction[[#This Row],[Model No.]],$AV$2:$BD$100,7,TRUE)*Transaction[[#This Row],[Qty]]</f>
        <v>27.890999999999998</v>
      </c>
      <c r="AS649">
        <v>1104</v>
      </c>
      <c r="AT649">
        <v>1005</v>
      </c>
    </row>
    <row r="650" spans="36:46" x14ac:dyDescent="0.3">
      <c r="AJ650">
        <v>30494</v>
      </c>
      <c r="AK650" s="30">
        <v>42441</v>
      </c>
      <c r="AL650" t="s">
        <v>1150</v>
      </c>
      <c r="AM650">
        <v>46</v>
      </c>
      <c r="AN650" t="str">
        <f>VLOOKUP(Transaction[[#This Row],[Model No.]],$AV$2:$BD$100,2,TRUE)</f>
        <v>Label 5 Classic Black Blended Scotch Whisky</v>
      </c>
      <c r="AO650" s="21">
        <f>VLOOKUP(Transaction[[#This Row],[Model No.]],$AV$2:$BD$100,6,TRUE)</f>
        <v>15.99</v>
      </c>
      <c r="AP650" s="9">
        <v>2</v>
      </c>
      <c r="AQ650" s="5">
        <f>Transaction[[#This Row],[Price]]*Transaction[[#This Row],[Qty]]</f>
        <v>31.98</v>
      </c>
      <c r="AR650" s="5">
        <f>VLOOKUP(Transaction[[#This Row],[Model No.]],$AV$2:$BD$100,7,TRUE)*Transaction[[#This Row],[Qty]]</f>
        <v>6.3960000000000008</v>
      </c>
      <c r="AS650">
        <v>1103</v>
      </c>
      <c r="AT650">
        <v>1018</v>
      </c>
    </row>
    <row r="651" spans="36:46" x14ac:dyDescent="0.3">
      <c r="AJ651">
        <v>29569</v>
      </c>
      <c r="AK651" s="30">
        <v>42443</v>
      </c>
      <c r="AL651" t="s">
        <v>1595</v>
      </c>
      <c r="AM651">
        <v>89</v>
      </c>
      <c r="AN651" t="str">
        <f>VLOOKUP(Transaction[[#This Row],[Model No.]],$AV$2:$BD$100,2,TRUE)</f>
        <v>Piera Martellozzo Blu Giovello Moscato Puglia IGT Muscat</v>
      </c>
      <c r="AO651" s="21">
        <f>VLOOKUP(Transaction[[#This Row],[Model No.]],$AV$2:$BD$100,6,TRUE)</f>
        <v>8.49</v>
      </c>
      <c r="AP651" s="9">
        <v>4</v>
      </c>
      <c r="AQ651" s="5">
        <f>Transaction[[#This Row],[Price]]*Transaction[[#This Row],[Qty]]</f>
        <v>33.96</v>
      </c>
      <c r="AR651" s="5">
        <f>VLOOKUP(Transaction[[#This Row],[Model No.]],$AV$2:$BD$100,7,TRUE)*Transaction[[#This Row],[Qty]]</f>
        <v>3.3960000000000004</v>
      </c>
      <c r="AS651">
        <v>1108</v>
      </c>
      <c r="AT651">
        <v>1016</v>
      </c>
    </row>
    <row r="652" spans="36:46" x14ac:dyDescent="0.3">
      <c r="AJ652">
        <v>82512</v>
      </c>
      <c r="AK652" s="30">
        <v>42445</v>
      </c>
      <c r="AL652" t="s">
        <v>761</v>
      </c>
      <c r="AM652">
        <v>43</v>
      </c>
      <c r="AN652" t="str">
        <f>VLOOKUP(Transaction[[#This Row],[Model No.]],$AV$2:$BD$100,2,TRUE)</f>
        <v>Green Flash Le Freak - 4 Pack</v>
      </c>
      <c r="AO652" s="21">
        <f>VLOOKUP(Transaction[[#This Row],[Model No.]],$AV$2:$BD$100,6,TRUE)</f>
        <v>16.989999999999998</v>
      </c>
      <c r="AP652" s="9">
        <v>1</v>
      </c>
      <c r="AQ652" s="5">
        <f>Transaction[[#This Row],[Price]]*Transaction[[#This Row],[Qty]]</f>
        <v>16.989999999999998</v>
      </c>
      <c r="AR652" s="5">
        <f>VLOOKUP(Transaction[[#This Row],[Model No.]],$AV$2:$BD$100,7,TRUE)*Transaction[[#This Row],[Qty]]</f>
        <v>5.0969999999999995</v>
      </c>
      <c r="AS652">
        <v>1103</v>
      </c>
      <c r="AT652">
        <v>1013</v>
      </c>
    </row>
    <row r="653" spans="36:46" x14ac:dyDescent="0.3">
      <c r="AJ653">
        <v>25779</v>
      </c>
      <c r="AK653" s="30">
        <v>42447</v>
      </c>
      <c r="AL653" t="s">
        <v>1722</v>
      </c>
      <c r="AM653">
        <v>46</v>
      </c>
      <c r="AN653" t="str">
        <f>VLOOKUP(Transaction[[#This Row],[Model No.]],$AV$2:$BD$100,2,TRUE)</f>
        <v>Label 5 Classic Black Blended Scotch Whisky</v>
      </c>
      <c r="AO653" s="21">
        <f>VLOOKUP(Transaction[[#This Row],[Model No.]],$AV$2:$BD$100,6,TRUE)</f>
        <v>15.99</v>
      </c>
      <c r="AP653" s="9">
        <v>5</v>
      </c>
      <c r="AQ653" s="5">
        <f>Transaction[[#This Row],[Price]]*Transaction[[#This Row],[Qty]]</f>
        <v>79.95</v>
      </c>
      <c r="AR653" s="5">
        <f>VLOOKUP(Transaction[[#This Row],[Model No.]],$AV$2:$BD$100,7,TRUE)*Transaction[[#This Row],[Qty]]</f>
        <v>15.990000000000002</v>
      </c>
      <c r="AS653">
        <v>1105</v>
      </c>
      <c r="AT653">
        <v>1020</v>
      </c>
    </row>
    <row r="654" spans="36:46" x14ac:dyDescent="0.3">
      <c r="AJ654">
        <v>83239</v>
      </c>
      <c r="AK654" s="30">
        <v>42448</v>
      </c>
      <c r="AL654" t="s">
        <v>1795</v>
      </c>
      <c r="AM654">
        <v>13</v>
      </c>
      <c r="AN654" t="str">
        <f>VLOOKUP(Transaction[[#This Row],[Model No.]],$AV$2:$BD$100,2,TRUE)</f>
        <v>Luxardo Maraschino Liqueur</v>
      </c>
      <c r="AO654" s="21">
        <f>VLOOKUP(Transaction[[#This Row],[Model No.]],$AV$2:$BD$100,6,TRUE)</f>
        <v>36.99</v>
      </c>
      <c r="AP654" s="9">
        <v>5</v>
      </c>
      <c r="AQ654" s="5">
        <f>Transaction[[#This Row],[Price]]*Transaction[[#This Row],[Qty]]</f>
        <v>184.95000000000002</v>
      </c>
      <c r="AR654" s="5">
        <f>VLOOKUP(Transaction[[#This Row],[Model No.]],$AV$2:$BD$100,7,TRUE)*Transaction[[#This Row],[Qty]]</f>
        <v>55.484999999999999</v>
      </c>
      <c r="AS654">
        <v>1099</v>
      </c>
      <c r="AT654">
        <v>1009</v>
      </c>
    </row>
    <row r="655" spans="36:46" x14ac:dyDescent="0.3">
      <c r="AJ655">
        <v>30739</v>
      </c>
      <c r="AK655" s="30">
        <v>42448</v>
      </c>
      <c r="AL655" t="s">
        <v>1421</v>
      </c>
      <c r="AM655">
        <v>20</v>
      </c>
      <c r="AN655" t="str">
        <f>VLOOKUP(Transaction[[#This Row],[Model No.]],$AV$2:$BD$100,2,TRUE)</f>
        <v>Stonewall American Rum</v>
      </c>
      <c r="AO655" s="21">
        <f>VLOOKUP(Transaction[[#This Row],[Model No.]],$AV$2:$BD$100,6,TRUE)</f>
        <v>27.99</v>
      </c>
      <c r="AP655" s="9">
        <v>1</v>
      </c>
      <c r="AQ655" s="5">
        <f>Transaction[[#This Row],[Price]]*Transaction[[#This Row],[Qty]]</f>
        <v>27.99</v>
      </c>
      <c r="AR655" s="5">
        <f>VLOOKUP(Transaction[[#This Row],[Model No.]],$AV$2:$BD$100,7,TRUE)*Transaction[[#This Row],[Qty]]</f>
        <v>5.5979999999999999</v>
      </c>
      <c r="AS655">
        <v>1098</v>
      </c>
      <c r="AT655">
        <v>1014</v>
      </c>
    </row>
    <row r="656" spans="36:46" x14ac:dyDescent="0.3">
      <c r="AJ656">
        <v>32324</v>
      </c>
      <c r="AK656" s="30">
        <v>42449</v>
      </c>
      <c r="AL656" t="s">
        <v>1662</v>
      </c>
      <c r="AM656">
        <v>39</v>
      </c>
      <c r="AN656" t="str">
        <f>VLOOKUP(Transaction[[#This Row],[Model No.]],$AV$2:$BD$100,2,TRUE)</f>
        <v>Moorhouse's English Owd Ale - 4 Pack</v>
      </c>
      <c r="AO656" s="21">
        <f>VLOOKUP(Transaction[[#This Row],[Model No.]],$AV$2:$BD$100,6,TRUE)</f>
        <v>18.989999999999998</v>
      </c>
      <c r="AP656" s="9">
        <v>4</v>
      </c>
      <c r="AQ656" s="5">
        <f>Transaction[[#This Row],[Price]]*Transaction[[#This Row],[Qty]]</f>
        <v>75.959999999999994</v>
      </c>
      <c r="AR656" s="5">
        <f>VLOOKUP(Transaction[[#This Row],[Model No.]],$AV$2:$BD$100,7,TRUE)*Transaction[[#This Row],[Qty]]</f>
        <v>22.787999999999997</v>
      </c>
      <c r="AS656">
        <v>1100</v>
      </c>
      <c r="AT656">
        <v>1019</v>
      </c>
    </row>
    <row r="657" spans="36:46" x14ac:dyDescent="0.3">
      <c r="AJ657">
        <v>74458</v>
      </c>
      <c r="AK657" s="30">
        <v>42449</v>
      </c>
      <c r="AL657" t="s">
        <v>376</v>
      </c>
      <c r="AM657">
        <v>66</v>
      </c>
      <c r="AN657" t="str">
        <f>VLOOKUP(Transaction[[#This Row],[Model No.]],$AV$2:$BD$100,2,TRUE)</f>
        <v>Red Horse Beer - 6 Pack</v>
      </c>
      <c r="AO657" s="21">
        <f>VLOOKUP(Transaction[[#This Row],[Model No.]],$AV$2:$BD$100,6,TRUE)</f>
        <v>12.99</v>
      </c>
      <c r="AP657" s="9">
        <v>2</v>
      </c>
      <c r="AQ657" s="5">
        <f>Transaction[[#This Row],[Price]]*Transaction[[#This Row],[Qty]]</f>
        <v>25.98</v>
      </c>
      <c r="AR657" s="5">
        <f>VLOOKUP(Transaction[[#This Row],[Model No.]],$AV$2:$BD$100,7,TRUE)*Transaction[[#This Row],[Qty]]</f>
        <v>7.7939999999999996</v>
      </c>
      <c r="AS657">
        <v>1100</v>
      </c>
      <c r="AT657">
        <v>1000</v>
      </c>
    </row>
    <row r="658" spans="36:46" x14ac:dyDescent="0.3">
      <c r="AJ658">
        <v>51456</v>
      </c>
      <c r="AK658" s="30">
        <v>42449</v>
      </c>
      <c r="AL658" t="s">
        <v>394</v>
      </c>
      <c r="AM658">
        <v>90</v>
      </c>
      <c r="AN658" t="str">
        <f>VLOOKUP(Transaction[[#This Row],[Model No.]],$AV$2:$BD$100,2,TRUE)</f>
        <v>Carlo Rossi Moscato Sangria Muscat Blanc a Petits Grains</v>
      </c>
      <c r="AO658" s="21">
        <f>VLOOKUP(Transaction[[#This Row],[Model No.]],$AV$2:$BD$100,6,TRUE)</f>
        <v>7.99</v>
      </c>
      <c r="AP658" s="9">
        <v>2</v>
      </c>
      <c r="AQ658" s="5">
        <f>Transaction[[#This Row],[Price]]*Transaction[[#This Row],[Qty]]</f>
        <v>15.98</v>
      </c>
      <c r="AR658" s="5">
        <f>VLOOKUP(Transaction[[#This Row],[Model No.]],$AV$2:$BD$100,7,TRUE)*Transaction[[#This Row],[Qty]]</f>
        <v>3.1960000000000002</v>
      </c>
      <c r="AS658">
        <v>1107</v>
      </c>
      <c r="AT658">
        <v>1011</v>
      </c>
    </row>
    <row r="659" spans="36:46" x14ac:dyDescent="0.3">
      <c r="AJ659">
        <v>66765</v>
      </c>
      <c r="AK659" s="30">
        <v>42449</v>
      </c>
      <c r="AL659" t="s">
        <v>1326</v>
      </c>
      <c r="AM659">
        <v>97</v>
      </c>
      <c r="AN659" t="str">
        <f>VLOOKUP(Transaction[[#This Row],[Model No.]],$AV$2:$BD$100,2,TRUE)</f>
        <v>Sea Ridge Cabernet Sauvignon</v>
      </c>
      <c r="AO659" s="21">
        <f>VLOOKUP(Transaction[[#This Row],[Model No.]],$AV$2:$BD$100,6,TRUE)</f>
        <v>5.99</v>
      </c>
      <c r="AP659" s="9">
        <v>3</v>
      </c>
      <c r="AQ659" s="5">
        <f>Transaction[[#This Row],[Price]]*Transaction[[#This Row],[Qty]]</f>
        <v>17.97</v>
      </c>
      <c r="AR659" s="5">
        <f>VLOOKUP(Transaction[[#This Row],[Model No.]],$AV$2:$BD$100,7,TRUE)*Transaction[[#This Row],[Qty]]</f>
        <v>1.7970000000000002</v>
      </c>
      <c r="AS659">
        <v>1108</v>
      </c>
      <c r="AT659">
        <v>1009</v>
      </c>
    </row>
    <row r="660" spans="36:46" x14ac:dyDescent="0.3">
      <c r="AJ660">
        <v>57298</v>
      </c>
      <c r="AK660" s="30">
        <v>42450</v>
      </c>
      <c r="AL660" t="s">
        <v>387</v>
      </c>
      <c r="AM660">
        <v>22</v>
      </c>
      <c r="AN660" t="str">
        <f>VLOOKUP(Transaction[[#This Row],[Model No.]],$AV$2:$BD$100,2,TRUE)</f>
        <v>Efe Raki Black Triple Distilled Liqueur</v>
      </c>
      <c r="AO660" s="21">
        <f>VLOOKUP(Transaction[[#This Row],[Model No.]],$AV$2:$BD$100,6,TRUE)</f>
        <v>25.99</v>
      </c>
      <c r="AP660" s="9">
        <v>3</v>
      </c>
      <c r="AQ660" s="5">
        <f>Transaction[[#This Row],[Price]]*Transaction[[#This Row],[Qty]]</f>
        <v>77.97</v>
      </c>
      <c r="AR660" s="5">
        <f>VLOOKUP(Transaction[[#This Row],[Model No.]],$AV$2:$BD$100,7,TRUE)*Transaction[[#This Row],[Qty]]</f>
        <v>23.390999999999998</v>
      </c>
      <c r="AS660">
        <v>1099</v>
      </c>
      <c r="AT660">
        <v>1003</v>
      </c>
    </row>
    <row r="661" spans="36:46" x14ac:dyDescent="0.3">
      <c r="AJ661">
        <v>17612</v>
      </c>
      <c r="AK661" s="30">
        <v>42453</v>
      </c>
      <c r="AL661" t="s">
        <v>478</v>
      </c>
      <c r="AM661">
        <v>2</v>
      </c>
      <c r="AN661" t="str">
        <f>VLOOKUP(Transaction[[#This Row],[Model No.]],$AV$2:$BD$100,2,TRUE)</f>
        <v>Grand Marnier Cuvee 1880 Liqueur</v>
      </c>
      <c r="AO661" s="21">
        <f>VLOOKUP(Transaction[[#This Row],[Model No.]],$AV$2:$BD$100,6,TRUE)</f>
        <v>286.99</v>
      </c>
      <c r="AP661" s="9">
        <v>2</v>
      </c>
      <c r="AQ661" s="5">
        <f>Transaction[[#This Row],[Price]]*Transaction[[#This Row],[Qty]]</f>
        <v>573.98</v>
      </c>
      <c r="AR661" s="5">
        <f>VLOOKUP(Transaction[[#This Row],[Model No.]],$AV$2:$BD$100,7,TRUE)*Transaction[[#This Row],[Qty]]</f>
        <v>172.19399999999999</v>
      </c>
      <c r="AS661">
        <v>1099</v>
      </c>
      <c r="AT661">
        <v>1019</v>
      </c>
    </row>
    <row r="662" spans="36:46" x14ac:dyDescent="0.3">
      <c r="AJ662">
        <v>29599</v>
      </c>
      <c r="AK662" s="30">
        <v>42454</v>
      </c>
      <c r="AL662" t="s">
        <v>503</v>
      </c>
      <c r="AM662">
        <v>73</v>
      </c>
      <c r="AN662" t="str">
        <f>VLOOKUP(Transaction[[#This Row],[Model No.]],$AV$2:$BD$100,2,TRUE)</f>
        <v>Schlafly Oktoberfest - 6 Pack</v>
      </c>
      <c r="AO662" s="21">
        <f>VLOOKUP(Transaction[[#This Row],[Model No.]],$AV$2:$BD$100,6,TRUE)</f>
        <v>11.99</v>
      </c>
      <c r="AP662" s="9">
        <v>1</v>
      </c>
      <c r="AQ662" s="5">
        <f>Transaction[[#This Row],[Price]]*Transaction[[#This Row],[Qty]]</f>
        <v>11.99</v>
      </c>
      <c r="AR662" s="5">
        <f>VLOOKUP(Transaction[[#This Row],[Model No.]],$AV$2:$BD$100,7,TRUE)*Transaction[[#This Row],[Qty]]</f>
        <v>3.597</v>
      </c>
      <c r="AS662">
        <v>1108</v>
      </c>
      <c r="AT662">
        <v>1013</v>
      </c>
    </row>
    <row r="663" spans="36:46" x14ac:dyDescent="0.3">
      <c r="AJ663">
        <v>87649</v>
      </c>
      <c r="AK663" s="30">
        <v>42455</v>
      </c>
      <c r="AL663" t="s">
        <v>951</v>
      </c>
      <c r="AM663">
        <v>89</v>
      </c>
      <c r="AN663" t="str">
        <f>VLOOKUP(Transaction[[#This Row],[Model No.]],$AV$2:$BD$100,2,TRUE)</f>
        <v>Piera Martellozzo Blu Giovello Moscato Puglia IGT Muscat</v>
      </c>
      <c r="AO663" s="21">
        <f>VLOOKUP(Transaction[[#This Row],[Model No.]],$AV$2:$BD$100,6,TRUE)</f>
        <v>8.49</v>
      </c>
      <c r="AP663" s="9">
        <v>5</v>
      </c>
      <c r="AQ663" s="5">
        <f>Transaction[[#This Row],[Price]]*Transaction[[#This Row],[Qty]]</f>
        <v>42.45</v>
      </c>
      <c r="AR663" s="5">
        <f>VLOOKUP(Transaction[[#This Row],[Model No.]],$AV$2:$BD$100,7,TRUE)*Transaction[[#This Row],[Qty]]</f>
        <v>4.2450000000000001</v>
      </c>
      <c r="AS663">
        <v>1108</v>
      </c>
      <c r="AT663">
        <v>1014</v>
      </c>
    </row>
    <row r="664" spans="36:46" x14ac:dyDescent="0.3">
      <c r="AJ664">
        <v>77112</v>
      </c>
      <c r="AK664" s="30">
        <v>42456</v>
      </c>
      <c r="AL664" t="s">
        <v>1647</v>
      </c>
      <c r="AM664">
        <v>40</v>
      </c>
      <c r="AN664" t="str">
        <f>VLOOKUP(Transaction[[#This Row],[Model No.]],$AV$2:$BD$100,2,TRUE)</f>
        <v>Takara Can Chu Hi JPop Grapefruit - 6 Pack</v>
      </c>
      <c r="AO664" s="21">
        <f>VLOOKUP(Transaction[[#This Row],[Model No.]],$AV$2:$BD$100,6,TRUE)</f>
        <v>17.989999999999998</v>
      </c>
      <c r="AP664" s="9">
        <v>1</v>
      </c>
      <c r="AQ664" s="5">
        <f>Transaction[[#This Row],[Price]]*Transaction[[#This Row],[Qty]]</f>
        <v>17.989999999999998</v>
      </c>
      <c r="AR664" s="5">
        <f>VLOOKUP(Transaction[[#This Row],[Model No.]],$AV$2:$BD$100,7,TRUE)*Transaction[[#This Row],[Qty]]</f>
        <v>5.3969999999999994</v>
      </c>
      <c r="AS664">
        <v>1106</v>
      </c>
      <c r="AT664">
        <v>1012</v>
      </c>
    </row>
    <row r="665" spans="36:46" x14ac:dyDescent="0.3">
      <c r="AJ665">
        <v>63349</v>
      </c>
      <c r="AK665" s="30">
        <v>42463</v>
      </c>
      <c r="AL665" t="s">
        <v>1770</v>
      </c>
      <c r="AM665">
        <v>71</v>
      </c>
      <c r="AN665" t="str">
        <f>VLOOKUP(Transaction[[#This Row],[Model No.]],$AV$2:$BD$100,2,TRUE)</f>
        <v>Flo Merlot</v>
      </c>
      <c r="AO665" s="21">
        <f>VLOOKUP(Transaction[[#This Row],[Model No.]],$AV$2:$BD$100,6,TRUE)</f>
        <v>12.49</v>
      </c>
      <c r="AP665" s="9">
        <v>3</v>
      </c>
      <c r="AQ665" s="5">
        <f>Transaction[[#This Row],[Price]]*Transaction[[#This Row],[Qty]]</f>
        <v>37.47</v>
      </c>
      <c r="AR665" s="5">
        <f>VLOOKUP(Transaction[[#This Row],[Model No.]],$AV$2:$BD$100,7,TRUE)*Transaction[[#This Row],[Qty]]</f>
        <v>3.7470000000000003</v>
      </c>
      <c r="AS665">
        <v>1100</v>
      </c>
      <c r="AT665">
        <v>1018</v>
      </c>
    </row>
    <row r="666" spans="36:46" x14ac:dyDescent="0.3">
      <c r="AJ666">
        <v>67020</v>
      </c>
      <c r="AK666" s="30">
        <v>42463</v>
      </c>
      <c r="AL666" t="s">
        <v>1543</v>
      </c>
      <c r="AM666">
        <v>81</v>
      </c>
      <c r="AN666" t="str">
        <f>VLOOKUP(Transaction[[#This Row],[Model No.]],$AV$2:$BD$100,2,TRUE)</f>
        <v>TerraNoble Reserva La Higuera Vineyard Carmenere</v>
      </c>
      <c r="AO666" s="21">
        <f>VLOOKUP(Transaction[[#This Row],[Model No.]],$AV$2:$BD$100,6,TRUE)</f>
        <v>10.99</v>
      </c>
      <c r="AP666" s="9">
        <v>5</v>
      </c>
      <c r="AQ666" s="5">
        <f>Transaction[[#This Row],[Price]]*Transaction[[#This Row],[Qty]]</f>
        <v>54.95</v>
      </c>
      <c r="AR666" s="5">
        <f>VLOOKUP(Transaction[[#This Row],[Model No.]],$AV$2:$BD$100,7,TRUE)*Transaction[[#This Row],[Qty]]</f>
        <v>16.484999999999999</v>
      </c>
      <c r="AS666">
        <v>1102</v>
      </c>
      <c r="AT666">
        <v>1008</v>
      </c>
    </row>
    <row r="667" spans="36:46" x14ac:dyDescent="0.3">
      <c r="AJ667">
        <v>72748</v>
      </c>
      <c r="AK667" s="30">
        <v>42463</v>
      </c>
      <c r="AL667" t="s">
        <v>427</v>
      </c>
      <c r="AM667">
        <v>90</v>
      </c>
      <c r="AN667" t="str">
        <f>VLOOKUP(Transaction[[#This Row],[Model No.]],$AV$2:$BD$100,2,TRUE)</f>
        <v>Carlo Rossi Moscato Sangria Muscat Blanc a Petits Grains</v>
      </c>
      <c r="AO667" s="21">
        <f>VLOOKUP(Transaction[[#This Row],[Model No.]],$AV$2:$BD$100,6,TRUE)</f>
        <v>7.99</v>
      </c>
      <c r="AP667" s="9">
        <v>4</v>
      </c>
      <c r="AQ667" s="5">
        <f>Transaction[[#This Row],[Price]]*Transaction[[#This Row],[Qty]]</f>
        <v>31.96</v>
      </c>
      <c r="AR667" s="5">
        <f>VLOOKUP(Transaction[[#This Row],[Model No.]],$AV$2:$BD$100,7,TRUE)*Transaction[[#This Row],[Qty]]</f>
        <v>6.3920000000000003</v>
      </c>
      <c r="AS667">
        <v>1100</v>
      </c>
      <c r="AT667">
        <v>1019</v>
      </c>
    </row>
    <row r="668" spans="36:46" x14ac:dyDescent="0.3">
      <c r="AJ668">
        <v>31609</v>
      </c>
      <c r="AK668" s="30">
        <v>42464</v>
      </c>
      <c r="AL668" t="s">
        <v>572</v>
      </c>
      <c r="AM668">
        <v>6</v>
      </c>
      <c r="AN668" t="str">
        <f>VLOOKUP(Transaction[[#This Row],[Model No.]],$AV$2:$BD$100,2,TRUE)</f>
        <v>Agricola Punica Barrua Isola Dei Nuraghi IGT Carignan</v>
      </c>
      <c r="AO668" s="21">
        <f>VLOOKUP(Transaction[[#This Row],[Model No.]],$AV$2:$BD$100,6,TRUE)</f>
        <v>46.99</v>
      </c>
      <c r="AP668" s="9">
        <v>4</v>
      </c>
      <c r="AQ668" s="5">
        <f>Transaction[[#This Row],[Price]]*Transaction[[#This Row],[Qty]]</f>
        <v>187.96</v>
      </c>
      <c r="AR668" s="5">
        <f>VLOOKUP(Transaction[[#This Row],[Model No.]],$AV$2:$BD$100,7,TRUE)*Transaction[[#This Row],[Qty]]</f>
        <v>18.796000000000003</v>
      </c>
      <c r="AS668">
        <v>1104</v>
      </c>
      <c r="AT668">
        <v>1004</v>
      </c>
    </row>
    <row r="669" spans="36:46" x14ac:dyDescent="0.3">
      <c r="AJ669">
        <v>70927</v>
      </c>
      <c r="AK669" s="30">
        <v>42464</v>
      </c>
      <c r="AL669" t="s">
        <v>1576</v>
      </c>
      <c r="AM669">
        <v>87</v>
      </c>
      <c r="AN669" t="str">
        <f>VLOOKUP(Transaction[[#This Row],[Model No.]],$AV$2:$BD$100,2,TRUE)</f>
        <v>Cruzan 9 Spiced Rum</v>
      </c>
      <c r="AO669" s="21">
        <f>VLOOKUP(Transaction[[#This Row],[Model No.]],$AV$2:$BD$100,6,TRUE)</f>
        <v>9.49</v>
      </c>
      <c r="AP669" s="9">
        <v>3</v>
      </c>
      <c r="AQ669" s="5">
        <f>Transaction[[#This Row],[Price]]*Transaction[[#This Row],[Qty]]</f>
        <v>28.47</v>
      </c>
      <c r="AR669" s="5">
        <f>VLOOKUP(Transaction[[#This Row],[Model No.]],$AV$2:$BD$100,7,TRUE)*Transaction[[#This Row],[Qty]]</f>
        <v>5.6940000000000008</v>
      </c>
      <c r="AS669">
        <v>1101</v>
      </c>
      <c r="AT669">
        <v>1001</v>
      </c>
    </row>
    <row r="670" spans="36:46" x14ac:dyDescent="0.3">
      <c r="AJ670">
        <v>88636</v>
      </c>
      <c r="AK670" s="30">
        <v>42467</v>
      </c>
      <c r="AL670" t="s">
        <v>1535</v>
      </c>
      <c r="AM670">
        <v>6</v>
      </c>
      <c r="AN670" t="str">
        <f>VLOOKUP(Transaction[[#This Row],[Model No.]],$AV$2:$BD$100,2,TRUE)</f>
        <v>Agricola Punica Barrua Isola Dei Nuraghi IGT Carignan</v>
      </c>
      <c r="AO670" s="21">
        <f>VLOOKUP(Transaction[[#This Row],[Model No.]],$AV$2:$BD$100,6,TRUE)</f>
        <v>46.99</v>
      </c>
      <c r="AP670" s="9">
        <v>4</v>
      </c>
      <c r="AQ670" s="5">
        <f>Transaction[[#This Row],[Price]]*Transaction[[#This Row],[Qty]]</f>
        <v>187.96</v>
      </c>
      <c r="AR670" s="5">
        <f>VLOOKUP(Transaction[[#This Row],[Model No.]],$AV$2:$BD$100,7,TRUE)*Transaction[[#This Row],[Qty]]</f>
        <v>18.796000000000003</v>
      </c>
      <c r="AS670">
        <v>1106</v>
      </c>
      <c r="AT670">
        <v>1018</v>
      </c>
    </row>
    <row r="671" spans="36:46" x14ac:dyDescent="0.3">
      <c r="AJ671">
        <v>41067</v>
      </c>
      <c r="AK671" s="30">
        <v>42467</v>
      </c>
      <c r="AL671" t="s">
        <v>1316</v>
      </c>
      <c r="AM671">
        <v>15</v>
      </c>
      <c r="AN671" t="str">
        <f>VLOOKUP(Transaction[[#This Row],[Model No.]],$AV$2:$BD$100,2,TRUE)</f>
        <v>Wild Turkey 101 Kentucky Straight Bourbon Whiskey</v>
      </c>
      <c r="AO671" s="21">
        <f>VLOOKUP(Transaction[[#This Row],[Model No.]],$AV$2:$BD$100,6,TRUE)</f>
        <v>32.99</v>
      </c>
      <c r="AP671" s="9">
        <v>4</v>
      </c>
      <c r="AQ671" s="5">
        <f>Transaction[[#This Row],[Price]]*Transaction[[#This Row],[Qty]]</f>
        <v>131.96</v>
      </c>
      <c r="AR671" s="5">
        <f>VLOOKUP(Transaction[[#This Row],[Model No.]],$AV$2:$BD$100,7,TRUE)*Transaction[[#This Row],[Qty]]</f>
        <v>26.392000000000003</v>
      </c>
      <c r="AS671">
        <v>1100</v>
      </c>
      <c r="AT671">
        <v>1013</v>
      </c>
    </row>
    <row r="672" spans="36:46" x14ac:dyDescent="0.3">
      <c r="AJ672">
        <v>66386</v>
      </c>
      <c r="AK672" s="30">
        <v>42467</v>
      </c>
      <c r="AL672" t="s">
        <v>1273</v>
      </c>
      <c r="AM672">
        <v>41</v>
      </c>
      <c r="AN672" t="str">
        <f>VLOOKUP(Transaction[[#This Row],[Model No.]],$AV$2:$BD$100,2,TRUE)</f>
        <v>Brunellesco Delle Venezie IGT Pinot Grigio</v>
      </c>
      <c r="AO672" s="21">
        <f>VLOOKUP(Transaction[[#This Row],[Model No.]],$AV$2:$BD$100,6,TRUE)</f>
        <v>17.39</v>
      </c>
      <c r="AP672" s="9">
        <v>4</v>
      </c>
      <c r="AQ672" s="5">
        <f>Transaction[[#This Row],[Price]]*Transaction[[#This Row],[Qty]]</f>
        <v>69.56</v>
      </c>
      <c r="AR672" s="5">
        <f>VLOOKUP(Transaction[[#This Row],[Model No.]],$AV$2:$BD$100,7,TRUE)*Transaction[[#This Row],[Qty]]</f>
        <v>6.9560000000000004</v>
      </c>
      <c r="AS672">
        <v>1104</v>
      </c>
      <c r="AT672">
        <v>1010</v>
      </c>
    </row>
    <row r="673" spans="36:46" x14ac:dyDescent="0.3">
      <c r="AJ673">
        <v>83632</v>
      </c>
      <c r="AK673" s="30">
        <v>42467</v>
      </c>
      <c r="AL673" t="s">
        <v>1191</v>
      </c>
      <c r="AM673">
        <v>53</v>
      </c>
      <c r="AN673" t="str">
        <f>VLOOKUP(Transaction[[#This Row],[Model No.]],$AV$2:$BD$100,2,TRUE)</f>
        <v>Ommegang Hennepin - 4 Pack</v>
      </c>
      <c r="AO673" s="21">
        <f>VLOOKUP(Transaction[[#This Row],[Model No.]],$AV$2:$BD$100,6,TRUE)</f>
        <v>14.99</v>
      </c>
      <c r="AP673" s="9">
        <v>2</v>
      </c>
      <c r="AQ673" s="5">
        <f>Transaction[[#This Row],[Price]]*Transaction[[#This Row],[Qty]]</f>
        <v>29.98</v>
      </c>
      <c r="AR673" s="5">
        <f>VLOOKUP(Transaction[[#This Row],[Model No.]],$AV$2:$BD$100,7,TRUE)*Transaction[[#This Row],[Qty]]</f>
        <v>8.9939999999999998</v>
      </c>
      <c r="AS673">
        <v>1103</v>
      </c>
      <c r="AT673">
        <v>1005</v>
      </c>
    </row>
    <row r="674" spans="36:46" x14ac:dyDescent="0.3">
      <c r="AJ674">
        <v>36209</v>
      </c>
      <c r="AK674" s="30">
        <v>42469</v>
      </c>
      <c r="AL674" t="s">
        <v>650</v>
      </c>
      <c r="AM674">
        <v>12</v>
      </c>
      <c r="AN674" t="str">
        <f>VLOOKUP(Transaction[[#This Row],[Model No.]],$AV$2:$BD$100,2,TRUE)</f>
        <v>Cuvaison Pinot Noir</v>
      </c>
      <c r="AO674" s="21">
        <f>VLOOKUP(Transaction[[#This Row],[Model No.]],$AV$2:$BD$100,6,TRUE)</f>
        <v>36.99</v>
      </c>
      <c r="AP674" s="9">
        <v>3</v>
      </c>
      <c r="AQ674" s="5">
        <f>Transaction[[#This Row],[Price]]*Transaction[[#This Row],[Qty]]</f>
        <v>110.97</v>
      </c>
      <c r="AR674" s="5">
        <f>VLOOKUP(Transaction[[#This Row],[Model No.]],$AV$2:$BD$100,7,TRUE)*Transaction[[#This Row],[Qty]]</f>
        <v>11.097000000000001</v>
      </c>
      <c r="AS674">
        <v>1106</v>
      </c>
      <c r="AT674">
        <v>1007</v>
      </c>
    </row>
    <row r="675" spans="36:46" x14ac:dyDescent="0.3">
      <c r="AJ675">
        <v>68519</v>
      </c>
      <c r="AK675" s="30">
        <v>42470</v>
      </c>
      <c r="AL675" t="s">
        <v>1143</v>
      </c>
      <c r="AM675">
        <v>57</v>
      </c>
      <c r="AN675" t="str">
        <f>VLOOKUP(Transaction[[#This Row],[Model No.]],$AV$2:$BD$100,2,TRUE)</f>
        <v>Familia Dante Twelve Months Oak Aged Toscana IGT Sangiovese</v>
      </c>
      <c r="AO675" s="21">
        <f>VLOOKUP(Transaction[[#This Row],[Model No.]],$AV$2:$BD$100,6,TRUE)</f>
        <v>13.69</v>
      </c>
      <c r="AP675" s="9">
        <v>1</v>
      </c>
      <c r="AQ675" s="5">
        <f>Transaction[[#This Row],[Price]]*Transaction[[#This Row],[Qty]]</f>
        <v>13.69</v>
      </c>
      <c r="AR675" s="5">
        <f>VLOOKUP(Transaction[[#This Row],[Model No.]],$AV$2:$BD$100,7,TRUE)*Transaction[[#This Row],[Qty]]</f>
        <v>1.369</v>
      </c>
      <c r="AS675">
        <v>1103</v>
      </c>
      <c r="AT675">
        <v>1008</v>
      </c>
    </row>
    <row r="676" spans="36:46" x14ac:dyDescent="0.3">
      <c r="AJ676">
        <v>74132</v>
      </c>
      <c r="AK676" s="30">
        <v>42470</v>
      </c>
      <c r="AL676" t="s">
        <v>1660</v>
      </c>
      <c r="AM676">
        <v>68</v>
      </c>
      <c r="AN676" t="str">
        <f>VLOOKUP(Transaction[[#This Row],[Model No.]],$AV$2:$BD$100,2,TRUE)</f>
        <v>Conti Beretta Estate Bottled Friuli Grave Pinot Grigio</v>
      </c>
      <c r="AO676" s="21">
        <f>VLOOKUP(Transaction[[#This Row],[Model No.]],$AV$2:$BD$100,6,TRUE)</f>
        <v>12.99</v>
      </c>
      <c r="AP676" s="9">
        <v>2</v>
      </c>
      <c r="AQ676" s="5">
        <f>Transaction[[#This Row],[Price]]*Transaction[[#This Row],[Qty]]</f>
        <v>25.98</v>
      </c>
      <c r="AR676" s="5">
        <f>VLOOKUP(Transaction[[#This Row],[Model No.]],$AV$2:$BD$100,7,TRUE)*Transaction[[#This Row],[Qty]]</f>
        <v>2.5980000000000003</v>
      </c>
      <c r="AS676">
        <v>1107</v>
      </c>
      <c r="AT676">
        <v>1017</v>
      </c>
    </row>
    <row r="677" spans="36:46" x14ac:dyDescent="0.3">
      <c r="AJ677">
        <v>52004</v>
      </c>
      <c r="AK677" s="30">
        <v>42470</v>
      </c>
      <c r="AL677" t="s">
        <v>873</v>
      </c>
      <c r="AM677">
        <v>67</v>
      </c>
      <c r="AN677" t="str">
        <f>VLOOKUP(Transaction[[#This Row],[Model No.]],$AV$2:$BD$100,2,TRUE)</f>
        <v>Oh Be Joyful Sweet Deutscher Qualitatswein Dornfelder</v>
      </c>
      <c r="AO677" s="21">
        <f>VLOOKUP(Transaction[[#This Row],[Model No.]],$AV$2:$BD$100,6,TRUE)</f>
        <v>12.99</v>
      </c>
      <c r="AP677" s="9">
        <v>2</v>
      </c>
      <c r="AQ677" s="5">
        <f>Transaction[[#This Row],[Price]]*Transaction[[#This Row],[Qty]]</f>
        <v>25.98</v>
      </c>
      <c r="AR677" s="5">
        <f>VLOOKUP(Transaction[[#This Row],[Model No.]],$AV$2:$BD$100,7,TRUE)*Transaction[[#This Row],[Qty]]</f>
        <v>10.392000000000001</v>
      </c>
      <c r="AS677">
        <v>1098</v>
      </c>
      <c r="AT677">
        <v>1014</v>
      </c>
    </row>
    <row r="678" spans="36:46" x14ac:dyDescent="0.3">
      <c r="AJ678">
        <v>65349</v>
      </c>
      <c r="AK678" s="30">
        <v>42470</v>
      </c>
      <c r="AL678" t="s">
        <v>1009</v>
      </c>
      <c r="AM678">
        <v>67</v>
      </c>
      <c r="AN678" t="str">
        <f>VLOOKUP(Transaction[[#This Row],[Model No.]],$AV$2:$BD$100,2,TRUE)</f>
        <v>Oh Be Joyful Sweet Deutscher Qualitatswein Dornfelder</v>
      </c>
      <c r="AO678" s="21">
        <f>VLOOKUP(Transaction[[#This Row],[Model No.]],$AV$2:$BD$100,6,TRUE)</f>
        <v>12.99</v>
      </c>
      <c r="AP678" s="9">
        <v>4</v>
      </c>
      <c r="AQ678" s="5">
        <f>Transaction[[#This Row],[Price]]*Transaction[[#This Row],[Qty]]</f>
        <v>51.96</v>
      </c>
      <c r="AR678" s="5">
        <f>VLOOKUP(Transaction[[#This Row],[Model No.]],$AV$2:$BD$100,7,TRUE)*Transaction[[#This Row],[Qty]]</f>
        <v>20.784000000000002</v>
      </c>
      <c r="AS678">
        <v>1107</v>
      </c>
      <c r="AT678">
        <v>1017</v>
      </c>
    </row>
    <row r="679" spans="36:46" x14ac:dyDescent="0.3">
      <c r="AJ679">
        <v>84349</v>
      </c>
      <c r="AK679" s="30">
        <v>42474</v>
      </c>
      <c r="AL679" t="s">
        <v>900</v>
      </c>
      <c r="AM679">
        <v>32</v>
      </c>
      <c r="AN679" t="str">
        <f>VLOOKUP(Transaction[[#This Row],[Model No.]],$AV$2:$BD$100,2,TRUE)</f>
        <v>Sugar Island Spiced Rum</v>
      </c>
      <c r="AO679" s="21">
        <f>VLOOKUP(Transaction[[#This Row],[Model No.]],$AV$2:$BD$100,6,TRUE)</f>
        <v>21.99</v>
      </c>
      <c r="AP679" s="9">
        <v>3</v>
      </c>
      <c r="AQ679" s="5">
        <f>Transaction[[#This Row],[Price]]*Transaction[[#This Row],[Qty]]</f>
        <v>65.97</v>
      </c>
      <c r="AR679" s="5">
        <f>VLOOKUP(Transaction[[#This Row],[Model No.]],$AV$2:$BD$100,7,TRUE)*Transaction[[#This Row],[Qty]]</f>
        <v>13.193999999999999</v>
      </c>
      <c r="AS679">
        <v>1108</v>
      </c>
      <c r="AT679">
        <v>1021</v>
      </c>
    </row>
    <row r="680" spans="36:46" x14ac:dyDescent="0.3">
      <c r="AJ680">
        <v>54466</v>
      </c>
      <c r="AK680" s="30">
        <v>42476</v>
      </c>
      <c r="AL680" t="s">
        <v>1226</v>
      </c>
      <c r="AM680">
        <v>70</v>
      </c>
      <c r="AN680" t="str">
        <f>VLOOKUP(Transaction[[#This Row],[Model No.]],$AV$2:$BD$100,2,TRUE)</f>
        <v>Matchbook Rose Estate Bottled Tempranillo</v>
      </c>
      <c r="AO680" s="21">
        <f>VLOOKUP(Transaction[[#This Row],[Model No.]],$AV$2:$BD$100,6,TRUE)</f>
        <v>12.69</v>
      </c>
      <c r="AP680" s="9">
        <v>4</v>
      </c>
      <c r="AQ680" s="5">
        <f>Transaction[[#This Row],[Price]]*Transaction[[#This Row],[Qty]]</f>
        <v>50.76</v>
      </c>
      <c r="AR680" s="5">
        <f>VLOOKUP(Transaction[[#This Row],[Model No.]],$AV$2:$BD$100,7,TRUE)*Transaction[[#This Row],[Qty]]</f>
        <v>5.0760000000000005</v>
      </c>
      <c r="AS680">
        <v>1100</v>
      </c>
      <c r="AT680">
        <v>1010</v>
      </c>
    </row>
    <row r="681" spans="36:46" x14ac:dyDescent="0.3">
      <c r="AJ681">
        <v>99447</v>
      </c>
      <c r="AK681" s="30">
        <v>42477</v>
      </c>
      <c r="AL681" t="s">
        <v>1680</v>
      </c>
      <c r="AM681">
        <v>37</v>
      </c>
      <c r="AN681" t="str">
        <f>VLOOKUP(Transaction[[#This Row],[Model No.]],$AV$2:$BD$100,2,TRUE)</f>
        <v>Francis Ford Coppola Diamond Collection Black Label Pavilion Chardonnay</v>
      </c>
      <c r="AO681" s="21">
        <f>VLOOKUP(Transaction[[#This Row],[Model No.]],$AV$2:$BD$100,6,TRUE)</f>
        <v>19.989999999999998</v>
      </c>
      <c r="AP681" s="9">
        <v>2</v>
      </c>
      <c r="AQ681" s="5">
        <f>Transaction[[#This Row],[Price]]*Transaction[[#This Row],[Qty]]</f>
        <v>39.979999999999997</v>
      </c>
      <c r="AR681" s="5">
        <f>VLOOKUP(Transaction[[#This Row],[Model No.]],$AV$2:$BD$100,7,TRUE)*Transaction[[#This Row],[Qty]]</f>
        <v>3.9979999999999998</v>
      </c>
      <c r="AS681">
        <v>1104</v>
      </c>
      <c r="AT681">
        <v>1017</v>
      </c>
    </row>
    <row r="682" spans="36:46" x14ac:dyDescent="0.3">
      <c r="AJ682">
        <v>50737</v>
      </c>
      <c r="AK682" s="30">
        <v>42479</v>
      </c>
      <c r="AL682" t="s">
        <v>1519</v>
      </c>
      <c r="AM682">
        <v>4</v>
      </c>
      <c r="AN682" t="str">
        <f>VLOOKUP(Transaction[[#This Row],[Model No.]],$AV$2:$BD$100,2,TRUE)</f>
        <v>Stags' Leap Winery Cabernet Sauvignon</v>
      </c>
      <c r="AO682" s="21">
        <f>VLOOKUP(Transaction[[#This Row],[Model No.]],$AV$2:$BD$100,6,TRUE)</f>
        <v>54.99</v>
      </c>
      <c r="AP682" s="9">
        <v>5</v>
      </c>
      <c r="AQ682" s="5">
        <f>Transaction[[#This Row],[Price]]*Transaction[[#This Row],[Qty]]</f>
        <v>274.95</v>
      </c>
      <c r="AR682" s="5">
        <f>VLOOKUP(Transaction[[#This Row],[Model No.]],$AV$2:$BD$100,7,TRUE)*Transaction[[#This Row],[Qty]]</f>
        <v>27.495000000000005</v>
      </c>
      <c r="AS682">
        <v>1107</v>
      </c>
      <c r="AT682">
        <v>1010</v>
      </c>
    </row>
    <row r="683" spans="36:46" x14ac:dyDescent="0.3">
      <c r="AJ683">
        <v>35373</v>
      </c>
      <c r="AK683" s="30">
        <v>42479</v>
      </c>
      <c r="AL683" t="s">
        <v>1267</v>
      </c>
      <c r="AM683">
        <v>51</v>
      </c>
      <c r="AN683" t="str">
        <f>VLOOKUP(Transaction[[#This Row],[Model No.]],$AV$2:$BD$100,2,TRUE)</f>
        <v>Waterbrook Cabernet Sauvignon</v>
      </c>
      <c r="AO683" s="21">
        <f>VLOOKUP(Transaction[[#This Row],[Model No.]],$AV$2:$BD$100,6,TRUE)</f>
        <v>14.99</v>
      </c>
      <c r="AP683" s="9">
        <v>2</v>
      </c>
      <c r="AQ683" s="5">
        <f>Transaction[[#This Row],[Price]]*Transaction[[#This Row],[Qty]]</f>
        <v>29.98</v>
      </c>
      <c r="AR683" s="5">
        <f>VLOOKUP(Transaction[[#This Row],[Model No.]],$AV$2:$BD$100,7,TRUE)*Transaction[[#This Row],[Qty]]</f>
        <v>2.9980000000000002</v>
      </c>
      <c r="AS683">
        <v>1101</v>
      </c>
      <c r="AT683">
        <v>1014</v>
      </c>
    </row>
    <row r="684" spans="36:46" x14ac:dyDescent="0.3">
      <c r="AJ684">
        <v>18347</v>
      </c>
      <c r="AK684" s="30">
        <v>42480</v>
      </c>
      <c r="AL684" t="s">
        <v>1067</v>
      </c>
      <c r="AM684">
        <v>40</v>
      </c>
      <c r="AN684" t="str">
        <f>VLOOKUP(Transaction[[#This Row],[Model No.]],$AV$2:$BD$100,2,TRUE)</f>
        <v>Takara Can Chu Hi JPop Grapefruit - 6 Pack</v>
      </c>
      <c r="AO684" s="21">
        <f>VLOOKUP(Transaction[[#This Row],[Model No.]],$AV$2:$BD$100,6,TRUE)</f>
        <v>17.989999999999998</v>
      </c>
      <c r="AP684" s="9">
        <v>4</v>
      </c>
      <c r="AQ684" s="5">
        <f>Transaction[[#This Row],[Price]]*Transaction[[#This Row],[Qty]]</f>
        <v>71.959999999999994</v>
      </c>
      <c r="AR684" s="5">
        <f>VLOOKUP(Transaction[[#This Row],[Model No.]],$AV$2:$BD$100,7,TRUE)*Transaction[[#This Row],[Qty]]</f>
        <v>21.587999999999997</v>
      </c>
      <c r="AS684">
        <v>1106</v>
      </c>
      <c r="AT684">
        <v>1018</v>
      </c>
    </row>
    <row r="685" spans="36:46" x14ac:dyDescent="0.3">
      <c r="AJ685">
        <v>69309</v>
      </c>
      <c r="AK685" s="30">
        <v>42482</v>
      </c>
      <c r="AL685" t="s">
        <v>424</v>
      </c>
      <c r="AM685">
        <v>34</v>
      </c>
      <c r="AN685" t="str">
        <f>VLOOKUP(Transaction[[#This Row],[Model No.]],$AV$2:$BD$100,2,TRUE)</f>
        <v>The Eyrie Vineyards Pinot Gris</v>
      </c>
      <c r="AO685" s="21">
        <f>VLOOKUP(Transaction[[#This Row],[Model No.]],$AV$2:$BD$100,6,TRUE)</f>
        <v>20.99</v>
      </c>
      <c r="AP685" s="9">
        <v>1</v>
      </c>
      <c r="AQ685" s="5">
        <f>Transaction[[#This Row],[Price]]*Transaction[[#This Row],[Qty]]</f>
        <v>20.99</v>
      </c>
      <c r="AR685" s="5">
        <f>VLOOKUP(Transaction[[#This Row],[Model No.]],$AV$2:$BD$100,7,TRUE)*Transaction[[#This Row],[Qty]]</f>
        <v>4.1979999999999995</v>
      </c>
      <c r="AS685">
        <v>1102</v>
      </c>
      <c r="AT685">
        <v>1003</v>
      </c>
    </row>
    <row r="686" spans="36:46" x14ac:dyDescent="0.3">
      <c r="AJ686">
        <v>72118</v>
      </c>
      <c r="AK686" s="30">
        <v>42482</v>
      </c>
      <c r="AL686" t="s">
        <v>1907</v>
      </c>
      <c r="AM686">
        <v>94</v>
      </c>
      <c r="AN686" t="str">
        <f>VLOOKUP(Transaction[[#This Row],[Model No.]],$AV$2:$BD$100,2,TRUE)</f>
        <v>Freixenet Blanc de Blancs Brut Cava Blend</v>
      </c>
      <c r="AO686" s="21">
        <f>VLOOKUP(Transaction[[#This Row],[Model No.]],$AV$2:$BD$100,6,TRUE)</f>
        <v>7.49</v>
      </c>
      <c r="AP686" s="9">
        <v>3</v>
      </c>
      <c r="AQ686" s="5">
        <f>Transaction[[#This Row],[Price]]*Transaction[[#This Row],[Qty]]</f>
        <v>22.47</v>
      </c>
      <c r="AR686" s="5">
        <f>VLOOKUP(Transaction[[#This Row],[Model No.]],$AV$2:$BD$100,7,TRUE)*Transaction[[#This Row],[Qty]]</f>
        <v>2.2470000000000003</v>
      </c>
      <c r="AS686">
        <v>1108</v>
      </c>
      <c r="AT686">
        <v>1020</v>
      </c>
    </row>
    <row r="687" spans="36:46" x14ac:dyDescent="0.3">
      <c r="AJ687">
        <v>38829</v>
      </c>
      <c r="AK687" s="30">
        <v>42484</v>
      </c>
      <c r="AL687" t="s">
        <v>993</v>
      </c>
      <c r="AM687">
        <v>15</v>
      </c>
      <c r="AN687" t="str">
        <f>VLOOKUP(Transaction[[#This Row],[Model No.]],$AV$2:$BD$100,2,TRUE)</f>
        <v>Wild Turkey 101 Kentucky Straight Bourbon Whiskey</v>
      </c>
      <c r="AO687" s="21">
        <f>VLOOKUP(Transaction[[#This Row],[Model No.]],$AV$2:$BD$100,6,TRUE)</f>
        <v>32.99</v>
      </c>
      <c r="AP687" s="9">
        <v>5</v>
      </c>
      <c r="AQ687" s="5">
        <f>Transaction[[#This Row],[Price]]*Transaction[[#This Row],[Qty]]</f>
        <v>164.95000000000002</v>
      </c>
      <c r="AR687" s="5">
        <f>VLOOKUP(Transaction[[#This Row],[Model No.]],$AV$2:$BD$100,7,TRUE)*Transaction[[#This Row],[Qty]]</f>
        <v>32.99</v>
      </c>
      <c r="AS687">
        <v>1103</v>
      </c>
      <c r="AT687">
        <v>1011</v>
      </c>
    </row>
    <row r="688" spans="36:46" x14ac:dyDescent="0.3">
      <c r="AJ688">
        <v>13234</v>
      </c>
      <c r="AK688" s="30">
        <v>42484</v>
      </c>
      <c r="AL688" t="s">
        <v>1571</v>
      </c>
      <c r="AM688">
        <v>44</v>
      </c>
      <c r="AN688" t="str">
        <f>VLOOKUP(Transaction[[#This Row],[Model No.]],$AV$2:$BD$100,2,TRUE)</f>
        <v>Brasserie de Silly Saison - 4 Pack</v>
      </c>
      <c r="AO688" s="21">
        <f>VLOOKUP(Transaction[[#This Row],[Model No.]],$AV$2:$BD$100,6,TRUE)</f>
        <v>16.989999999999998</v>
      </c>
      <c r="AP688" s="9">
        <v>2</v>
      </c>
      <c r="AQ688" s="5">
        <f>Transaction[[#This Row],[Price]]*Transaction[[#This Row],[Qty]]</f>
        <v>33.979999999999997</v>
      </c>
      <c r="AR688" s="5">
        <f>VLOOKUP(Transaction[[#This Row],[Model No.]],$AV$2:$BD$100,7,TRUE)*Transaction[[#This Row],[Qty]]</f>
        <v>10.193999999999999</v>
      </c>
      <c r="AS688">
        <v>1099</v>
      </c>
      <c r="AT688">
        <v>1004</v>
      </c>
    </row>
    <row r="689" spans="36:46" x14ac:dyDescent="0.3">
      <c r="AJ689">
        <v>87855</v>
      </c>
      <c r="AK689" s="30">
        <v>42484</v>
      </c>
      <c r="AL689" t="s">
        <v>1839</v>
      </c>
      <c r="AM689">
        <v>87</v>
      </c>
      <c r="AN689" t="str">
        <f>VLOOKUP(Transaction[[#This Row],[Model No.]],$AV$2:$BD$100,2,TRUE)</f>
        <v>Cruzan 9 Spiced Rum</v>
      </c>
      <c r="AO689" s="21">
        <f>VLOOKUP(Transaction[[#This Row],[Model No.]],$AV$2:$BD$100,6,TRUE)</f>
        <v>9.49</v>
      </c>
      <c r="AP689" s="9">
        <v>4</v>
      </c>
      <c r="AQ689" s="5">
        <f>Transaction[[#This Row],[Price]]*Transaction[[#This Row],[Qty]]</f>
        <v>37.96</v>
      </c>
      <c r="AR689" s="5">
        <f>VLOOKUP(Transaction[[#This Row],[Model No.]],$AV$2:$BD$100,7,TRUE)*Transaction[[#This Row],[Qty]]</f>
        <v>7.5920000000000005</v>
      </c>
      <c r="AS689">
        <v>1107</v>
      </c>
      <c r="AT689">
        <v>1019</v>
      </c>
    </row>
    <row r="690" spans="36:46" x14ac:dyDescent="0.3">
      <c r="AJ690">
        <v>21998</v>
      </c>
      <c r="AK690" s="30">
        <v>42487</v>
      </c>
      <c r="AL690" t="s">
        <v>831</v>
      </c>
      <c r="AM690">
        <v>8</v>
      </c>
      <c r="AN690" t="str">
        <f>VLOOKUP(Transaction[[#This Row],[Model No.]],$AV$2:$BD$100,2,TRUE)</f>
        <v>Roco Marsh Estate Vineyard Pinot Noir</v>
      </c>
      <c r="AO690" s="21">
        <f>VLOOKUP(Transaction[[#This Row],[Model No.]],$AV$2:$BD$100,6,TRUE)</f>
        <v>44.99</v>
      </c>
      <c r="AP690" s="9">
        <v>4</v>
      </c>
      <c r="AQ690" s="5">
        <f>Transaction[[#This Row],[Price]]*Transaction[[#This Row],[Qty]]</f>
        <v>179.96</v>
      </c>
      <c r="AR690" s="5">
        <f>VLOOKUP(Transaction[[#This Row],[Model No.]],$AV$2:$BD$100,7,TRUE)*Transaction[[#This Row],[Qty]]</f>
        <v>17.996000000000002</v>
      </c>
      <c r="AS690">
        <v>1098</v>
      </c>
      <c r="AT690">
        <v>1005</v>
      </c>
    </row>
    <row r="691" spans="36:46" x14ac:dyDescent="0.3">
      <c r="AJ691">
        <v>16680</v>
      </c>
      <c r="AK691" s="30">
        <v>42487</v>
      </c>
      <c r="AL691" t="s">
        <v>558</v>
      </c>
      <c r="AM691">
        <v>44</v>
      </c>
      <c r="AN691" t="str">
        <f>VLOOKUP(Transaction[[#This Row],[Model No.]],$AV$2:$BD$100,2,TRUE)</f>
        <v>Brasserie de Silly Saison - 4 Pack</v>
      </c>
      <c r="AO691" s="21">
        <f>VLOOKUP(Transaction[[#This Row],[Model No.]],$AV$2:$BD$100,6,TRUE)</f>
        <v>16.989999999999998</v>
      </c>
      <c r="AP691" s="9">
        <v>4</v>
      </c>
      <c r="AQ691" s="5">
        <f>Transaction[[#This Row],[Price]]*Transaction[[#This Row],[Qty]]</f>
        <v>67.959999999999994</v>
      </c>
      <c r="AR691" s="5">
        <f>VLOOKUP(Transaction[[#This Row],[Model No.]],$AV$2:$BD$100,7,TRUE)*Transaction[[#This Row],[Qty]]</f>
        <v>20.387999999999998</v>
      </c>
      <c r="AS691">
        <v>1104</v>
      </c>
      <c r="AT691">
        <v>1012</v>
      </c>
    </row>
    <row r="692" spans="36:46" x14ac:dyDescent="0.3">
      <c r="AJ692">
        <v>98740</v>
      </c>
      <c r="AK692" s="30">
        <v>42487</v>
      </c>
      <c r="AL692" t="s">
        <v>1327</v>
      </c>
      <c r="AM692">
        <v>48</v>
      </c>
      <c r="AN692" t="str">
        <f>VLOOKUP(Transaction[[#This Row],[Model No.]],$AV$2:$BD$100,2,TRUE)</f>
        <v>CH TOUR D'AURON</v>
      </c>
      <c r="AO692" s="21">
        <f>VLOOKUP(Transaction[[#This Row],[Model No.]],$AV$2:$BD$100,6,TRUE)</f>
        <v>15.99</v>
      </c>
      <c r="AP692" s="9">
        <v>5</v>
      </c>
      <c r="AQ692" s="5">
        <f>Transaction[[#This Row],[Price]]*Transaction[[#This Row],[Qty]]</f>
        <v>79.95</v>
      </c>
      <c r="AR692" s="5">
        <f>VLOOKUP(Transaction[[#This Row],[Model No.]],$AV$2:$BD$100,7,TRUE)*Transaction[[#This Row],[Qty]]</f>
        <v>31.980000000000004</v>
      </c>
      <c r="AS692">
        <v>1101</v>
      </c>
      <c r="AT692">
        <v>1009</v>
      </c>
    </row>
    <row r="693" spans="36:46" x14ac:dyDescent="0.3">
      <c r="AJ693">
        <v>98997</v>
      </c>
      <c r="AK693" s="30">
        <v>42487</v>
      </c>
      <c r="AL693" t="s">
        <v>1097</v>
      </c>
      <c r="AM693">
        <v>95</v>
      </c>
      <c r="AN693" t="str">
        <f>VLOOKUP(Transaction[[#This Row],[Model No.]],$AV$2:$BD$100,2,TRUE)</f>
        <v>Kuromatsu Hakushika Chokara Extra Dry Sake</v>
      </c>
      <c r="AO693" s="21">
        <f>VLOOKUP(Transaction[[#This Row],[Model No.]],$AV$2:$BD$100,6,TRUE)</f>
        <v>7.49</v>
      </c>
      <c r="AP693" s="9">
        <v>5</v>
      </c>
      <c r="AQ693" s="5">
        <f>Transaction[[#This Row],[Price]]*Transaction[[#This Row],[Qty]]</f>
        <v>37.450000000000003</v>
      </c>
      <c r="AR693" s="5">
        <f>VLOOKUP(Transaction[[#This Row],[Model No.]],$AV$2:$BD$100,7,TRUE)*Transaction[[#This Row],[Qty]]</f>
        <v>3.7450000000000006</v>
      </c>
      <c r="AS693">
        <v>1101</v>
      </c>
      <c r="AT693">
        <v>1013</v>
      </c>
    </row>
    <row r="694" spans="36:46" x14ac:dyDescent="0.3">
      <c r="AJ694">
        <v>68684</v>
      </c>
      <c r="AK694" s="30">
        <v>42488</v>
      </c>
      <c r="AL694" t="s">
        <v>535</v>
      </c>
      <c r="AM694">
        <v>44</v>
      </c>
      <c r="AN694" t="str">
        <f>VLOOKUP(Transaction[[#This Row],[Model No.]],$AV$2:$BD$100,2,TRUE)</f>
        <v>Brasserie de Silly Saison - 4 Pack</v>
      </c>
      <c r="AO694" s="21">
        <f>VLOOKUP(Transaction[[#This Row],[Model No.]],$AV$2:$BD$100,6,TRUE)</f>
        <v>16.989999999999998</v>
      </c>
      <c r="AP694" s="9">
        <v>2</v>
      </c>
      <c r="AQ694" s="5">
        <f>Transaction[[#This Row],[Price]]*Transaction[[#This Row],[Qty]]</f>
        <v>33.979999999999997</v>
      </c>
      <c r="AR694" s="5">
        <f>VLOOKUP(Transaction[[#This Row],[Model No.]],$AV$2:$BD$100,7,TRUE)*Transaction[[#This Row],[Qty]]</f>
        <v>10.193999999999999</v>
      </c>
      <c r="AS694">
        <v>1108</v>
      </c>
      <c r="AT694">
        <v>1002</v>
      </c>
    </row>
    <row r="695" spans="36:46" x14ac:dyDescent="0.3">
      <c r="AJ695">
        <v>64564</v>
      </c>
      <c r="AK695" s="30">
        <v>42490</v>
      </c>
      <c r="AL695" t="s">
        <v>1248</v>
      </c>
      <c r="AM695">
        <v>24</v>
      </c>
      <c r="AN695" t="str">
        <f>VLOOKUP(Transaction[[#This Row],[Model No.]],$AV$2:$BD$100,2,TRUE)</f>
        <v>Matchbook The Arsonist Bordeaux Blend</v>
      </c>
      <c r="AO695" s="21">
        <f>VLOOKUP(Transaction[[#This Row],[Model No.]],$AV$2:$BD$100,6,TRUE)</f>
        <v>24.99</v>
      </c>
      <c r="AP695" s="9">
        <v>1</v>
      </c>
      <c r="AQ695" s="5">
        <f>Transaction[[#This Row],[Price]]*Transaction[[#This Row],[Qty]]</f>
        <v>24.99</v>
      </c>
      <c r="AR695" s="5">
        <f>VLOOKUP(Transaction[[#This Row],[Model No.]],$AV$2:$BD$100,7,TRUE)*Transaction[[#This Row],[Qty]]</f>
        <v>2.4990000000000001</v>
      </c>
      <c r="AS695">
        <v>1107</v>
      </c>
      <c r="AT695">
        <v>1015</v>
      </c>
    </row>
    <row r="696" spans="36:46" x14ac:dyDescent="0.3">
      <c r="AJ696">
        <v>48175</v>
      </c>
      <c r="AK696" s="30">
        <v>42490</v>
      </c>
      <c r="AL696" t="s">
        <v>728</v>
      </c>
      <c r="AM696">
        <v>61</v>
      </c>
      <c r="AN696" t="str">
        <f>VLOOKUP(Transaction[[#This Row],[Model No.]],$AV$2:$BD$100,2,TRUE)</f>
        <v>He'Brew Genesis Dry Hopped Session Ale - 6 Pack</v>
      </c>
      <c r="AO696" s="21">
        <f>VLOOKUP(Transaction[[#This Row],[Model No.]],$AV$2:$BD$100,6,TRUE)</f>
        <v>12.99</v>
      </c>
      <c r="AP696" s="9">
        <v>1</v>
      </c>
      <c r="AQ696" s="5">
        <f>Transaction[[#This Row],[Price]]*Transaction[[#This Row],[Qty]]</f>
        <v>12.99</v>
      </c>
      <c r="AR696" s="5">
        <f>VLOOKUP(Transaction[[#This Row],[Model No.]],$AV$2:$BD$100,7,TRUE)*Transaction[[#This Row],[Qty]]</f>
        <v>3.8969999999999998</v>
      </c>
      <c r="AS696">
        <v>1105</v>
      </c>
      <c r="AT696">
        <v>1007</v>
      </c>
    </row>
    <row r="697" spans="36:46" x14ac:dyDescent="0.3">
      <c r="AJ697">
        <v>32841</v>
      </c>
      <c r="AK697" s="30">
        <v>42490</v>
      </c>
      <c r="AL697" t="s">
        <v>764</v>
      </c>
      <c r="AM697">
        <v>96</v>
      </c>
      <c r="AN697" t="str">
        <f>VLOOKUP(Transaction[[#This Row],[Model No.]],$AV$2:$BD$100,2,TRUE)</f>
        <v>Arbor Mist Blackberry Merlot</v>
      </c>
      <c r="AO697" s="21">
        <f>VLOOKUP(Transaction[[#This Row],[Model No.]],$AV$2:$BD$100,6,TRUE)</f>
        <v>6.19</v>
      </c>
      <c r="AP697" s="9">
        <v>4</v>
      </c>
      <c r="AQ697" s="5">
        <f>Transaction[[#This Row],[Price]]*Transaction[[#This Row],[Qty]]</f>
        <v>24.76</v>
      </c>
      <c r="AR697" s="5">
        <f>VLOOKUP(Transaction[[#This Row],[Model No.]],$AV$2:$BD$100,7,TRUE)*Transaction[[#This Row],[Qty]]</f>
        <v>2.4760000000000004</v>
      </c>
      <c r="AS697">
        <v>1099</v>
      </c>
      <c r="AT697">
        <v>1012</v>
      </c>
    </row>
    <row r="698" spans="36:46" x14ac:dyDescent="0.3">
      <c r="AJ698">
        <v>61468</v>
      </c>
      <c r="AK698" s="30">
        <v>42491</v>
      </c>
      <c r="AL698" t="s">
        <v>613</v>
      </c>
      <c r="AM698">
        <v>41</v>
      </c>
      <c r="AN698" t="str">
        <f>VLOOKUP(Transaction[[#This Row],[Model No.]],$AV$2:$BD$100,2,TRUE)</f>
        <v>Brunellesco Delle Venezie IGT Pinot Grigio</v>
      </c>
      <c r="AO698" s="21">
        <f>VLOOKUP(Transaction[[#This Row],[Model No.]],$AV$2:$BD$100,6,TRUE)</f>
        <v>17.39</v>
      </c>
      <c r="AP698" s="9">
        <v>5</v>
      </c>
      <c r="AQ698" s="5">
        <f>Transaction[[#This Row],[Price]]*Transaction[[#This Row],[Qty]]</f>
        <v>86.95</v>
      </c>
      <c r="AR698" s="5">
        <f>VLOOKUP(Transaction[[#This Row],[Model No.]],$AV$2:$BD$100,7,TRUE)*Transaction[[#This Row],[Qty]]</f>
        <v>8.6950000000000003</v>
      </c>
      <c r="AS698">
        <v>1105</v>
      </c>
      <c r="AT698">
        <v>1012</v>
      </c>
    </row>
    <row r="699" spans="36:46" x14ac:dyDescent="0.3">
      <c r="AJ699">
        <v>29468</v>
      </c>
      <c r="AK699" s="30">
        <v>42494</v>
      </c>
      <c r="AL699" t="s">
        <v>954</v>
      </c>
      <c r="AM699">
        <v>6</v>
      </c>
      <c r="AN699" t="str">
        <f>VLOOKUP(Transaction[[#This Row],[Model No.]],$AV$2:$BD$100,2,TRUE)</f>
        <v>Agricola Punica Barrua Isola Dei Nuraghi IGT Carignan</v>
      </c>
      <c r="AO699" s="21">
        <f>VLOOKUP(Transaction[[#This Row],[Model No.]],$AV$2:$BD$100,6,TRUE)</f>
        <v>46.99</v>
      </c>
      <c r="AP699" s="9">
        <v>5</v>
      </c>
      <c r="AQ699" s="5">
        <f>Transaction[[#This Row],[Price]]*Transaction[[#This Row],[Qty]]</f>
        <v>234.95000000000002</v>
      </c>
      <c r="AR699" s="5">
        <f>VLOOKUP(Transaction[[#This Row],[Model No.]],$AV$2:$BD$100,7,TRUE)*Transaction[[#This Row],[Qty]]</f>
        <v>23.495000000000005</v>
      </c>
      <c r="AS699">
        <v>1098</v>
      </c>
      <c r="AT699">
        <v>1017</v>
      </c>
    </row>
    <row r="700" spans="36:46" x14ac:dyDescent="0.3">
      <c r="AJ700">
        <v>70850</v>
      </c>
      <c r="AK700" s="30">
        <v>42494</v>
      </c>
      <c r="AL700" t="s">
        <v>358</v>
      </c>
      <c r="AM700">
        <v>58</v>
      </c>
      <c r="AN700" t="str">
        <f>VLOOKUP(Transaction[[#This Row],[Model No.]],$AV$2:$BD$100,2,TRUE)</f>
        <v>Smirnoff Mango Vodka</v>
      </c>
      <c r="AO700" s="21">
        <f>VLOOKUP(Transaction[[#This Row],[Model No.]],$AV$2:$BD$100,6,TRUE)</f>
        <v>13.49</v>
      </c>
      <c r="AP700" s="9">
        <v>1</v>
      </c>
      <c r="AQ700" s="5">
        <f>Transaction[[#This Row],[Price]]*Transaction[[#This Row],[Qty]]</f>
        <v>13.49</v>
      </c>
      <c r="AR700" s="5">
        <f>VLOOKUP(Transaction[[#This Row],[Model No.]],$AV$2:$BD$100,7,TRUE)*Transaction[[#This Row],[Qty]]</f>
        <v>4.0469999999999997</v>
      </c>
      <c r="AS700">
        <v>1102</v>
      </c>
      <c r="AT700">
        <v>1011</v>
      </c>
    </row>
    <row r="701" spans="36:46" x14ac:dyDescent="0.3">
      <c r="AJ701">
        <v>42321</v>
      </c>
      <c r="AK701" s="30">
        <v>42495</v>
      </c>
      <c r="AL701" t="s">
        <v>528</v>
      </c>
      <c r="AM701">
        <v>71</v>
      </c>
      <c r="AN701" t="str">
        <f>VLOOKUP(Transaction[[#This Row],[Model No.]],$AV$2:$BD$100,2,TRUE)</f>
        <v>Flo Merlot</v>
      </c>
      <c r="AO701" s="21">
        <f>VLOOKUP(Transaction[[#This Row],[Model No.]],$AV$2:$BD$100,6,TRUE)</f>
        <v>12.49</v>
      </c>
      <c r="AP701" s="9">
        <v>4</v>
      </c>
      <c r="AQ701" s="5">
        <f>Transaction[[#This Row],[Price]]*Transaction[[#This Row],[Qty]]</f>
        <v>49.96</v>
      </c>
      <c r="AR701" s="5">
        <f>VLOOKUP(Transaction[[#This Row],[Model No.]],$AV$2:$BD$100,7,TRUE)*Transaction[[#This Row],[Qty]]</f>
        <v>4.9960000000000004</v>
      </c>
      <c r="AS701">
        <v>1108</v>
      </c>
      <c r="AT701">
        <v>1014</v>
      </c>
    </row>
    <row r="702" spans="36:46" x14ac:dyDescent="0.3">
      <c r="AJ702">
        <v>45777</v>
      </c>
      <c r="AK702" s="30">
        <v>42496</v>
      </c>
      <c r="AL702" t="s">
        <v>1397</v>
      </c>
      <c r="AM702">
        <v>65</v>
      </c>
      <c r="AN702" t="str">
        <f>VLOOKUP(Transaction[[#This Row],[Model No.]],$AV$2:$BD$100,2,TRUE)</f>
        <v>Shipyard Summer Ale - 6 Pack</v>
      </c>
      <c r="AO702" s="21">
        <f>VLOOKUP(Transaction[[#This Row],[Model No.]],$AV$2:$BD$100,6,TRUE)</f>
        <v>12.99</v>
      </c>
      <c r="AP702" s="9">
        <v>2</v>
      </c>
      <c r="AQ702" s="5">
        <f>Transaction[[#This Row],[Price]]*Transaction[[#This Row],[Qty]]</f>
        <v>25.98</v>
      </c>
      <c r="AR702" s="5">
        <f>VLOOKUP(Transaction[[#This Row],[Model No.]],$AV$2:$BD$100,7,TRUE)*Transaction[[#This Row],[Qty]]</f>
        <v>7.7939999999999996</v>
      </c>
      <c r="AS702">
        <v>1107</v>
      </c>
      <c r="AT702">
        <v>1001</v>
      </c>
    </row>
    <row r="703" spans="36:46" x14ac:dyDescent="0.3">
      <c r="AJ703">
        <v>27373</v>
      </c>
      <c r="AK703" s="30">
        <v>42496</v>
      </c>
      <c r="AL703" t="s">
        <v>742</v>
      </c>
      <c r="AM703">
        <v>91</v>
      </c>
      <c r="AN703" t="str">
        <f>VLOOKUP(Transaction[[#This Row],[Model No.]],$AV$2:$BD$100,2,TRUE)</f>
        <v>Rex Goliath Free Range Giant 47 Pound Rooster Merlot</v>
      </c>
      <c r="AO703" s="21">
        <f>VLOOKUP(Transaction[[#This Row],[Model No.]],$AV$2:$BD$100,6,TRUE)</f>
        <v>7.79</v>
      </c>
      <c r="AP703" s="9">
        <v>2</v>
      </c>
      <c r="AQ703" s="5">
        <f>Transaction[[#This Row],[Price]]*Transaction[[#This Row],[Qty]]</f>
        <v>15.58</v>
      </c>
      <c r="AR703" s="5">
        <f>VLOOKUP(Transaction[[#This Row],[Model No.]],$AV$2:$BD$100,7,TRUE)*Transaction[[#This Row],[Qty]]</f>
        <v>1.5580000000000001</v>
      </c>
      <c r="AS703">
        <v>1100</v>
      </c>
      <c r="AT703">
        <v>1010</v>
      </c>
    </row>
    <row r="704" spans="36:46" x14ac:dyDescent="0.3">
      <c r="AJ704">
        <v>97497</v>
      </c>
      <c r="AK704" s="30">
        <v>42496</v>
      </c>
      <c r="AL704" t="s">
        <v>323</v>
      </c>
      <c r="AM704">
        <v>98</v>
      </c>
      <c r="AN704" t="str">
        <f>VLOOKUP(Transaction[[#This Row],[Model No.]],$AV$2:$BD$100,2,TRUE)</f>
        <v>Wychwood Hobgoblin</v>
      </c>
      <c r="AO704" s="21">
        <f>VLOOKUP(Transaction[[#This Row],[Model No.]],$AV$2:$BD$100,6,TRUE)</f>
        <v>5.99</v>
      </c>
      <c r="AP704" s="9">
        <v>3</v>
      </c>
      <c r="AQ704" s="5">
        <f>Transaction[[#This Row],[Price]]*Transaction[[#This Row],[Qty]]</f>
        <v>17.97</v>
      </c>
      <c r="AR704" s="5">
        <f>VLOOKUP(Transaction[[#This Row],[Model No.]],$AV$2:$BD$100,7,TRUE)*Transaction[[#This Row],[Qty]]</f>
        <v>5.391</v>
      </c>
      <c r="AS704">
        <v>1105</v>
      </c>
      <c r="AT704">
        <v>1007</v>
      </c>
    </row>
    <row r="705" spans="36:46" x14ac:dyDescent="0.3">
      <c r="AJ705">
        <v>15074</v>
      </c>
      <c r="AK705" s="30">
        <v>42500</v>
      </c>
      <c r="AL705" t="s">
        <v>1654</v>
      </c>
      <c r="AM705">
        <v>41</v>
      </c>
      <c r="AN705" t="str">
        <f>VLOOKUP(Transaction[[#This Row],[Model No.]],$AV$2:$BD$100,2,TRUE)</f>
        <v>Brunellesco Delle Venezie IGT Pinot Grigio</v>
      </c>
      <c r="AO705" s="21">
        <f>VLOOKUP(Transaction[[#This Row],[Model No.]],$AV$2:$BD$100,6,TRUE)</f>
        <v>17.39</v>
      </c>
      <c r="AP705" s="9">
        <v>5</v>
      </c>
      <c r="AQ705" s="5">
        <f>Transaction[[#This Row],[Price]]*Transaction[[#This Row],[Qty]]</f>
        <v>86.95</v>
      </c>
      <c r="AR705" s="5">
        <f>VLOOKUP(Transaction[[#This Row],[Model No.]],$AV$2:$BD$100,7,TRUE)*Transaction[[#This Row],[Qty]]</f>
        <v>8.6950000000000003</v>
      </c>
      <c r="AS705">
        <v>1103</v>
      </c>
      <c r="AT705">
        <v>1011</v>
      </c>
    </row>
    <row r="706" spans="36:46" x14ac:dyDescent="0.3">
      <c r="AJ706">
        <v>97089</v>
      </c>
      <c r="AK706" s="30">
        <v>42504</v>
      </c>
      <c r="AL706" t="s">
        <v>1844</v>
      </c>
      <c r="AM706">
        <v>4</v>
      </c>
      <c r="AN706" t="str">
        <f>VLOOKUP(Transaction[[#This Row],[Model No.]],$AV$2:$BD$100,2,TRUE)</f>
        <v>Stags' Leap Winery Cabernet Sauvignon</v>
      </c>
      <c r="AO706" s="21">
        <f>VLOOKUP(Transaction[[#This Row],[Model No.]],$AV$2:$BD$100,6,TRUE)</f>
        <v>54.99</v>
      </c>
      <c r="AP706" s="9">
        <v>5</v>
      </c>
      <c r="AQ706" s="5">
        <f>Transaction[[#This Row],[Price]]*Transaction[[#This Row],[Qty]]</f>
        <v>274.95</v>
      </c>
      <c r="AR706" s="5">
        <f>VLOOKUP(Transaction[[#This Row],[Model No.]],$AV$2:$BD$100,7,TRUE)*Transaction[[#This Row],[Qty]]</f>
        <v>27.495000000000005</v>
      </c>
      <c r="AS706">
        <v>1106</v>
      </c>
      <c r="AT706">
        <v>1015</v>
      </c>
    </row>
    <row r="707" spans="36:46" x14ac:dyDescent="0.3">
      <c r="AJ707">
        <v>69104</v>
      </c>
      <c r="AK707" s="30">
        <v>42504</v>
      </c>
      <c r="AL707" t="s">
        <v>1035</v>
      </c>
      <c r="AM707">
        <v>58</v>
      </c>
      <c r="AN707" t="str">
        <f>VLOOKUP(Transaction[[#This Row],[Model No.]],$AV$2:$BD$100,2,TRUE)</f>
        <v>Smirnoff Mango Vodka</v>
      </c>
      <c r="AO707" s="21">
        <f>VLOOKUP(Transaction[[#This Row],[Model No.]],$AV$2:$BD$100,6,TRUE)</f>
        <v>13.49</v>
      </c>
      <c r="AP707" s="9">
        <v>1</v>
      </c>
      <c r="AQ707" s="5">
        <f>Transaction[[#This Row],[Price]]*Transaction[[#This Row],[Qty]]</f>
        <v>13.49</v>
      </c>
      <c r="AR707" s="5">
        <f>VLOOKUP(Transaction[[#This Row],[Model No.]],$AV$2:$BD$100,7,TRUE)*Transaction[[#This Row],[Qty]]</f>
        <v>4.0469999999999997</v>
      </c>
      <c r="AS707">
        <v>1105</v>
      </c>
      <c r="AT707">
        <v>1016</v>
      </c>
    </row>
    <row r="708" spans="36:46" x14ac:dyDescent="0.3">
      <c r="AJ708">
        <v>10870</v>
      </c>
      <c r="AK708" s="30">
        <v>42506</v>
      </c>
      <c r="AL708" t="s">
        <v>1045</v>
      </c>
      <c r="AM708">
        <v>63</v>
      </c>
      <c r="AN708" t="str">
        <f>VLOOKUP(Transaction[[#This Row],[Model No.]],$AV$2:$BD$100,2,TRUE)</f>
        <v>Troegs LaGrave - 4 Pack</v>
      </c>
      <c r="AO708" s="21">
        <f>VLOOKUP(Transaction[[#This Row],[Model No.]],$AV$2:$BD$100,6,TRUE)</f>
        <v>12.99</v>
      </c>
      <c r="AP708" s="9">
        <v>2</v>
      </c>
      <c r="AQ708" s="5">
        <f>Transaction[[#This Row],[Price]]*Transaction[[#This Row],[Qty]]</f>
        <v>25.98</v>
      </c>
      <c r="AR708" s="5">
        <f>VLOOKUP(Transaction[[#This Row],[Model No.]],$AV$2:$BD$100,7,TRUE)*Transaction[[#This Row],[Qty]]</f>
        <v>7.7939999999999996</v>
      </c>
      <c r="AS708">
        <v>1105</v>
      </c>
      <c r="AT708">
        <v>1004</v>
      </c>
    </row>
    <row r="709" spans="36:46" x14ac:dyDescent="0.3">
      <c r="AJ709">
        <v>95948</v>
      </c>
      <c r="AK709" s="30">
        <v>42507</v>
      </c>
      <c r="AL709" t="s">
        <v>1619</v>
      </c>
      <c r="AM709">
        <v>29</v>
      </c>
      <c r="AN709" t="str">
        <f>VLOOKUP(Transaction[[#This Row],[Model No.]],$AV$2:$BD$100,2,TRUE)</f>
        <v>SCHLAFLY STOUT BOUT SAMPLER   2/12 - 12 Pack</v>
      </c>
      <c r="AO709" s="21">
        <f>VLOOKUP(Transaction[[#This Row],[Model No.]],$AV$2:$BD$100,6,TRUE)</f>
        <v>22.99</v>
      </c>
      <c r="AP709" s="9">
        <v>2</v>
      </c>
      <c r="AQ709" s="5">
        <f>Transaction[[#This Row],[Price]]*Transaction[[#This Row],[Qty]]</f>
        <v>45.98</v>
      </c>
      <c r="AR709" s="5">
        <f>VLOOKUP(Transaction[[#This Row],[Model No.]],$AV$2:$BD$100,7,TRUE)*Transaction[[#This Row],[Qty]]</f>
        <v>13.793999999999999</v>
      </c>
      <c r="AS709">
        <v>1108</v>
      </c>
      <c r="AT709">
        <v>1008</v>
      </c>
    </row>
    <row r="710" spans="36:46" x14ac:dyDescent="0.3">
      <c r="AJ710">
        <v>77807</v>
      </c>
      <c r="AK710" s="30">
        <v>42507</v>
      </c>
      <c r="AL710" t="s">
        <v>582</v>
      </c>
      <c r="AM710">
        <v>68</v>
      </c>
      <c r="AN710" t="str">
        <f>VLOOKUP(Transaction[[#This Row],[Model No.]],$AV$2:$BD$100,2,TRUE)</f>
        <v>Conti Beretta Estate Bottled Friuli Grave Pinot Grigio</v>
      </c>
      <c r="AO710" s="21">
        <f>VLOOKUP(Transaction[[#This Row],[Model No.]],$AV$2:$BD$100,6,TRUE)</f>
        <v>12.99</v>
      </c>
      <c r="AP710" s="9">
        <v>1</v>
      </c>
      <c r="AQ710" s="5">
        <f>Transaction[[#This Row],[Price]]*Transaction[[#This Row],[Qty]]</f>
        <v>12.99</v>
      </c>
      <c r="AR710" s="5">
        <f>VLOOKUP(Transaction[[#This Row],[Model No.]],$AV$2:$BD$100,7,TRUE)*Transaction[[#This Row],[Qty]]</f>
        <v>1.2990000000000002</v>
      </c>
      <c r="AS710">
        <v>1106</v>
      </c>
      <c r="AT710">
        <v>1010</v>
      </c>
    </row>
    <row r="711" spans="36:46" x14ac:dyDescent="0.3">
      <c r="AJ711">
        <v>55373</v>
      </c>
      <c r="AK711" s="30">
        <v>42508</v>
      </c>
      <c r="AL711" t="s">
        <v>1278</v>
      </c>
      <c r="AM711">
        <v>78</v>
      </c>
      <c r="AN711" t="str">
        <f>VLOOKUP(Transaction[[#This Row],[Model No.]],$AV$2:$BD$100,2,TRUE)</f>
        <v>Tomasello Winery Blueberry Wine Red Blend</v>
      </c>
      <c r="AO711" s="21">
        <f>VLOOKUP(Transaction[[#This Row],[Model No.]],$AV$2:$BD$100,6,TRUE)</f>
        <v>11.49</v>
      </c>
      <c r="AP711" s="9">
        <v>5</v>
      </c>
      <c r="AQ711" s="5">
        <f>Transaction[[#This Row],[Price]]*Transaction[[#This Row],[Qty]]</f>
        <v>57.45</v>
      </c>
      <c r="AR711" s="5">
        <f>VLOOKUP(Transaction[[#This Row],[Model No.]],$AV$2:$BD$100,7,TRUE)*Transaction[[#This Row],[Qty]]</f>
        <v>5.7450000000000001</v>
      </c>
      <c r="AS711">
        <v>1099</v>
      </c>
      <c r="AT711">
        <v>1003</v>
      </c>
    </row>
    <row r="712" spans="36:46" x14ac:dyDescent="0.3">
      <c r="AJ712">
        <v>29394</v>
      </c>
      <c r="AK712" s="30">
        <v>42510</v>
      </c>
      <c r="AL712" t="s">
        <v>333</v>
      </c>
      <c r="AM712">
        <v>96</v>
      </c>
      <c r="AN712" t="str">
        <f>VLOOKUP(Transaction[[#This Row],[Model No.]],$AV$2:$BD$100,2,TRUE)</f>
        <v>Arbor Mist Blackberry Merlot</v>
      </c>
      <c r="AO712" s="21">
        <f>VLOOKUP(Transaction[[#This Row],[Model No.]],$AV$2:$BD$100,6,TRUE)</f>
        <v>6.19</v>
      </c>
      <c r="AP712" s="9">
        <v>5</v>
      </c>
      <c r="AQ712" s="5">
        <f>Transaction[[#This Row],[Price]]*Transaction[[#This Row],[Qty]]</f>
        <v>30.950000000000003</v>
      </c>
      <c r="AR712" s="5">
        <f>VLOOKUP(Transaction[[#This Row],[Model No.]],$AV$2:$BD$100,7,TRUE)*Transaction[[#This Row],[Qty]]</f>
        <v>3.0950000000000006</v>
      </c>
      <c r="AS712">
        <v>1103</v>
      </c>
      <c r="AT712">
        <v>1001</v>
      </c>
    </row>
    <row r="713" spans="36:46" x14ac:dyDescent="0.3">
      <c r="AJ713">
        <v>38109</v>
      </c>
      <c r="AK713" s="30">
        <v>42512</v>
      </c>
      <c r="AL713" t="s">
        <v>1337</v>
      </c>
      <c r="AM713">
        <v>19</v>
      </c>
      <c r="AN713" t="str">
        <f>VLOOKUP(Transaction[[#This Row],[Model No.]],$AV$2:$BD$100,2,TRUE)</f>
        <v>District Made Vodka</v>
      </c>
      <c r="AO713" s="21">
        <f>VLOOKUP(Transaction[[#This Row],[Model No.]],$AV$2:$BD$100,6,TRUE)</f>
        <v>29.99</v>
      </c>
      <c r="AP713" s="9">
        <v>1</v>
      </c>
      <c r="AQ713" s="5">
        <f>Transaction[[#This Row],[Price]]*Transaction[[#This Row],[Qty]]</f>
        <v>29.99</v>
      </c>
      <c r="AR713" s="5">
        <f>VLOOKUP(Transaction[[#This Row],[Model No.]],$AV$2:$BD$100,7,TRUE)*Transaction[[#This Row],[Qty]]</f>
        <v>8.9969999999999999</v>
      </c>
      <c r="AS713">
        <v>1105</v>
      </c>
      <c r="AT713">
        <v>1004</v>
      </c>
    </row>
    <row r="714" spans="36:46" x14ac:dyDescent="0.3">
      <c r="AJ714">
        <v>35009</v>
      </c>
      <c r="AK714" s="30">
        <v>42512</v>
      </c>
      <c r="AL714" t="s">
        <v>1292</v>
      </c>
      <c r="AM714">
        <v>57</v>
      </c>
      <c r="AN714" t="str">
        <f>VLOOKUP(Transaction[[#This Row],[Model No.]],$AV$2:$BD$100,2,TRUE)</f>
        <v>Familia Dante Twelve Months Oak Aged Toscana IGT Sangiovese</v>
      </c>
      <c r="AO714" s="21">
        <f>VLOOKUP(Transaction[[#This Row],[Model No.]],$AV$2:$BD$100,6,TRUE)</f>
        <v>13.69</v>
      </c>
      <c r="AP714" s="9">
        <v>1</v>
      </c>
      <c r="AQ714" s="5">
        <f>Transaction[[#This Row],[Price]]*Transaction[[#This Row],[Qty]]</f>
        <v>13.69</v>
      </c>
      <c r="AR714" s="5">
        <f>VLOOKUP(Transaction[[#This Row],[Model No.]],$AV$2:$BD$100,7,TRUE)*Transaction[[#This Row],[Qty]]</f>
        <v>1.369</v>
      </c>
      <c r="AS714">
        <v>1107</v>
      </c>
      <c r="AT714">
        <v>1012</v>
      </c>
    </row>
    <row r="715" spans="36:46" x14ac:dyDescent="0.3">
      <c r="AJ715">
        <v>15173</v>
      </c>
      <c r="AK715" s="30">
        <v>42514</v>
      </c>
      <c r="AL715" t="s">
        <v>682</v>
      </c>
      <c r="AM715">
        <v>90</v>
      </c>
      <c r="AN715" t="str">
        <f>VLOOKUP(Transaction[[#This Row],[Model No.]],$AV$2:$BD$100,2,TRUE)</f>
        <v>Carlo Rossi Moscato Sangria Muscat Blanc a Petits Grains</v>
      </c>
      <c r="AO715" s="21">
        <f>VLOOKUP(Transaction[[#This Row],[Model No.]],$AV$2:$BD$100,6,TRUE)</f>
        <v>7.99</v>
      </c>
      <c r="AP715" s="9">
        <v>1</v>
      </c>
      <c r="AQ715" s="5">
        <f>Transaction[[#This Row],[Price]]*Transaction[[#This Row],[Qty]]</f>
        <v>7.99</v>
      </c>
      <c r="AR715" s="5">
        <f>VLOOKUP(Transaction[[#This Row],[Model No.]],$AV$2:$BD$100,7,TRUE)*Transaction[[#This Row],[Qty]]</f>
        <v>1.5980000000000001</v>
      </c>
      <c r="AS715">
        <v>1108</v>
      </c>
      <c r="AT715">
        <v>1004</v>
      </c>
    </row>
    <row r="716" spans="36:46" x14ac:dyDescent="0.3">
      <c r="AJ716">
        <v>96345</v>
      </c>
      <c r="AK716" s="30">
        <v>42515</v>
      </c>
      <c r="AL716" t="s">
        <v>711</v>
      </c>
      <c r="AM716">
        <v>67</v>
      </c>
      <c r="AN716" t="str">
        <f>VLOOKUP(Transaction[[#This Row],[Model No.]],$AV$2:$BD$100,2,TRUE)</f>
        <v>Oh Be Joyful Sweet Deutscher Qualitatswein Dornfelder</v>
      </c>
      <c r="AO716" s="21">
        <f>VLOOKUP(Transaction[[#This Row],[Model No.]],$AV$2:$BD$100,6,TRUE)</f>
        <v>12.99</v>
      </c>
      <c r="AP716" s="9">
        <v>2</v>
      </c>
      <c r="AQ716" s="5">
        <f>Transaction[[#This Row],[Price]]*Transaction[[#This Row],[Qty]]</f>
        <v>25.98</v>
      </c>
      <c r="AR716" s="5">
        <f>VLOOKUP(Transaction[[#This Row],[Model No.]],$AV$2:$BD$100,7,TRUE)*Transaction[[#This Row],[Qty]]</f>
        <v>10.392000000000001</v>
      </c>
      <c r="AS716">
        <v>1108</v>
      </c>
      <c r="AT716">
        <v>1005</v>
      </c>
    </row>
    <row r="717" spans="36:46" x14ac:dyDescent="0.3">
      <c r="AJ717">
        <v>15126</v>
      </c>
      <c r="AK717" s="30">
        <v>42516</v>
      </c>
      <c r="AL717" t="s">
        <v>1607</v>
      </c>
      <c r="AM717">
        <v>66</v>
      </c>
      <c r="AN717" t="str">
        <f>VLOOKUP(Transaction[[#This Row],[Model No.]],$AV$2:$BD$100,2,TRUE)</f>
        <v>Red Horse Beer - 6 Pack</v>
      </c>
      <c r="AO717" s="21">
        <f>VLOOKUP(Transaction[[#This Row],[Model No.]],$AV$2:$BD$100,6,TRUE)</f>
        <v>12.99</v>
      </c>
      <c r="AP717" s="9">
        <v>2</v>
      </c>
      <c r="AQ717" s="5">
        <f>Transaction[[#This Row],[Price]]*Transaction[[#This Row],[Qty]]</f>
        <v>25.98</v>
      </c>
      <c r="AR717" s="5">
        <f>VLOOKUP(Transaction[[#This Row],[Model No.]],$AV$2:$BD$100,7,TRUE)*Transaction[[#This Row],[Qty]]</f>
        <v>7.7939999999999996</v>
      </c>
      <c r="AS717">
        <v>1107</v>
      </c>
      <c r="AT717">
        <v>1005</v>
      </c>
    </row>
    <row r="718" spans="36:46" x14ac:dyDescent="0.3">
      <c r="AJ718">
        <v>17515</v>
      </c>
      <c r="AK718" s="30">
        <v>42518</v>
      </c>
      <c r="AL718" t="s">
        <v>393</v>
      </c>
      <c r="AM718">
        <v>90</v>
      </c>
      <c r="AN718" t="str">
        <f>VLOOKUP(Transaction[[#This Row],[Model No.]],$AV$2:$BD$100,2,TRUE)</f>
        <v>Carlo Rossi Moscato Sangria Muscat Blanc a Petits Grains</v>
      </c>
      <c r="AO718" s="21">
        <f>VLOOKUP(Transaction[[#This Row],[Model No.]],$AV$2:$BD$100,6,TRUE)</f>
        <v>7.99</v>
      </c>
      <c r="AP718" s="9">
        <v>1</v>
      </c>
      <c r="AQ718" s="5">
        <f>Transaction[[#This Row],[Price]]*Transaction[[#This Row],[Qty]]</f>
        <v>7.99</v>
      </c>
      <c r="AR718" s="5">
        <f>VLOOKUP(Transaction[[#This Row],[Model No.]],$AV$2:$BD$100,7,TRUE)*Transaction[[#This Row],[Qty]]</f>
        <v>1.5980000000000001</v>
      </c>
      <c r="AS718">
        <v>1098</v>
      </c>
      <c r="AT718">
        <v>1016</v>
      </c>
    </row>
    <row r="719" spans="36:46" x14ac:dyDescent="0.3">
      <c r="AJ719">
        <v>94999</v>
      </c>
      <c r="AK719" s="30">
        <v>42518</v>
      </c>
      <c r="AL719" t="s">
        <v>926</v>
      </c>
      <c r="AM719">
        <v>96</v>
      </c>
      <c r="AN719" t="str">
        <f>VLOOKUP(Transaction[[#This Row],[Model No.]],$AV$2:$BD$100,2,TRUE)</f>
        <v>Arbor Mist Blackberry Merlot</v>
      </c>
      <c r="AO719" s="21">
        <f>VLOOKUP(Transaction[[#This Row],[Model No.]],$AV$2:$BD$100,6,TRUE)</f>
        <v>6.19</v>
      </c>
      <c r="AP719" s="9">
        <v>3</v>
      </c>
      <c r="AQ719" s="5">
        <f>Transaction[[#This Row],[Price]]*Transaction[[#This Row],[Qty]]</f>
        <v>18.57</v>
      </c>
      <c r="AR719" s="5">
        <f>VLOOKUP(Transaction[[#This Row],[Model No.]],$AV$2:$BD$100,7,TRUE)*Transaction[[#This Row],[Qty]]</f>
        <v>1.8570000000000002</v>
      </c>
      <c r="AS719">
        <v>1107</v>
      </c>
      <c r="AT719">
        <v>1020</v>
      </c>
    </row>
    <row r="720" spans="36:46" x14ac:dyDescent="0.3">
      <c r="AJ720">
        <v>44608</v>
      </c>
      <c r="AK720" s="30">
        <v>42520</v>
      </c>
      <c r="AL720" t="s">
        <v>493</v>
      </c>
      <c r="AM720">
        <v>23</v>
      </c>
      <c r="AN720" t="str">
        <f>VLOOKUP(Transaction[[#This Row],[Model No.]],$AV$2:$BD$100,2,TRUE)</f>
        <v>Brinley Gold Shipwreck Mango Rum</v>
      </c>
      <c r="AO720" s="21">
        <f>VLOOKUP(Transaction[[#This Row],[Model No.]],$AV$2:$BD$100,6,TRUE)</f>
        <v>25.99</v>
      </c>
      <c r="AP720" s="9">
        <v>2</v>
      </c>
      <c r="AQ720" s="5">
        <f>Transaction[[#This Row],[Price]]*Transaction[[#This Row],[Qty]]</f>
        <v>51.98</v>
      </c>
      <c r="AR720" s="5">
        <f>VLOOKUP(Transaction[[#This Row],[Model No.]],$AV$2:$BD$100,7,TRUE)*Transaction[[#This Row],[Qty]]</f>
        <v>10.396000000000001</v>
      </c>
      <c r="AS720">
        <v>1100</v>
      </c>
      <c r="AT720">
        <v>1012</v>
      </c>
    </row>
    <row r="721" spans="36:46" x14ac:dyDescent="0.3">
      <c r="AJ721">
        <v>10722</v>
      </c>
      <c r="AK721" s="30">
        <v>42524</v>
      </c>
      <c r="AL721" t="s">
        <v>538</v>
      </c>
      <c r="AM721">
        <v>33</v>
      </c>
      <c r="AN721" t="str">
        <f>VLOOKUP(Transaction[[#This Row],[Model No.]],$AV$2:$BD$100,2,TRUE)</f>
        <v>Saracina Unoaked Chardonnay</v>
      </c>
      <c r="AO721" s="21">
        <f>VLOOKUP(Transaction[[#This Row],[Model No.]],$AV$2:$BD$100,6,TRUE)</f>
        <v>20.99</v>
      </c>
      <c r="AP721" s="9">
        <v>4</v>
      </c>
      <c r="AQ721" s="5">
        <f>Transaction[[#This Row],[Price]]*Transaction[[#This Row],[Qty]]</f>
        <v>83.96</v>
      </c>
      <c r="AR721" s="5">
        <f>VLOOKUP(Transaction[[#This Row],[Model No.]],$AV$2:$BD$100,7,TRUE)*Transaction[[#This Row],[Qty]]</f>
        <v>16.791999999999998</v>
      </c>
      <c r="AS721">
        <v>1100</v>
      </c>
      <c r="AT721">
        <v>1003</v>
      </c>
    </row>
    <row r="722" spans="36:46" x14ac:dyDescent="0.3">
      <c r="AJ722">
        <v>18913</v>
      </c>
      <c r="AK722" s="30">
        <v>42526</v>
      </c>
      <c r="AL722" t="s">
        <v>1329</v>
      </c>
      <c r="AM722">
        <v>67</v>
      </c>
      <c r="AN722" t="str">
        <f>VLOOKUP(Transaction[[#This Row],[Model No.]],$AV$2:$BD$100,2,TRUE)</f>
        <v>Oh Be Joyful Sweet Deutscher Qualitatswein Dornfelder</v>
      </c>
      <c r="AO722" s="21">
        <f>VLOOKUP(Transaction[[#This Row],[Model No.]],$AV$2:$BD$100,6,TRUE)</f>
        <v>12.99</v>
      </c>
      <c r="AP722" s="9">
        <v>4</v>
      </c>
      <c r="AQ722" s="5">
        <f>Transaction[[#This Row],[Price]]*Transaction[[#This Row],[Qty]]</f>
        <v>51.96</v>
      </c>
      <c r="AR722" s="5">
        <f>VLOOKUP(Transaction[[#This Row],[Model No.]],$AV$2:$BD$100,7,TRUE)*Transaction[[#This Row],[Qty]]</f>
        <v>20.784000000000002</v>
      </c>
      <c r="AS722">
        <v>1102</v>
      </c>
      <c r="AT722">
        <v>1021</v>
      </c>
    </row>
    <row r="723" spans="36:46" x14ac:dyDescent="0.3">
      <c r="AJ723">
        <v>78776</v>
      </c>
      <c r="AK723" s="30">
        <v>42529</v>
      </c>
      <c r="AL723" t="s">
        <v>721</v>
      </c>
      <c r="AM723">
        <v>11</v>
      </c>
      <c r="AN723" t="str">
        <f>VLOOKUP(Transaction[[#This Row],[Model No.]],$AV$2:$BD$100,2,TRUE)</f>
        <v>Kurant 1852 Crystal Limited Edition Vodka</v>
      </c>
      <c r="AO723" s="21">
        <f>VLOOKUP(Transaction[[#This Row],[Model No.]],$AV$2:$BD$100,6,TRUE)</f>
        <v>40.99</v>
      </c>
      <c r="AP723" s="9">
        <v>1</v>
      </c>
      <c r="AQ723" s="5">
        <f>Transaction[[#This Row],[Price]]*Transaction[[#This Row],[Qty]]</f>
        <v>40.99</v>
      </c>
      <c r="AR723" s="5">
        <f>VLOOKUP(Transaction[[#This Row],[Model No.]],$AV$2:$BD$100,7,TRUE)*Transaction[[#This Row],[Qty]]</f>
        <v>12.297000000000001</v>
      </c>
      <c r="AS723">
        <v>1103</v>
      </c>
      <c r="AT723">
        <v>1014</v>
      </c>
    </row>
    <row r="724" spans="36:46" x14ac:dyDescent="0.3">
      <c r="AJ724">
        <v>34173</v>
      </c>
      <c r="AK724" s="30">
        <v>42531</v>
      </c>
      <c r="AL724" t="s">
        <v>881</v>
      </c>
      <c r="AM724">
        <v>63</v>
      </c>
      <c r="AN724" t="str">
        <f>VLOOKUP(Transaction[[#This Row],[Model No.]],$AV$2:$BD$100,2,TRUE)</f>
        <v>Troegs LaGrave - 4 Pack</v>
      </c>
      <c r="AO724" s="21">
        <f>VLOOKUP(Transaction[[#This Row],[Model No.]],$AV$2:$BD$100,6,TRUE)</f>
        <v>12.99</v>
      </c>
      <c r="AP724" s="9">
        <v>4</v>
      </c>
      <c r="AQ724" s="5">
        <f>Transaction[[#This Row],[Price]]*Transaction[[#This Row],[Qty]]</f>
        <v>51.96</v>
      </c>
      <c r="AR724" s="5">
        <f>VLOOKUP(Transaction[[#This Row],[Model No.]],$AV$2:$BD$100,7,TRUE)*Transaction[[#This Row],[Qty]]</f>
        <v>15.587999999999999</v>
      </c>
      <c r="AS724">
        <v>1100</v>
      </c>
      <c r="AT724">
        <v>1000</v>
      </c>
    </row>
    <row r="725" spans="36:46" x14ac:dyDescent="0.3">
      <c r="AJ725">
        <v>18555</v>
      </c>
      <c r="AK725" s="30">
        <v>42532</v>
      </c>
      <c r="AL725" t="s">
        <v>734</v>
      </c>
      <c r="AM725">
        <v>48</v>
      </c>
      <c r="AN725" t="str">
        <f>VLOOKUP(Transaction[[#This Row],[Model No.]],$AV$2:$BD$100,2,TRUE)</f>
        <v>CH TOUR D'AURON</v>
      </c>
      <c r="AO725" s="21">
        <f>VLOOKUP(Transaction[[#This Row],[Model No.]],$AV$2:$BD$100,6,TRUE)</f>
        <v>15.99</v>
      </c>
      <c r="AP725" s="9">
        <v>1</v>
      </c>
      <c r="AQ725" s="5">
        <f>Transaction[[#This Row],[Price]]*Transaction[[#This Row],[Qty]]</f>
        <v>15.99</v>
      </c>
      <c r="AR725" s="5">
        <f>VLOOKUP(Transaction[[#This Row],[Model No.]],$AV$2:$BD$100,7,TRUE)*Transaction[[#This Row],[Qty]]</f>
        <v>6.3960000000000008</v>
      </c>
      <c r="AS725">
        <v>1107</v>
      </c>
      <c r="AT725">
        <v>1004</v>
      </c>
    </row>
    <row r="726" spans="36:46" x14ac:dyDescent="0.3">
      <c r="AJ726">
        <v>78110</v>
      </c>
      <c r="AK726" s="30">
        <v>42532</v>
      </c>
      <c r="AL726" t="s">
        <v>1171</v>
      </c>
      <c r="AM726">
        <v>54</v>
      </c>
      <c r="AN726" t="str">
        <f>VLOOKUP(Transaction[[#This Row],[Model No.]],$AV$2:$BD$100,2,TRUE)</f>
        <v>Pucker Cherry Tease Vodka</v>
      </c>
      <c r="AO726" s="21">
        <f>VLOOKUP(Transaction[[#This Row],[Model No.]],$AV$2:$BD$100,6,TRUE)</f>
        <v>14.99</v>
      </c>
      <c r="AP726" s="9">
        <v>2</v>
      </c>
      <c r="AQ726" s="5">
        <f>Transaction[[#This Row],[Price]]*Transaction[[#This Row],[Qty]]</f>
        <v>29.98</v>
      </c>
      <c r="AR726" s="5">
        <f>VLOOKUP(Transaction[[#This Row],[Model No.]],$AV$2:$BD$100,7,TRUE)*Transaction[[#This Row],[Qty]]</f>
        <v>8.9939999999999998</v>
      </c>
      <c r="AS726">
        <v>1105</v>
      </c>
      <c r="AT726">
        <v>1010</v>
      </c>
    </row>
    <row r="727" spans="36:46" x14ac:dyDescent="0.3">
      <c r="AJ727">
        <v>35023</v>
      </c>
      <c r="AK727" s="30">
        <v>42532</v>
      </c>
      <c r="AL727" t="s">
        <v>1690</v>
      </c>
      <c r="AM727">
        <v>63</v>
      </c>
      <c r="AN727" t="str">
        <f>VLOOKUP(Transaction[[#This Row],[Model No.]],$AV$2:$BD$100,2,TRUE)</f>
        <v>Troegs LaGrave - 4 Pack</v>
      </c>
      <c r="AO727" s="21">
        <f>VLOOKUP(Transaction[[#This Row],[Model No.]],$AV$2:$BD$100,6,TRUE)</f>
        <v>12.99</v>
      </c>
      <c r="AP727" s="9">
        <v>2</v>
      </c>
      <c r="AQ727" s="5">
        <f>Transaction[[#This Row],[Price]]*Transaction[[#This Row],[Qty]]</f>
        <v>25.98</v>
      </c>
      <c r="AR727" s="5">
        <f>VLOOKUP(Transaction[[#This Row],[Model No.]],$AV$2:$BD$100,7,TRUE)*Transaction[[#This Row],[Qty]]</f>
        <v>7.7939999999999996</v>
      </c>
      <c r="AS727">
        <v>1103</v>
      </c>
      <c r="AT727">
        <v>1013</v>
      </c>
    </row>
    <row r="728" spans="36:46" x14ac:dyDescent="0.3">
      <c r="AJ728">
        <v>42560</v>
      </c>
      <c r="AK728" s="30">
        <v>42534</v>
      </c>
      <c r="AL728" t="s">
        <v>1597</v>
      </c>
      <c r="AM728">
        <v>68</v>
      </c>
      <c r="AN728" t="str">
        <f>VLOOKUP(Transaction[[#This Row],[Model No.]],$AV$2:$BD$100,2,TRUE)</f>
        <v>Conti Beretta Estate Bottled Friuli Grave Pinot Grigio</v>
      </c>
      <c r="AO728" s="21">
        <f>VLOOKUP(Transaction[[#This Row],[Model No.]],$AV$2:$BD$100,6,TRUE)</f>
        <v>12.99</v>
      </c>
      <c r="AP728" s="9">
        <v>3</v>
      </c>
      <c r="AQ728" s="5">
        <f>Transaction[[#This Row],[Price]]*Transaction[[#This Row],[Qty]]</f>
        <v>38.97</v>
      </c>
      <c r="AR728" s="5">
        <f>VLOOKUP(Transaction[[#This Row],[Model No.]],$AV$2:$BD$100,7,TRUE)*Transaction[[#This Row],[Qty]]</f>
        <v>3.8970000000000002</v>
      </c>
      <c r="AS728">
        <v>1098</v>
      </c>
      <c r="AT728">
        <v>1016</v>
      </c>
    </row>
    <row r="729" spans="36:46" x14ac:dyDescent="0.3">
      <c r="AJ729">
        <v>99462</v>
      </c>
      <c r="AK729" s="30">
        <v>42534</v>
      </c>
      <c r="AL729" t="s">
        <v>508</v>
      </c>
      <c r="AM729">
        <v>92</v>
      </c>
      <c r="AN729" t="str">
        <f>VLOOKUP(Transaction[[#This Row],[Model No.]],$AV$2:$BD$100,2,TRUE)</f>
        <v>Four Seasons Collection Late Harvest White Moscato Dessert Muscat</v>
      </c>
      <c r="AO729" s="21">
        <f>VLOOKUP(Transaction[[#This Row],[Model No.]],$AV$2:$BD$100,6,TRUE)</f>
        <v>7.69</v>
      </c>
      <c r="AP729" s="9">
        <v>5</v>
      </c>
      <c r="AQ729" s="5">
        <f>Transaction[[#This Row],[Price]]*Transaction[[#This Row],[Qty]]</f>
        <v>38.450000000000003</v>
      </c>
      <c r="AR729" s="5">
        <f>VLOOKUP(Transaction[[#This Row],[Model No.]],$AV$2:$BD$100,7,TRUE)*Transaction[[#This Row],[Qty]]</f>
        <v>3.8450000000000006</v>
      </c>
      <c r="AS729">
        <v>1106</v>
      </c>
      <c r="AT729">
        <v>1013</v>
      </c>
    </row>
    <row r="730" spans="36:46" x14ac:dyDescent="0.3">
      <c r="AJ730">
        <v>93826</v>
      </c>
      <c r="AK730" s="30">
        <v>42535</v>
      </c>
      <c r="AL730" t="s">
        <v>1290</v>
      </c>
      <c r="AM730">
        <v>34</v>
      </c>
      <c r="AN730" t="str">
        <f>VLOOKUP(Transaction[[#This Row],[Model No.]],$AV$2:$BD$100,2,TRUE)</f>
        <v>The Eyrie Vineyards Pinot Gris</v>
      </c>
      <c r="AO730" s="21">
        <f>VLOOKUP(Transaction[[#This Row],[Model No.]],$AV$2:$BD$100,6,TRUE)</f>
        <v>20.99</v>
      </c>
      <c r="AP730" s="9">
        <v>5</v>
      </c>
      <c r="AQ730" s="5">
        <f>Transaction[[#This Row],[Price]]*Transaction[[#This Row],[Qty]]</f>
        <v>104.94999999999999</v>
      </c>
      <c r="AR730" s="5">
        <f>VLOOKUP(Transaction[[#This Row],[Model No.]],$AV$2:$BD$100,7,TRUE)*Transaction[[#This Row],[Qty]]</f>
        <v>20.99</v>
      </c>
      <c r="AS730">
        <v>1105</v>
      </c>
      <c r="AT730">
        <v>1010</v>
      </c>
    </row>
    <row r="731" spans="36:46" x14ac:dyDescent="0.3">
      <c r="AJ731">
        <v>29255</v>
      </c>
      <c r="AK731" s="30">
        <v>42535</v>
      </c>
      <c r="AL731" t="s">
        <v>1365</v>
      </c>
      <c r="AM731">
        <v>82</v>
      </c>
      <c r="AN731" t="str">
        <f>VLOOKUP(Transaction[[#This Row],[Model No.]],$AV$2:$BD$100,2,TRUE)</f>
        <v>PInnacle Chocolate Whipped Vodka</v>
      </c>
      <c r="AO731" s="21">
        <f>VLOOKUP(Transaction[[#This Row],[Model No.]],$AV$2:$BD$100,6,TRUE)</f>
        <v>10.99</v>
      </c>
      <c r="AP731" s="9">
        <v>1</v>
      </c>
      <c r="AQ731" s="5">
        <f>Transaction[[#This Row],[Price]]*Transaction[[#This Row],[Qty]]</f>
        <v>10.99</v>
      </c>
      <c r="AR731" s="5">
        <f>VLOOKUP(Transaction[[#This Row],[Model No.]],$AV$2:$BD$100,7,TRUE)*Transaction[[#This Row],[Qty]]</f>
        <v>3.2970000000000002</v>
      </c>
      <c r="AS731">
        <v>1099</v>
      </c>
      <c r="AT731">
        <v>1018</v>
      </c>
    </row>
    <row r="732" spans="36:46" x14ac:dyDescent="0.3">
      <c r="AJ732">
        <v>81123</v>
      </c>
      <c r="AK732" s="30">
        <v>42535</v>
      </c>
      <c r="AL732" t="s">
        <v>487</v>
      </c>
      <c r="AM732">
        <v>85</v>
      </c>
      <c r="AN732" t="str">
        <f>VLOOKUP(Transaction[[#This Row],[Model No.]],$AV$2:$BD$100,2,TRUE)</f>
        <v>Shiner Sea Salt &amp; Lime - 6 Pack</v>
      </c>
      <c r="AO732" s="21">
        <f>VLOOKUP(Transaction[[#This Row],[Model No.]],$AV$2:$BD$100,6,TRUE)</f>
        <v>9.99</v>
      </c>
      <c r="AP732" s="9">
        <v>5</v>
      </c>
      <c r="AQ732" s="5">
        <f>Transaction[[#This Row],[Price]]*Transaction[[#This Row],[Qty]]</f>
        <v>49.95</v>
      </c>
      <c r="AR732" s="5">
        <f>VLOOKUP(Transaction[[#This Row],[Model No.]],$AV$2:$BD$100,7,TRUE)*Transaction[[#This Row],[Qty]]</f>
        <v>14.984999999999999</v>
      </c>
      <c r="AS732">
        <v>1105</v>
      </c>
      <c r="AT732">
        <v>1000</v>
      </c>
    </row>
    <row r="733" spans="36:46" x14ac:dyDescent="0.3">
      <c r="AJ733">
        <v>71682</v>
      </c>
      <c r="AK733" s="30">
        <v>42536</v>
      </c>
      <c r="AL733" t="s">
        <v>324</v>
      </c>
      <c r="AM733">
        <v>91</v>
      </c>
      <c r="AN733" t="str">
        <f>VLOOKUP(Transaction[[#This Row],[Model No.]],$AV$2:$BD$100,2,TRUE)</f>
        <v>Rex Goliath Free Range Giant 47 Pound Rooster Merlot</v>
      </c>
      <c r="AO733" s="21">
        <f>VLOOKUP(Transaction[[#This Row],[Model No.]],$AV$2:$BD$100,6,TRUE)</f>
        <v>7.79</v>
      </c>
      <c r="AP733" s="9">
        <v>1</v>
      </c>
      <c r="AQ733" s="5">
        <f>Transaction[[#This Row],[Price]]*Transaction[[#This Row],[Qty]]</f>
        <v>7.79</v>
      </c>
      <c r="AR733" s="5">
        <f>VLOOKUP(Transaction[[#This Row],[Model No.]],$AV$2:$BD$100,7,TRUE)*Transaction[[#This Row],[Qty]]</f>
        <v>0.77900000000000003</v>
      </c>
      <c r="AS733">
        <v>1107</v>
      </c>
      <c r="AT733">
        <v>1018</v>
      </c>
    </row>
    <row r="734" spans="36:46" x14ac:dyDescent="0.3">
      <c r="AJ734">
        <v>10579</v>
      </c>
      <c r="AK734" s="30">
        <v>42540</v>
      </c>
      <c r="AL734" t="s">
        <v>1361</v>
      </c>
      <c r="AM734">
        <v>21</v>
      </c>
      <c r="AN734" t="str">
        <f>VLOOKUP(Transaction[[#This Row],[Model No.]],$AV$2:$BD$100,2,TRUE)</f>
        <v>Adelsheim Ribbon Springs Auxerrois</v>
      </c>
      <c r="AO734" s="21">
        <f>VLOOKUP(Transaction[[#This Row],[Model No.]],$AV$2:$BD$100,6,TRUE)</f>
        <v>25.99</v>
      </c>
      <c r="AP734" s="9">
        <v>5</v>
      </c>
      <c r="AQ734" s="5">
        <f>Transaction[[#This Row],[Price]]*Transaction[[#This Row],[Qty]]</f>
        <v>129.94999999999999</v>
      </c>
      <c r="AR734" s="5">
        <f>VLOOKUP(Transaction[[#This Row],[Model No.]],$AV$2:$BD$100,7,TRUE)*Transaction[[#This Row],[Qty]]</f>
        <v>12.995000000000001</v>
      </c>
      <c r="AS734">
        <v>1104</v>
      </c>
      <c r="AT734">
        <v>1021</v>
      </c>
    </row>
    <row r="735" spans="36:46" x14ac:dyDescent="0.3">
      <c r="AJ735">
        <v>55857</v>
      </c>
      <c r="AK735" s="30">
        <v>42541</v>
      </c>
      <c r="AL735" t="s">
        <v>1354</v>
      </c>
      <c r="AM735">
        <v>62</v>
      </c>
      <c r="AN735" t="str">
        <f>VLOOKUP(Transaction[[#This Row],[Model No.]],$AV$2:$BD$100,2,TRUE)</f>
        <v>Beerlao Dark Lager - 6 Pack</v>
      </c>
      <c r="AO735" s="21">
        <f>VLOOKUP(Transaction[[#This Row],[Model No.]],$AV$2:$BD$100,6,TRUE)</f>
        <v>12.99</v>
      </c>
      <c r="AP735" s="9">
        <v>4</v>
      </c>
      <c r="AQ735" s="5">
        <f>Transaction[[#This Row],[Price]]*Transaction[[#This Row],[Qty]]</f>
        <v>51.96</v>
      </c>
      <c r="AR735" s="5">
        <f>VLOOKUP(Transaction[[#This Row],[Model No.]],$AV$2:$BD$100,7,TRUE)*Transaction[[#This Row],[Qty]]</f>
        <v>15.587999999999999</v>
      </c>
      <c r="AS735">
        <v>1103</v>
      </c>
      <c r="AT735">
        <v>1006</v>
      </c>
    </row>
    <row r="736" spans="36:46" x14ac:dyDescent="0.3">
      <c r="AJ736">
        <v>62983</v>
      </c>
      <c r="AK736" s="30">
        <v>42542</v>
      </c>
      <c r="AL736" t="s">
        <v>1650</v>
      </c>
      <c r="AM736">
        <v>2</v>
      </c>
      <c r="AN736" t="str">
        <f>VLOOKUP(Transaction[[#This Row],[Model No.]],$AV$2:$BD$100,2,TRUE)</f>
        <v>Grand Marnier Cuvee 1880 Liqueur</v>
      </c>
      <c r="AO736" s="21">
        <f>VLOOKUP(Transaction[[#This Row],[Model No.]],$AV$2:$BD$100,6,TRUE)</f>
        <v>286.99</v>
      </c>
      <c r="AP736" s="9">
        <v>1</v>
      </c>
      <c r="AQ736" s="5">
        <f>Transaction[[#This Row],[Price]]*Transaction[[#This Row],[Qty]]</f>
        <v>286.99</v>
      </c>
      <c r="AR736" s="5">
        <f>VLOOKUP(Transaction[[#This Row],[Model No.]],$AV$2:$BD$100,7,TRUE)*Transaction[[#This Row],[Qty]]</f>
        <v>86.096999999999994</v>
      </c>
      <c r="AS736">
        <v>1108</v>
      </c>
      <c r="AT736">
        <v>1019</v>
      </c>
    </row>
    <row r="737" spans="36:46" x14ac:dyDescent="0.3">
      <c r="AJ737">
        <v>23961</v>
      </c>
      <c r="AK737" s="30">
        <v>42543</v>
      </c>
      <c r="AL737" t="s">
        <v>1863</v>
      </c>
      <c r="AM737">
        <v>93</v>
      </c>
      <c r="AN737" t="str">
        <f>VLOOKUP(Transaction[[#This Row],[Model No.]],$AV$2:$BD$100,2,TRUE)</f>
        <v>Beringer Vineyards Stone Cellars Shiraz</v>
      </c>
      <c r="AO737" s="21">
        <f>VLOOKUP(Transaction[[#This Row],[Model No.]],$AV$2:$BD$100,6,TRUE)</f>
        <v>7.49</v>
      </c>
      <c r="AP737" s="9">
        <v>2</v>
      </c>
      <c r="AQ737" s="5">
        <f>Transaction[[#This Row],[Price]]*Transaction[[#This Row],[Qty]]</f>
        <v>14.98</v>
      </c>
      <c r="AR737" s="5">
        <f>VLOOKUP(Transaction[[#This Row],[Model No.]],$AV$2:$BD$100,7,TRUE)*Transaction[[#This Row],[Qty]]</f>
        <v>1.4980000000000002</v>
      </c>
      <c r="AS737">
        <v>1098</v>
      </c>
      <c r="AT737">
        <v>1016</v>
      </c>
    </row>
    <row r="738" spans="36:46" x14ac:dyDescent="0.3">
      <c r="AJ738">
        <v>65688</v>
      </c>
      <c r="AK738" s="30">
        <v>42547</v>
      </c>
      <c r="AL738" t="s">
        <v>737</v>
      </c>
      <c r="AM738">
        <v>16</v>
      </c>
      <c r="AN738" t="str">
        <f>VLOOKUP(Transaction[[#This Row],[Model No.]],$AV$2:$BD$100,2,TRUE)</f>
        <v>Hitachino Nest Red Rice Ale - 6 Pack</v>
      </c>
      <c r="AO738" s="21">
        <f>VLOOKUP(Transaction[[#This Row],[Model No.]],$AV$2:$BD$100,6,TRUE)</f>
        <v>31.99</v>
      </c>
      <c r="AP738" s="9">
        <v>2</v>
      </c>
      <c r="AQ738" s="5">
        <f>Transaction[[#This Row],[Price]]*Transaction[[#This Row],[Qty]]</f>
        <v>63.98</v>
      </c>
      <c r="AR738" s="5">
        <f>VLOOKUP(Transaction[[#This Row],[Model No.]],$AV$2:$BD$100,7,TRUE)*Transaction[[#This Row],[Qty]]</f>
        <v>19.193999999999999</v>
      </c>
      <c r="AS738">
        <v>1103</v>
      </c>
      <c r="AT738">
        <v>1008</v>
      </c>
    </row>
    <row r="739" spans="36:46" x14ac:dyDescent="0.3">
      <c r="AJ739">
        <v>10461</v>
      </c>
      <c r="AK739" s="30">
        <v>42549</v>
      </c>
      <c r="AL739" t="s">
        <v>1076</v>
      </c>
      <c r="AM739">
        <v>27</v>
      </c>
      <c r="AN739" t="str">
        <f>VLOOKUP(Transaction[[#This Row],[Model No.]],$AV$2:$BD$100,2,TRUE)</f>
        <v>Prairie Organic Gin</v>
      </c>
      <c r="AO739" s="21">
        <f>VLOOKUP(Transaction[[#This Row],[Model No.]],$AV$2:$BD$100,6,TRUE)</f>
        <v>23.99</v>
      </c>
      <c r="AP739" s="9">
        <v>1</v>
      </c>
      <c r="AQ739" s="5">
        <f>Transaction[[#This Row],[Price]]*Transaction[[#This Row],[Qty]]</f>
        <v>23.99</v>
      </c>
      <c r="AR739" s="5">
        <f>VLOOKUP(Transaction[[#This Row],[Model No.]],$AV$2:$BD$100,7,TRUE)*Transaction[[#This Row],[Qty]]</f>
        <v>9.5960000000000001</v>
      </c>
      <c r="AS739">
        <v>1102</v>
      </c>
      <c r="AT739">
        <v>1009</v>
      </c>
    </row>
    <row r="740" spans="36:46" x14ac:dyDescent="0.3">
      <c r="AJ740">
        <v>74011</v>
      </c>
      <c r="AK740" s="30">
        <v>42550</v>
      </c>
      <c r="AL740" t="s">
        <v>1799</v>
      </c>
      <c r="AM740">
        <v>2</v>
      </c>
      <c r="AN740" t="str">
        <f>VLOOKUP(Transaction[[#This Row],[Model No.]],$AV$2:$BD$100,2,TRUE)</f>
        <v>Grand Marnier Cuvee 1880 Liqueur</v>
      </c>
      <c r="AO740" s="21">
        <f>VLOOKUP(Transaction[[#This Row],[Model No.]],$AV$2:$BD$100,6,TRUE)</f>
        <v>286.99</v>
      </c>
      <c r="AP740" s="9">
        <v>1</v>
      </c>
      <c r="AQ740" s="5">
        <f>Transaction[[#This Row],[Price]]*Transaction[[#This Row],[Qty]]</f>
        <v>286.99</v>
      </c>
      <c r="AR740" s="5">
        <f>VLOOKUP(Transaction[[#This Row],[Model No.]],$AV$2:$BD$100,7,TRUE)*Transaction[[#This Row],[Qty]]</f>
        <v>86.096999999999994</v>
      </c>
      <c r="AS740">
        <v>1102</v>
      </c>
      <c r="AT740">
        <v>1011</v>
      </c>
    </row>
    <row r="741" spans="36:46" x14ac:dyDescent="0.3">
      <c r="AJ741">
        <v>98704</v>
      </c>
      <c r="AK741" s="30">
        <v>42551</v>
      </c>
      <c r="AL741" t="s">
        <v>525</v>
      </c>
      <c r="AM741">
        <v>37</v>
      </c>
      <c r="AN741" t="str">
        <f>VLOOKUP(Transaction[[#This Row],[Model No.]],$AV$2:$BD$100,2,TRUE)</f>
        <v>Francis Ford Coppola Diamond Collection Black Label Pavilion Chardonnay</v>
      </c>
      <c r="AO741" s="21">
        <f>VLOOKUP(Transaction[[#This Row],[Model No.]],$AV$2:$BD$100,6,TRUE)</f>
        <v>19.989999999999998</v>
      </c>
      <c r="AP741" s="9">
        <v>4</v>
      </c>
      <c r="AQ741" s="5">
        <f>Transaction[[#This Row],[Price]]*Transaction[[#This Row],[Qty]]</f>
        <v>79.959999999999994</v>
      </c>
      <c r="AR741" s="5">
        <f>VLOOKUP(Transaction[[#This Row],[Model No.]],$AV$2:$BD$100,7,TRUE)*Transaction[[#This Row],[Qty]]</f>
        <v>7.9959999999999996</v>
      </c>
      <c r="AS741">
        <v>1101</v>
      </c>
      <c r="AT741">
        <v>1013</v>
      </c>
    </row>
    <row r="742" spans="36:46" x14ac:dyDescent="0.3">
      <c r="AJ742">
        <v>69195</v>
      </c>
      <c r="AK742" s="30">
        <v>42551</v>
      </c>
      <c r="AL742" t="s">
        <v>1006</v>
      </c>
      <c r="AM742">
        <v>40</v>
      </c>
      <c r="AN742" t="str">
        <f>VLOOKUP(Transaction[[#This Row],[Model No.]],$AV$2:$BD$100,2,TRUE)</f>
        <v>Takara Can Chu Hi JPop Grapefruit - 6 Pack</v>
      </c>
      <c r="AO742" s="21">
        <f>VLOOKUP(Transaction[[#This Row],[Model No.]],$AV$2:$BD$100,6,TRUE)</f>
        <v>17.989999999999998</v>
      </c>
      <c r="AP742" s="9">
        <v>3</v>
      </c>
      <c r="AQ742" s="5">
        <f>Transaction[[#This Row],[Price]]*Transaction[[#This Row],[Qty]]</f>
        <v>53.97</v>
      </c>
      <c r="AR742" s="5">
        <f>VLOOKUP(Transaction[[#This Row],[Model No.]],$AV$2:$BD$100,7,TRUE)*Transaction[[#This Row],[Qty]]</f>
        <v>16.190999999999999</v>
      </c>
      <c r="AS742">
        <v>1099</v>
      </c>
      <c r="AT742">
        <v>1009</v>
      </c>
    </row>
    <row r="743" spans="36:46" x14ac:dyDescent="0.3">
      <c r="AJ743">
        <v>97095</v>
      </c>
      <c r="AK743" s="30">
        <v>42552</v>
      </c>
      <c r="AL743" t="s">
        <v>1443</v>
      </c>
      <c r="AM743">
        <v>30</v>
      </c>
      <c r="AN743" t="str">
        <f>VLOOKUP(Transaction[[#This Row],[Model No.]],$AV$2:$BD$100,2,TRUE)</f>
        <v>Kahlua Cinnamon Spice Liqueur</v>
      </c>
      <c r="AO743" s="21">
        <f>VLOOKUP(Transaction[[#This Row],[Model No.]],$AV$2:$BD$100,6,TRUE)</f>
        <v>22.99</v>
      </c>
      <c r="AP743" s="9">
        <v>3</v>
      </c>
      <c r="AQ743" s="5">
        <f>Transaction[[#This Row],[Price]]*Transaction[[#This Row],[Qty]]</f>
        <v>68.97</v>
      </c>
      <c r="AR743" s="5">
        <f>VLOOKUP(Transaction[[#This Row],[Model No.]],$AV$2:$BD$100,7,TRUE)*Transaction[[#This Row],[Qty]]</f>
        <v>20.690999999999999</v>
      </c>
      <c r="AS743">
        <v>1107</v>
      </c>
      <c r="AT743">
        <v>1013</v>
      </c>
    </row>
    <row r="744" spans="36:46" x14ac:dyDescent="0.3">
      <c r="AJ744">
        <v>21015</v>
      </c>
      <c r="AK744" s="30">
        <v>42554</v>
      </c>
      <c r="AL744" t="s">
        <v>1835</v>
      </c>
      <c r="AM744">
        <v>20</v>
      </c>
      <c r="AN744" t="str">
        <f>VLOOKUP(Transaction[[#This Row],[Model No.]],$AV$2:$BD$100,2,TRUE)</f>
        <v>Stonewall American Rum</v>
      </c>
      <c r="AO744" s="21">
        <f>VLOOKUP(Transaction[[#This Row],[Model No.]],$AV$2:$BD$100,6,TRUE)</f>
        <v>27.99</v>
      </c>
      <c r="AP744" s="9">
        <v>3</v>
      </c>
      <c r="AQ744" s="5">
        <f>Transaction[[#This Row],[Price]]*Transaction[[#This Row],[Qty]]</f>
        <v>83.97</v>
      </c>
      <c r="AR744" s="5">
        <f>VLOOKUP(Transaction[[#This Row],[Model No.]],$AV$2:$BD$100,7,TRUE)*Transaction[[#This Row],[Qty]]</f>
        <v>16.794</v>
      </c>
      <c r="AS744">
        <v>1108</v>
      </c>
      <c r="AT744">
        <v>1002</v>
      </c>
    </row>
    <row r="745" spans="36:46" x14ac:dyDescent="0.3">
      <c r="AJ745">
        <v>46505</v>
      </c>
      <c r="AK745" s="30">
        <v>42555</v>
      </c>
      <c r="AL745" t="s">
        <v>1843</v>
      </c>
      <c r="AM745">
        <v>62</v>
      </c>
      <c r="AN745" t="str">
        <f>VLOOKUP(Transaction[[#This Row],[Model No.]],$AV$2:$BD$100,2,TRUE)</f>
        <v>Beerlao Dark Lager - 6 Pack</v>
      </c>
      <c r="AO745" s="21">
        <f>VLOOKUP(Transaction[[#This Row],[Model No.]],$AV$2:$BD$100,6,TRUE)</f>
        <v>12.99</v>
      </c>
      <c r="AP745" s="9">
        <v>5</v>
      </c>
      <c r="AQ745" s="5">
        <f>Transaction[[#This Row],[Price]]*Transaction[[#This Row],[Qty]]</f>
        <v>64.95</v>
      </c>
      <c r="AR745" s="5">
        <f>VLOOKUP(Transaction[[#This Row],[Model No.]],$AV$2:$BD$100,7,TRUE)*Transaction[[#This Row],[Qty]]</f>
        <v>19.484999999999999</v>
      </c>
      <c r="AS745">
        <v>1107</v>
      </c>
      <c r="AT745">
        <v>1011</v>
      </c>
    </row>
    <row r="746" spans="36:46" x14ac:dyDescent="0.3">
      <c r="AJ746">
        <v>61836</v>
      </c>
      <c r="AK746" s="30">
        <v>42556</v>
      </c>
      <c r="AL746" t="s">
        <v>483</v>
      </c>
      <c r="AM746">
        <v>91</v>
      </c>
      <c r="AN746" t="str">
        <f>VLOOKUP(Transaction[[#This Row],[Model No.]],$AV$2:$BD$100,2,TRUE)</f>
        <v>Rex Goliath Free Range Giant 47 Pound Rooster Merlot</v>
      </c>
      <c r="AO746" s="21">
        <f>VLOOKUP(Transaction[[#This Row],[Model No.]],$AV$2:$BD$100,6,TRUE)</f>
        <v>7.79</v>
      </c>
      <c r="AP746" s="9">
        <v>2</v>
      </c>
      <c r="AQ746" s="5">
        <f>Transaction[[#This Row],[Price]]*Transaction[[#This Row],[Qty]]</f>
        <v>15.58</v>
      </c>
      <c r="AR746" s="5">
        <f>VLOOKUP(Transaction[[#This Row],[Model No.]],$AV$2:$BD$100,7,TRUE)*Transaction[[#This Row],[Qty]]</f>
        <v>1.5580000000000001</v>
      </c>
      <c r="AS746">
        <v>1103</v>
      </c>
      <c r="AT746">
        <v>1002</v>
      </c>
    </row>
    <row r="747" spans="36:46" x14ac:dyDescent="0.3">
      <c r="AJ747">
        <v>34727</v>
      </c>
      <c r="AK747" s="30">
        <v>42559</v>
      </c>
      <c r="AL747" t="s">
        <v>1429</v>
      </c>
      <c r="AM747">
        <v>66</v>
      </c>
      <c r="AN747" t="str">
        <f>VLOOKUP(Transaction[[#This Row],[Model No.]],$AV$2:$BD$100,2,TRUE)</f>
        <v>Red Horse Beer - 6 Pack</v>
      </c>
      <c r="AO747" s="21">
        <f>VLOOKUP(Transaction[[#This Row],[Model No.]],$AV$2:$BD$100,6,TRUE)</f>
        <v>12.99</v>
      </c>
      <c r="AP747" s="9">
        <v>1</v>
      </c>
      <c r="AQ747" s="5">
        <f>Transaction[[#This Row],[Price]]*Transaction[[#This Row],[Qty]]</f>
        <v>12.99</v>
      </c>
      <c r="AR747" s="5">
        <f>VLOOKUP(Transaction[[#This Row],[Model No.]],$AV$2:$BD$100,7,TRUE)*Transaction[[#This Row],[Qty]]</f>
        <v>3.8969999999999998</v>
      </c>
      <c r="AS747">
        <v>1106</v>
      </c>
      <c r="AT747">
        <v>1021</v>
      </c>
    </row>
    <row r="748" spans="36:46" x14ac:dyDescent="0.3">
      <c r="AJ748">
        <v>79447</v>
      </c>
      <c r="AK748" s="30">
        <v>42560</v>
      </c>
      <c r="AL748" t="s">
        <v>1363</v>
      </c>
      <c r="AM748">
        <v>16</v>
      </c>
      <c r="AN748" t="str">
        <f>VLOOKUP(Transaction[[#This Row],[Model No.]],$AV$2:$BD$100,2,TRUE)</f>
        <v>Hitachino Nest Red Rice Ale - 6 Pack</v>
      </c>
      <c r="AO748" s="21">
        <f>VLOOKUP(Transaction[[#This Row],[Model No.]],$AV$2:$BD$100,6,TRUE)</f>
        <v>31.99</v>
      </c>
      <c r="AP748" s="9">
        <v>1</v>
      </c>
      <c r="AQ748" s="5">
        <f>Transaction[[#This Row],[Price]]*Transaction[[#This Row],[Qty]]</f>
        <v>31.99</v>
      </c>
      <c r="AR748" s="5">
        <f>VLOOKUP(Transaction[[#This Row],[Model No.]],$AV$2:$BD$100,7,TRUE)*Transaction[[#This Row],[Qty]]</f>
        <v>9.5969999999999995</v>
      </c>
      <c r="AS748">
        <v>1101</v>
      </c>
      <c r="AT748">
        <v>1012</v>
      </c>
    </row>
    <row r="749" spans="36:46" x14ac:dyDescent="0.3">
      <c r="AJ749">
        <v>92904</v>
      </c>
      <c r="AK749" s="30">
        <v>42562</v>
      </c>
      <c r="AL749" t="s">
        <v>1815</v>
      </c>
      <c r="AM749">
        <v>46</v>
      </c>
      <c r="AN749" t="str">
        <f>VLOOKUP(Transaction[[#This Row],[Model No.]],$AV$2:$BD$100,2,TRUE)</f>
        <v>Label 5 Classic Black Blended Scotch Whisky</v>
      </c>
      <c r="AO749" s="21">
        <f>VLOOKUP(Transaction[[#This Row],[Model No.]],$AV$2:$BD$100,6,TRUE)</f>
        <v>15.99</v>
      </c>
      <c r="AP749" s="9">
        <v>1</v>
      </c>
      <c r="AQ749" s="5">
        <f>Transaction[[#This Row],[Price]]*Transaction[[#This Row],[Qty]]</f>
        <v>15.99</v>
      </c>
      <c r="AR749" s="5">
        <f>VLOOKUP(Transaction[[#This Row],[Model No.]],$AV$2:$BD$100,7,TRUE)*Transaction[[#This Row],[Qty]]</f>
        <v>3.1980000000000004</v>
      </c>
      <c r="AS749">
        <v>1098</v>
      </c>
      <c r="AT749">
        <v>1014</v>
      </c>
    </row>
    <row r="750" spans="36:46" x14ac:dyDescent="0.3">
      <c r="AJ750">
        <v>49972</v>
      </c>
      <c r="AK750" s="30">
        <v>42566</v>
      </c>
      <c r="AL750" t="s">
        <v>1332</v>
      </c>
      <c r="AM750">
        <v>5</v>
      </c>
      <c r="AN750" t="str">
        <f>VLOOKUP(Transaction[[#This Row],[Model No.]],$AV$2:$BD$100,2,TRUE)</f>
        <v>Old Forester 1897 Bottled in Bond Kentucky Straight Bourbon Whisky</v>
      </c>
      <c r="AO750" s="21">
        <f>VLOOKUP(Transaction[[#This Row],[Model No.]],$AV$2:$BD$100,6,TRUE)</f>
        <v>46.99</v>
      </c>
      <c r="AP750" s="9">
        <v>2</v>
      </c>
      <c r="AQ750" s="5">
        <f>Transaction[[#This Row],[Price]]*Transaction[[#This Row],[Qty]]</f>
        <v>93.98</v>
      </c>
      <c r="AR750" s="5">
        <f>VLOOKUP(Transaction[[#This Row],[Model No.]],$AV$2:$BD$100,7,TRUE)*Transaction[[#This Row],[Qty]]</f>
        <v>18.796000000000003</v>
      </c>
      <c r="AS750">
        <v>1102</v>
      </c>
      <c r="AT750">
        <v>1010</v>
      </c>
    </row>
    <row r="751" spans="36:46" x14ac:dyDescent="0.3">
      <c r="AJ751">
        <v>53065</v>
      </c>
      <c r="AK751" s="30">
        <v>42566</v>
      </c>
      <c r="AL751" t="s">
        <v>418</v>
      </c>
      <c r="AM751">
        <v>5</v>
      </c>
      <c r="AN751" t="str">
        <f>VLOOKUP(Transaction[[#This Row],[Model No.]],$AV$2:$BD$100,2,TRUE)</f>
        <v>Old Forester 1897 Bottled in Bond Kentucky Straight Bourbon Whisky</v>
      </c>
      <c r="AO751" s="21">
        <f>VLOOKUP(Transaction[[#This Row],[Model No.]],$AV$2:$BD$100,6,TRUE)</f>
        <v>46.99</v>
      </c>
      <c r="AP751" s="9">
        <v>3</v>
      </c>
      <c r="AQ751" s="5">
        <f>Transaction[[#This Row],[Price]]*Transaction[[#This Row],[Qty]]</f>
        <v>140.97</v>
      </c>
      <c r="AR751" s="5">
        <f>VLOOKUP(Transaction[[#This Row],[Model No.]],$AV$2:$BD$100,7,TRUE)*Transaction[[#This Row],[Qty]]</f>
        <v>28.194000000000003</v>
      </c>
      <c r="AS751">
        <v>1100</v>
      </c>
      <c r="AT751">
        <v>1021</v>
      </c>
    </row>
    <row r="752" spans="36:46" x14ac:dyDescent="0.3">
      <c r="AJ752">
        <v>73201</v>
      </c>
      <c r="AK752" s="30">
        <v>42571</v>
      </c>
      <c r="AL752" t="s">
        <v>408</v>
      </c>
      <c r="AM752">
        <v>17</v>
      </c>
      <c r="AN752" t="str">
        <f>VLOOKUP(Transaction[[#This Row],[Model No.]],$AV$2:$BD$100,2,TRUE)</f>
        <v>Miller Lite Can - 24 Pack</v>
      </c>
      <c r="AO752" s="21">
        <f>VLOOKUP(Transaction[[#This Row],[Model No.]],$AV$2:$BD$100,6,TRUE)</f>
        <v>30.99</v>
      </c>
      <c r="AP752" s="9">
        <v>4</v>
      </c>
      <c r="AQ752" s="5">
        <f>Transaction[[#This Row],[Price]]*Transaction[[#This Row],[Qty]]</f>
        <v>123.96</v>
      </c>
      <c r="AR752" s="5">
        <f>VLOOKUP(Transaction[[#This Row],[Model No.]],$AV$2:$BD$100,7,TRUE)*Transaction[[#This Row],[Qty]]</f>
        <v>37.187999999999995</v>
      </c>
      <c r="AS752">
        <v>1107</v>
      </c>
      <c r="AT752">
        <v>1004</v>
      </c>
    </row>
    <row r="753" spans="36:46" x14ac:dyDescent="0.3">
      <c r="AJ753">
        <v>23026</v>
      </c>
      <c r="AK753" s="30">
        <v>42572</v>
      </c>
      <c r="AL753" t="s">
        <v>1691</v>
      </c>
      <c r="AM753">
        <v>16</v>
      </c>
      <c r="AN753" t="str">
        <f>VLOOKUP(Transaction[[#This Row],[Model No.]],$AV$2:$BD$100,2,TRUE)</f>
        <v>Hitachino Nest Red Rice Ale - 6 Pack</v>
      </c>
      <c r="AO753" s="21">
        <f>VLOOKUP(Transaction[[#This Row],[Model No.]],$AV$2:$BD$100,6,TRUE)</f>
        <v>31.99</v>
      </c>
      <c r="AP753" s="9">
        <v>4</v>
      </c>
      <c r="AQ753" s="5">
        <f>Transaction[[#This Row],[Price]]*Transaction[[#This Row],[Qty]]</f>
        <v>127.96</v>
      </c>
      <c r="AR753" s="5">
        <f>VLOOKUP(Transaction[[#This Row],[Model No.]],$AV$2:$BD$100,7,TRUE)*Transaction[[#This Row],[Qty]]</f>
        <v>38.387999999999998</v>
      </c>
      <c r="AS753">
        <v>1102</v>
      </c>
      <c r="AT753">
        <v>1011</v>
      </c>
    </row>
    <row r="754" spans="36:46" x14ac:dyDescent="0.3">
      <c r="AJ754">
        <v>47690</v>
      </c>
      <c r="AK754" s="30">
        <v>42572</v>
      </c>
      <c r="AL754" t="s">
        <v>1596</v>
      </c>
      <c r="AM754">
        <v>30</v>
      </c>
      <c r="AN754" t="str">
        <f>VLOOKUP(Transaction[[#This Row],[Model No.]],$AV$2:$BD$100,2,TRUE)</f>
        <v>Kahlua Cinnamon Spice Liqueur</v>
      </c>
      <c r="AO754" s="21">
        <f>VLOOKUP(Transaction[[#This Row],[Model No.]],$AV$2:$BD$100,6,TRUE)</f>
        <v>22.99</v>
      </c>
      <c r="AP754" s="9">
        <v>5</v>
      </c>
      <c r="AQ754" s="5">
        <f>Transaction[[#This Row],[Price]]*Transaction[[#This Row],[Qty]]</f>
        <v>114.94999999999999</v>
      </c>
      <c r="AR754" s="5">
        <f>VLOOKUP(Transaction[[#This Row],[Model No.]],$AV$2:$BD$100,7,TRUE)*Transaction[[#This Row],[Qty]]</f>
        <v>34.484999999999999</v>
      </c>
      <c r="AS754">
        <v>1100</v>
      </c>
      <c r="AT754">
        <v>1007</v>
      </c>
    </row>
    <row r="755" spans="36:46" x14ac:dyDescent="0.3">
      <c r="AJ755">
        <v>80116</v>
      </c>
      <c r="AK755" s="30">
        <v>42576</v>
      </c>
      <c r="AL755" t="s">
        <v>785</v>
      </c>
      <c r="AM755">
        <v>3</v>
      </c>
      <c r="AN755" t="str">
        <f>VLOOKUP(Transaction[[#This Row],[Model No.]],$AV$2:$BD$100,2,TRUE)</f>
        <v>Compass Box Orangerie Scotch Whisky</v>
      </c>
      <c r="AO755" s="21">
        <f>VLOOKUP(Transaction[[#This Row],[Model No.]],$AV$2:$BD$100,6,TRUE)</f>
        <v>56.99</v>
      </c>
      <c r="AP755" s="9">
        <v>4</v>
      </c>
      <c r="AQ755" s="5">
        <f>Transaction[[#This Row],[Price]]*Transaction[[#This Row],[Qty]]</f>
        <v>227.96</v>
      </c>
      <c r="AR755" s="5">
        <f>VLOOKUP(Transaction[[#This Row],[Model No.]],$AV$2:$BD$100,7,TRUE)*Transaction[[#This Row],[Qty]]</f>
        <v>68.388000000000005</v>
      </c>
      <c r="AS755">
        <v>1099</v>
      </c>
      <c r="AT755">
        <v>1018</v>
      </c>
    </row>
    <row r="756" spans="36:46" x14ac:dyDescent="0.3">
      <c r="AJ756">
        <v>30428</v>
      </c>
      <c r="AK756" s="30">
        <v>42579</v>
      </c>
      <c r="AL756" t="s">
        <v>1189</v>
      </c>
      <c r="AM756">
        <v>31</v>
      </c>
      <c r="AN756" t="str">
        <f>VLOOKUP(Transaction[[#This Row],[Model No.]],$AV$2:$BD$100,2,TRUE)</f>
        <v>Gulden Draak 9000 Quadruple - 4 Pack</v>
      </c>
      <c r="AO756" s="21">
        <f>VLOOKUP(Transaction[[#This Row],[Model No.]],$AV$2:$BD$100,6,TRUE)</f>
        <v>21.99</v>
      </c>
      <c r="AP756" s="9">
        <v>1</v>
      </c>
      <c r="AQ756" s="5">
        <f>Transaction[[#This Row],[Price]]*Transaction[[#This Row],[Qty]]</f>
        <v>21.99</v>
      </c>
      <c r="AR756" s="5">
        <f>VLOOKUP(Transaction[[#This Row],[Model No.]],$AV$2:$BD$100,7,TRUE)*Transaction[[#This Row],[Qty]]</f>
        <v>6.5969999999999995</v>
      </c>
      <c r="AS756">
        <v>1103</v>
      </c>
      <c r="AT756">
        <v>1008</v>
      </c>
    </row>
    <row r="757" spans="36:46" x14ac:dyDescent="0.3">
      <c r="AJ757">
        <v>37325</v>
      </c>
      <c r="AK757" s="30">
        <v>42580</v>
      </c>
      <c r="AL757" t="s">
        <v>462</v>
      </c>
      <c r="AM757">
        <v>43</v>
      </c>
      <c r="AN757" t="str">
        <f>VLOOKUP(Transaction[[#This Row],[Model No.]],$AV$2:$BD$100,2,TRUE)</f>
        <v>Green Flash Le Freak - 4 Pack</v>
      </c>
      <c r="AO757" s="21">
        <f>VLOOKUP(Transaction[[#This Row],[Model No.]],$AV$2:$BD$100,6,TRUE)</f>
        <v>16.989999999999998</v>
      </c>
      <c r="AP757" s="9">
        <v>4</v>
      </c>
      <c r="AQ757" s="5">
        <f>Transaction[[#This Row],[Price]]*Transaction[[#This Row],[Qty]]</f>
        <v>67.959999999999994</v>
      </c>
      <c r="AR757" s="5">
        <f>VLOOKUP(Transaction[[#This Row],[Model No.]],$AV$2:$BD$100,7,TRUE)*Transaction[[#This Row],[Qty]]</f>
        <v>20.387999999999998</v>
      </c>
      <c r="AS757">
        <v>1101</v>
      </c>
      <c r="AT757">
        <v>1011</v>
      </c>
    </row>
    <row r="758" spans="36:46" x14ac:dyDescent="0.3">
      <c r="AJ758">
        <v>21376</v>
      </c>
      <c r="AK758" s="30">
        <v>42582</v>
      </c>
      <c r="AL758" t="s">
        <v>374</v>
      </c>
      <c r="AM758">
        <v>23</v>
      </c>
      <c r="AN758" t="str">
        <f>VLOOKUP(Transaction[[#This Row],[Model No.]],$AV$2:$BD$100,2,TRUE)</f>
        <v>Brinley Gold Shipwreck Mango Rum</v>
      </c>
      <c r="AO758" s="21">
        <f>VLOOKUP(Transaction[[#This Row],[Model No.]],$AV$2:$BD$100,6,TRUE)</f>
        <v>25.99</v>
      </c>
      <c r="AP758" s="9">
        <v>2</v>
      </c>
      <c r="AQ758" s="5">
        <f>Transaction[[#This Row],[Price]]*Transaction[[#This Row],[Qty]]</f>
        <v>51.98</v>
      </c>
      <c r="AR758" s="5">
        <f>VLOOKUP(Transaction[[#This Row],[Model No.]],$AV$2:$BD$100,7,TRUE)*Transaction[[#This Row],[Qty]]</f>
        <v>10.396000000000001</v>
      </c>
      <c r="AS758">
        <v>1099</v>
      </c>
      <c r="AT758">
        <v>1014</v>
      </c>
    </row>
    <row r="759" spans="36:46" x14ac:dyDescent="0.3">
      <c r="AJ759">
        <v>76845</v>
      </c>
      <c r="AK759" s="30">
        <v>42583</v>
      </c>
      <c r="AL759" t="s">
        <v>1593</v>
      </c>
      <c r="AM759">
        <v>95</v>
      </c>
      <c r="AN759" t="str">
        <f>VLOOKUP(Transaction[[#This Row],[Model No.]],$AV$2:$BD$100,2,TRUE)</f>
        <v>Kuromatsu Hakushika Chokara Extra Dry Sake</v>
      </c>
      <c r="AO759" s="21">
        <f>VLOOKUP(Transaction[[#This Row],[Model No.]],$AV$2:$BD$100,6,TRUE)</f>
        <v>7.49</v>
      </c>
      <c r="AP759" s="9">
        <v>3</v>
      </c>
      <c r="AQ759" s="5">
        <f>Transaction[[#This Row],[Price]]*Transaction[[#This Row],[Qty]]</f>
        <v>22.47</v>
      </c>
      <c r="AR759" s="5">
        <f>VLOOKUP(Transaction[[#This Row],[Model No.]],$AV$2:$BD$100,7,TRUE)*Transaction[[#This Row],[Qty]]</f>
        <v>2.2470000000000003</v>
      </c>
      <c r="AS759">
        <v>1104</v>
      </c>
      <c r="AT759">
        <v>1003</v>
      </c>
    </row>
    <row r="760" spans="36:46" x14ac:dyDescent="0.3">
      <c r="AJ760">
        <v>87028</v>
      </c>
      <c r="AK760" s="30">
        <v>42584</v>
      </c>
      <c r="AL760" t="s">
        <v>1182</v>
      </c>
      <c r="AM760">
        <v>57</v>
      </c>
      <c r="AN760" t="str">
        <f>VLOOKUP(Transaction[[#This Row],[Model No.]],$AV$2:$BD$100,2,TRUE)</f>
        <v>Familia Dante Twelve Months Oak Aged Toscana IGT Sangiovese</v>
      </c>
      <c r="AO760" s="21">
        <f>VLOOKUP(Transaction[[#This Row],[Model No.]],$AV$2:$BD$100,6,TRUE)</f>
        <v>13.69</v>
      </c>
      <c r="AP760" s="9">
        <v>2</v>
      </c>
      <c r="AQ760" s="5">
        <f>Transaction[[#This Row],[Price]]*Transaction[[#This Row],[Qty]]</f>
        <v>27.38</v>
      </c>
      <c r="AR760" s="5">
        <f>VLOOKUP(Transaction[[#This Row],[Model No.]],$AV$2:$BD$100,7,TRUE)*Transaction[[#This Row],[Qty]]</f>
        <v>2.738</v>
      </c>
      <c r="AS760">
        <v>1104</v>
      </c>
      <c r="AT760">
        <v>1002</v>
      </c>
    </row>
    <row r="761" spans="36:46" x14ac:dyDescent="0.3">
      <c r="AJ761">
        <v>46728</v>
      </c>
      <c r="AK761" s="30">
        <v>42585</v>
      </c>
      <c r="AL761" t="s">
        <v>1280</v>
      </c>
      <c r="AM761">
        <v>4</v>
      </c>
      <c r="AN761" t="str">
        <f>VLOOKUP(Transaction[[#This Row],[Model No.]],$AV$2:$BD$100,2,TRUE)</f>
        <v>Stags' Leap Winery Cabernet Sauvignon</v>
      </c>
      <c r="AO761" s="21">
        <f>VLOOKUP(Transaction[[#This Row],[Model No.]],$AV$2:$BD$100,6,TRUE)</f>
        <v>54.99</v>
      </c>
      <c r="AP761" s="9">
        <v>4</v>
      </c>
      <c r="AQ761" s="5">
        <f>Transaction[[#This Row],[Price]]*Transaction[[#This Row],[Qty]]</f>
        <v>219.96</v>
      </c>
      <c r="AR761" s="5">
        <f>VLOOKUP(Transaction[[#This Row],[Model No.]],$AV$2:$BD$100,7,TRUE)*Transaction[[#This Row],[Qty]]</f>
        <v>21.996000000000002</v>
      </c>
      <c r="AS761">
        <v>1103</v>
      </c>
      <c r="AT761">
        <v>1015</v>
      </c>
    </row>
    <row r="762" spans="36:46" x14ac:dyDescent="0.3">
      <c r="AJ762">
        <v>18704</v>
      </c>
      <c r="AK762" s="30">
        <v>42585</v>
      </c>
      <c r="AL762" t="s">
        <v>547</v>
      </c>
      <c r="AM762">
        <v>5</v>
      </c>
      <c r="AN762" t="str">
        <f>VLOOKUP(Transaction[[#This Row],[Model No.]],$AV$2:$BD$100,2,TRUE)</f>
        <v>Old Forester 1897 Bottled in Bond Kentucky Straight Bourbon Whisky</v>
      </c>
      <c r="AO762" s="21">
        <f>VLOOKUP(Transaction[[#This Row],[Model No.]],$AV$2:$BD$100,6,TRUE)</f>
        <v>46.99</v>
      </c>
      <c r="AP762" s="9">
        <v>3</v>
      </c>
      <c r="AQ762" s="5">
        <f>Transaction[[#This Row],[Price]]*Transaction[[#This Row],[Qty]]</f>
        <v>140.97</v>
      </c>
      <c r="AR762" s="5">
        <f>VLOOKUP(Transaction[[#This Row],[Model No.]],$AV$2:$BD$100,7,TRUE)*Transaction[[#This Row],[Qty]]</f>
        <v>28.194000000000003</v>
      </c>
      <c r="AS762">
        <v>1104</v>
      </c>
      <c r="AT762">
        <v>1017</v>
      </c>
    </row>
    <row r="763" spans="36:46" x14ac:dyDescent="0.3">
      <c r="AJ763">
        <v>15087</v>
      </c>
      <c r="AK763" s="30">
        <v>42586</v>
      </c>
      <c r="AL763" t="s">
        <v>1709</v>
      </c>
      <c r="AM763">
        <v>62</v>
      </c>
      <c r="AN763" t="str">
        <f>VLOOKUP(Transaction[[#This Row],[Model No.]],$AV$2:$BD$100,2,TRUE)</f>
        <v>Beerlao Dark Lager - 6 Pack</v>
      </c>
      <c r="AO763" s="21">
        <f>VLOOKUP(Transaction[[#This Row],[Model No.]],$AV$2:$BD$100,6,TRUE)</f>
        <v>12.99</v>
      </c>
      <c r="AP763" s="9">
        <v>4</v>
      </c>
      <c r="AQ763" s="5">
        <f>Transaction[[#This Row],[Price]]*Transaction[[#This Row],[Qty]]</f>
        <v>51.96</v>
      </c>
      <c r="AR763" s="5">
        <f>VLOOKUP(Transaction[[#This Row],[Model No.]],$AV$2:$BD$100,7,TRUE)*Transaction[[#This Row],[Qty]]</f>
        <v>15.587999999999999</v>
      </c>
      <c r="AS763">
        <v>1100</v>
      </c>
      <c r="AT763">
        <v>1017</v>
      </c>
    </row>
    <row r="764" spans="36:46" x14ac:dyDescent="0.3">
      <c r="AJ764">
        <v>47059</v>
      </c>
      <c r="AK764" s="30">
        <v>42588</v>
      </c>
      <c r="AL764" t="s">
        <v>996</v>
      </c>
      <c r="AM764">
        <v>21</v>
      </c>
      <c r="AN764" t="str">
        <f>VLOOKUP(Transaction[[#This Row],[Model No.]],$AV$2:$BD$100,2,TRUE)</f>
        <v>Adelsheim Ribbon Springs Auxerrois</v>
      </c>
      <c r="AO764" s="21">
        <f>VLOOKUP(Transaction[[#This Row],[Model No.]],$AV$2:$BD$100,6,TRUE)</f>
        <v>25.99</v>
      </c>
      <c r="AP764" s="9">
        <v>1</v>
      </c>
      <c r="AQ764" s="5">
        <f>Transaction[[#This Row],[Price]]*Transaction[[#This Row],[Qty]]</f>
        <v>25.99</v>
      </c>
      <c r="AR764" s="5">
        <f>VLOOKUP(Transaction[[#This Row],[Model No.]],$AV$2:$BD$100,7,TRUE)*Transaction[[#This Row],[Qty]]</f>
        <v>2.5990000000000002</v>
      </c>
      <c r="AS764">
        <v>1101</v>
      </c>
      <c r="AT764">
        <v>1013</v>
      </c>
    </row>
    <row r="765" spans="36:46" x14ac:dyDescent="0.3">
      <c r="AJ765">
        <v>54294</v>
      </c>
      <c r="AK765" s="30">
        <v>42588</v>
      </c>
      <c r="AL765" t="s">
        <v>1845</v>
      </c>
      <c r="AM765">
        <v>43</v>
      </c>
      <c r="AN765" t="str">
        <f>VLOOKUP(Transaction[[#This Row],[Model No.]],$AV$2:$BD$100,2,TRUE)</f>
        <v>Green Flash Le Freak - 4 Pack</v>
      </c>
      <c r="AO765" s="21">
        <f>VLOOKUP(Transaction[[#This Row],[Model No.]],$AV$2:$BD$100,6,TRUE)</f>
        <v>16.989999999999998</v>
      </c>
      <c r="AP765" s="9">
        <v>2</v>
      </c>
      <c r="AQ765" s="5">
        <f>Transaction[[#This Row],[Price]]*Transaction[[#This Row],[Qty]]</f>
        <v>33.979999999999997</v>
      </c>
      <c r="AR765" s="5">
        <f>VLOOKUP(Transaction[[#This Row],[Model No.]],$AV$2:$BD$100,7,TRUE)*Transaction[[#This Row],[Qty]]</f>
        <v>10.193999999999999</v>
      </c>
      <c r="AS765">
        <v>1100</v>
      </c>
      <c r="AT765">
        <v>1019</v>
      </c>
    </row>
    <row r="766" spans="36:46" x14ac:dyDescent="0.3">
      <c r="AJ766">
        <v>49846</v>
      </c>
      <c r="AK766" s="30">
        <v>42590</v>
      </c>
      <c r="AL766" t="s">
        <v>660</v>
      </c>
      <c r="AM766">
        <v>17</v>
      </c>
      <c r="AN766" t="str">
        <f>VLOOKUP(Transaction[[#This Row],[Model No.]],$AV$2:$BD$100,2,TRUE)</f>
        <v>Miller Lite Can - 24 Pack</v>
      </c>
      <c r="AO766" s="21">
        <f>VLOOKUP(Transaction[[#This Row],[Model No.]],$AV$2:$BD$100,6,TRUE)</f>
        <v>30.99</v>
      </c>
      <c r="AP766" s="9">
        <v>5</v>
      </c>
      <c r="AQ766" s="5">
        <f>Transaction[[#This Row],[Price]]*Transaction[[#This Row],[Qty]]</f>
        <v>154.94999999999999</v>
      </c>
      <c r="AR766" s="5">
        <f>VLOOKUP(Transaction[[#This Row],[Model No.]],$AV$2:$BD$100,7,TRUE)*Transaction[[#This Row],[Qty]]</f>
        <v>46.484999999999992</v>
      </c>
      <c r="AS766">
        <v>1101</v>
      </c>
      <c r="AT766">
        <v>1016</v>
      </c>
    </row>
    <row r="767" spans="36:46" x14ac:dyDescent="0.3">
      <c r="AJ767">
        <v>17763</v>
      </c>
      <c r="AK767" s="30">
        <v>42590</v>
      </c>
      <c r="AL767" t="s">
        <v>1111</v>
      </c>
      <c r="AM767">
        <v>37</v>
      </c>
      <c r="AN767" t="str">
        <f>VLOOKUP(Transaction[[#This Row],[Model No.]],$AV$2:$BD$100,2,TRUE)</f>
        <v>Francis Ford Coppola Diamond Collection Black Label Pavilion Chardonnay</v>
      </c>
      <c r="AO767" s="21">
        <f>VLOOKUP(Transaction[[#This Row],[Model No.]],$AV$2:$BD$100,6,TRUE)</f>
        <v>19.989999999999998</v>
      </c>
      <c r="AP767" s="9">
        <v>2</v>
      </c>
      <c r="AQ767" s="5">
        <f>Transaction[[#This Row],[Price]]*Transaction[[#This Row],[Qty]]</f>
        <v>39.979999999999997</v>
      </c>
      <c r="AR767" s="5">
        <f>VLOOKUP(Transaction[[#This Row],[Model No.]],$AV$2:$BD$100,7,TRUE)*Transaction[[#This Row],[Qty]]</f>
        <v>3.9979999999999998</v>
      </c>
      <c r="AS767">
        <v>1108</v>
      </c>
      <c r="AT767">
        <v>1000</v>
      </c>
    </row>
    <row r="768" spans="36:46" x14ac:dyDescent="0.3">
      <c r="AJ768">
        <v>37015</v>
      </c>
      <c r="AK768" s="30">
        <v>42590</v>
      </c>
      <c r="AL768" t="s">
        <v>1673</v>
      </c>
      <c r="AM768">
        <v>73</v>
      </c>
      <c r="AN768" t="str">
        <f>VLOOKUP(Transaction[[#This Row],[Model No.]],$AV$2:$BD$100,2,TRUE)</f>
        <v>Schlafly Oktoberfest - 6 Pack</v>
      </c>
      <c r="AO768" s="21">
        <f>VLOOKUP(Transaction[[#This Row],[Model No.]],$AV$2:$BD$100,6,TRUE)</f>
        <v>11.99</v>
      </c>
      <c r="AP768" s="9">
        <v>5</v>
      </c>
      <c r="AQ768" s="5">
        <f>Transaction[[#This Row],[Price]]*Transaction[[#This Row],[Qty]]</f>
        <v>59.95</v>
      </c>
      <c r="AR768" s="5">
        <f>VLOOKUP(Transaction[[#This Row],[Model No.]],$AV$2:$BD$100,7,TRUE)*Transaction[[#This Row],[Qty]]</f>
        <v>17.984999999999999</v>
      </c>
      <c r="AS768">
        <v>1108</v>
      </c>
      <c r="AT768">
        <v>1007</v>
      </c>
    </row>
    <row r="769" spans="36:46" x14ac:dyDescent="0.3">
      <c r="AJ769">
        <v>52222</v>
      </c>
      <c r="AK769" s="30">
        <v>42591</v>
      </c>
      <c r="AL769" t="s">
        <v>400</v>
      </c>
      <c r="AM769">
        <v>45</v>
      </c>
      <c r="AN769" t="str">
        <f>VLOOKUP(Transaction[[#This Row],[Model No.]],$AV$2:$BD$100,2,TRUE)</f>
        <v>Sixpoint Resin - 6 Pack</v>
      </c>
      <c r="AO769" s="21">
        <f>VLOOKUP(Transaction[[#This Row],[Model No.]],$AV$2:$BD$100,6,TRUE)</f>
        <v>15.99</v>
      </c>
      <c r="AP769" s="9">
        <v>5</v>
      </c>
      <c r="AQ769" s="5">
        <f>Transaction[[#This Row],[Price]]*Transaction[[#This Row],[Qty]]</f>
        <v>79.95</v>
      </c>
      <c r="AR769" s="5">
        <f>VLOOKUP(Transaction[[#This Row],[Model No.]],$AV$2:$BD$100,7,TRUE)*Transaction[[#This Row],[Qty]]</f>
        <v>23.984999999999999</v>
      </c>
      <c r="AS769">
        <v>1106</v>
      </c>
      <c r="AT769">
        <v>1006</v>
      </c>
    </row>
    <row r="770" spans="36:46" x14ac:dyDescent="0.3">
      <c r="AJ770">
        <v>32540</v>
      </c>
      <c r="AK770" s="30">
        <v>42592</v>
      </c>
      <c r="AL770" t="s">
        <v>520</v>
      </c>
      <c r="AM770">
        <v>5</v>
      </c>
      <c r="AN770" t="str">
        <f>VLOOKUP(Transaction[[#This Row],[Model No.]],$AV$2:$BD$100,2,TRUE)</f>
        <v>Old Forester 1897 Bottled in Bond Kentucky Straight Bourbon Whisky</v>
      </c>
      <c r="AO770" s="21">
        <f>VLOOKUP(Transaction[[#This Row],[Model No.]],$AV$2:$BD$100,6,TRUE)</f>
        <v>46.99</v>
      </c>
      <c r="AP770" s="9">
        <v>2</v>
      </c>
      <c r="AQ770" s="5">
        <f>Transaction[[#This Row],[Price]]*Transaction[[#This Row],[Qty]]</f>
        <v>93.98</v>
      </c>
      <c r="AR770" s="5">
        <f>VLOOKUP(Transaction[[#This Row],[Model No.]],$AV$2:$BD$100,7,TRUE)*Transaction[[#This Row],[Qty]]</f>
        <v>18.796000000000003</v>
      </c>
      <c r="AS770">
        <v>1104</v>
      </c>
      <c r="AT770">
        <v>1009</v>
      </c>
    </row>
    <row r="771" spans="36:46" x14ac:dyDescent="0.3">
      <c r="AJ771">
        <v>60725</v>
      </c>
      <c r="AK771" s="30">
        <v>42594</v>
      </c>
      <c r="AL771" t="s">
        <v>963</v>
      </c>
      <c r="AM771">
        <v>47</v>
      </c>
      <c r="AN771" t="str">
        <f>VLOOKUP(Transaction[[#This Row],[Model No.]],$AV$2:$BD$100,2,TRUE)</f>
        <v>IL Tramonto Amaretto Liqueur</v>
      </c>
      <c r="AO771" s="21">
        <f>VLOOKUP(Transaction[[#This Row],[Model No.]],$AV$2:$BD$100,6,TRUE)</f>
        <v>15.99</v>
      </c>
      <c r="AP771" s="9">
        <v>1</v>
      </c>
      <c r="AQ771" s="5">
        <f>Transaction[[#This Row],[Price]]*Transaction[[#This Row],[Qty]]</f>
        <v>15.99</v>
      </c>
      <c r="AR771" s="5">
        <f>VLOOKUP(Transaction[[#This Row],[Model No.]],$AV$2:$BD$100,7,TRUE)*Transaction[[#This Row],[Qty]]</f>
        <v>4.7969999999999997</v>
      </c>
      <c r="AS771">
        <v>1101</v>
      </c>
      <c r="AT771">
        <v>1016</v>
      </c>
    </row>
    <row r="772" spans="36:46" x14ac:dyDescent="0.3">
      <c r="AJ772">
        <v>31762</v>
      </c>
      <c r="AK772" s="30">
        <v>42595</v>
      </c>
      <c r="AL772" t="s">
        <v>1688</v>
      </c>
      <c r="AM772">
        <v>22</v>
      </c>
      <c r="AN772" t="str">
        <f>VLOOKUP(Transaction[[#This Row],[Model No.]],$AV$2:$BD$100,2,TRUE)</f>
        <v>Efe Raki Black Triple Distilled Liqueur</v>
      </c>
      <c r="AO772" s="21">
        <f>VLOOKUP(Transaction[[#This Row],[Model No.]],$AV$2:$BD$100,6,TRUE)</f>
        <v>25.99</v>
      </c>
      <c r="AP772" s="9">
        <v>4</v>
      </c>
      <c r="AQ772" s="5">
        <f>Transaction[[#This Row],[Price]]*Transaction[[#This Row],[Qty]]</f>
        <v>103.96</v>
      </c>
      <c r="AR772" s="5">
        <f>VLOOKUP(Transaction[[#This Row],[Model No.]],$AV$2:$BD$100,7,TRUE)*Transaction[[#This Row],[Qty]]</f>
        <v>31.187999999999995</v>
      </c>
      <c r="AS772">
        <v>1099</v>
      </c>
      <c r="AT772">
        <v>1009</v>
      </c>
    </row>
    <row r="773" spans="36:46" x14ac:dyDescent="0.3">
      <c r="AJ773">
        <v>87714</v>
      </c>
      <c r="AK773" s="30">
        <v>42597</v>
      </c>
      <c r="AL773" t="s">
        <v>1584</v>
      </c>
      <c r="AM773">
        <v>69</v>
      </c>
      <c r="AN773" t="str">
        <f>VLOOKUP(Transaction[[#This Row],[Model No.]],$AV$2:$BD$100,2,TRUE)</f>
        <v>Castillo de Maluenda Vinas Viejas Punto y Coma Garnacha</v>
      </c>
      <c r="AO773" s="21">
        <f>VLOOKUP(Transaction[[#This Row],[Model No.]],$AV$2:$BD$100,6,TRUE)</f>
        <v>12.99</v>
      </c>
      <c r="AP773" s="9">
        <v>4</v>
      </c>
      <c r="AQ773" s="5">
        <f>Transaction[[#This Row],[Price]]*Transaction[[#This Row],[Qty]]</f>
        <v>51.96</v>
      </c>
      <c r="AR773" s="5">
        <f>VLOOKUP(Transaction[[#This Row],[Model No.]],$AV$2:$BD$100,7,TRUE)*Transaction[[#This Row],[Qty]]</f>
        <v>20.784000000000002</v>
      </c>
      <c r="AS773">
        <v>1107</v>
      </c>
      <c r="AT773">
        <v>1002</v>
      </c>
    </row>
    <row r="774" spans="36:46" x14ac:dyDescent="0.3">
      <c r="AJ774">
        <v>41822</v>
      </c>
      <c r="AK774" s="30">
        <v>42599</v>
      </c>
      <c r="AL774" t="s">
        <v>684</v>
      </c>
      <c r="AM774">
        <v>1</v>
      </c>
      <c r="AN774" t="str">
        <f>VLOOKUP(Transaction[[#This Row],[Model No.]],$AV$2:$BD$100,2,TRUE)</f>
        <v>Forager's Keep 26 Year Old Single Malt Scotch Whisky</v>
      </c>
      <c r="AO774" s="21">
        <f>VLOOKUP(Transaction[[#This Row],[Model No.]],$AV$2:$BD$100,6,TRUE)</f>
        <v>325.99</v>
      </c>
      <c r="AP774" s="9">
        <v>1</v>
      </c>
      <c r="AQ774" s="5">
        <f>Transaction[[#This Row],[Price]]*Transaction[[#This Row],[Qty]]</f>
        <v>325.99</v>
      </c>
      <c r="AR774" s="5">
        <f>VLOOKUP(Transaction[[#This Row],[Model No.]],$AV$2:$BD$100,7,TRUE)*Transaction[[#This Row],[Qty]]</f>
        <v>97.796999999999997</v>
      </c>
      <c r="AS774">
        <v>1101</v>
      </c>
      <c r="AT774">
        <v>1006</v>
      </c>
    </row>
    <row r="775" spans="36:46" x14ac:dyDescent="0.3">
      <c r="AJ775">
        <v>90197</v>
      </c>
      <c r="AK775" s="30">
        <v>42600</v>
      </c>
      <c r="AL775" t="s">
        <v>1343</v>
      </c>
      <c r="AM775">
        <v>74</v>
      </c>
      <c r="AN775" t="str">
        <f>VLOOKUP(Transaction[[#This Row],[Model No.]],$AV$2:$BD$100,2,TRUE)</f>
        <v>UINTA PALE ALE NR - 6 Pack</v>
      </c>
      <c r="AO775" s="21">
        <f>VLOOKUP(Transaction[[#This Row],[Model No.]],$AV$2:$BD$100,6,TRUE)</f>
        <v>11.99</v>
      </c>
      <c r="AP775" s="9">
        <v>2</v>
      </c>
      <c r="AQ775" s="5">
        <f>Transaction[[#This Row],[Price]]*Transaction[[#This Row],[Qty]]</f>
        <v>23.98</v>
      </c>
      <c r="AR775" s="5">
        <f>VLOOKUP(Transaction[[#This Row],[Model No.]],$AV$2:$BD$100,7,TRUE)*Transaction[[#This Row],[Qty]]</f>
        <v>7.194</v>
      </c>
      <c r="AS775">
        <v>1104</v>
      </c>
      <c r="AT775">
        <v>1004</v>
      </c>
    </row>
    <row r="776" spans="36:46" x14ac:dyDescent="0.3">
      <c r="AJ776">
        <v>29500</v>
      </c>
      <c r="AK776" s="30">
        <v>42601</v>
      </c>
      <c r="AL776" t="s">
        <v>1435</v>
      </c>
      <c r="AM776">
        <v>60</v>
      </c>
      <c r="AN776" t="str">
        <f>VLOOKUP(Transaction[[#This Row],[Model No.]],$AV$2:$BD$100,2,TRUE)</f>
        <v>La Catrina Cabernet Sauvignon</v>
      </c>
      <c r="AO776" s="21">
        <f>VLOOKUP(Transaction[[#This Row],[Model No.]],$AV$2:$BD$100,6,TRUE)</f>
        <v>12.99</v>
      </c>
      <c r="AP776" s="9">
        <v>3</v>
      </c>
      <c r="AQ776" s="5">
        <f>Transaction[[#This Row],[Price]]*Transaction[[#This Row],[Qty]]</f>
        <v>38.97</v>
      </c>
      <c r="AR776" s="5">
        <f>VLOOKUP(Transaction[[#This Row],[Model No.]],$AV$2:$BD$100,7,TRUE)*Transaction[[#This Row],[Qty]]</f>
        <v>3.8970000000000002</v>
      </c>
      <c r="AS776">
        <v>1101</v>
      </c>
      <c r="AT776">
        <v>1017</v>
      </c>
    </row>
    <row r="777" spans="36:46" x14ac:dyDescent="0.3">
      <c r="AJ777">
        <v>85121</v>
      </c>
      <c r="AK777" s="30">
        <v>42604</v>
      </c>
      <c r="AL777" t="s">
        <v>626</v>
      </c>
      <c r="AM777">
        <v>89</v>
      </c>
      <c r="AN777" t="str">
        <f>VLOOKUP(Transaction[[#This Row],[Model No.]],$AV$2:$BD$100,2,TRUE)</f>
        <v>Piera Martellozzo Blu Giovello Moscato Puglia IGT Muscat</v>
      </c>
      <c r="AO777" s="21">
        <f>VLOOKUP(Transaction[[#This Row],[Model No.]],$AV$2:$BD$100,6,TRUE)</f>
        <v>8.49</v>
      </c>
      <c r="AP777" s="9">
        <v>5</v>
      </c>
      <c r="AQ777" s="5">
        <f>Transaction[[#This Row],[Price]]*Transaction[[#This Row],[Qty]]</f>
        <v>42.45</v>
      </c>
      <c r="AR777" s="5">
        <f>VLOOKUP(Transaction[[#This Row],[Model No.]],$AV$2:$BD$100,7,TRUE)*Transaction[[#This Row],[Qty]]</f>
        <v>4.2450000000000001</v>
      </c>
      <c r="AS777">
        <v>1105</v>
      </c>
      <c r="AT777">
        <v>1013</v>
      </c>
    </row>
    <row r="778" spans="36:46" x14ac:dyDescent="0.3">
      <c r="AJ778">
        <v>50210</v>
      </c>
      <c r="AK778" s="30">
        <v>42607</v>
      </c>
      <c r="AL778" t="s">
        <v>1901</v>
      </c>
      <c r="AM778">
        <v>93</v>
      </c>
      <c r="AN778" t="str">
        <f>VLOOKUP(Transaction[[#This Row],[Model No.]],$AV$2:$BD$100,2,TRUE)</f>
        <v>Beringer Vineyards Stone Cellars Shiraz</v>
      </c>
      <c r="AO778" s="21">
        <f>VLOOKUP(Transaction[[#This Row],[Model No.]],$AV$2:$BD$100,6,TRUE)</f>
        <v>7.49</v>
      </c>
      <c r="AP778" s="9">
        <v>5</v>
      </c>
      <c r="AQ778" s="5">
        <f>Transaction[[#This Row],[Price]]*Transaction[[#This Row],[Qty]]</f>
        <v>37.450000000000003</v>
      </c>
      <c r="AR778" s="5">
        <f>VLOOKUP(Transaction[[#This Row],[Model No.]],$AV$2:$BD$100,7,TRUE)*Transaction[[#This Row],[Qty]]</f>
        <v>3.7450000000000006</v>
      </c>
      <c r="AS778">
        <v>1103</v>
      </c>
      <c r="AT778">
        <v>1009</v>
      </c>
    </row>
    <row r="779" spans="36:46" x14ac:dyDescent="0.3">
      <c r="AJ779">
        <v>45337</v>
      </c>
      <c r="AK779" s="30">
        <v>42608</v>
      </c>
      <c r="AL779" t="s">
        <v>698</v>
      </c>
      <c r="AM779">
        <v>76</v>
      </c>
      <c r="AN779" t="str">
        <f>VLOOKUP(Transaction[[#This Row],[Model No.]],$AV$2:$BD$100,2,TRUE)</f>
        <v>Lagunitas Super Cluster Can - 6 Pack</v>
      </c>
      <c r="AO779" s="21">
        <f>VLOOKUP(Transaction[[#This Row],[Model No.]],$AV$2:$BD$100,6,TRUE)</f>
        <v>11.99</v>
      </c>
      <c r="AP779" s="9">
        <v>5</v>
      </c>
      <c r="AQ779" s="5">
        <f>Transaction[[#This Row],[Price]]*Transaction[[#This Row],[Qty]]</f>
        <v>59.95</v>
      </c>
      <c r="AR779" s="5">
        <f>VLOOKUP(Transaction[[#This Row],[Model No.]],$AV$2:$BD$100,7,TRUE)*Transaction[[#This Row],[Qty]]</f>
        <v>17.984999999999999</v>
      </c>
      <c r="AS779">
        <v>1100</v>
      </c>
      <c r="AT779">
        <v>1013</v>
      </c>
    </row>
    <row r="780" spans="36:46" x14ac:dyDescent="0.3">
      <c r="AJ780">
        <v>18486</v>
      </c>
      <c r="AK780" s="30">
        <v>42609</v>
      </c>
      <c r="AL780" t="s">
        <v>1423</v>
      </c>
      <c r="AM780">
        <v>45</v>
      </c>
      <c r="AN780" t="str">
        <f>VLOOKUP(Transaction[[#This Row],[Model No.]],$AV$2:$BD$100,2,TRUE)</f>
        <v>Sixpoint Resin - 6 Pack</v>
      </c>
      <c r="AO780" s="21">
        <f>VLOOKUP(Transaction[[#This Row],[Model No.]],$AV$2:$BD$100,6,TRUE)</f>
        <v>15.99</v>
      </c>
      <c r="AP780" s="9">
        <v>3</v>
      </c>
      <c r="AQ780" s="5">
        <f>Transaction[[#This Row],[Price]]*Transaction[[#This Row],[Qty]]</f>
        <v>47.97</v>
      </c>
      <c r="AR780" s="5">
        <f>VLOOKUP(Transaction[[#This Row],[Model No.]],$AV$2:$BD$100,7,TRUE)*Transaction[[#This Row],[Qty]]</f>
        <v>14.390999999999998</v>
      </c>
      <c r="AS780">
        <v>1102</v>
      </c>
      <c r="AT780">
        <v>1021</v>
      </c>
    </row>
    <row r="781" spans="36:46" x14ac:dyDescent="0.3">
      <c r="AJ781">
        <v>62812</v>
      </c>
      <c r="AK781" s="30">
        <v>42611</v>
      </c>
      <c r="AL781" t="s">
        <v>1532</v>
      </c>
      <c r="AM781">
        <v>4</v>
      </c>
      <c r="AN781" t="str">
        <f>VLOOKUP(Transaction[[#This Row],[Model No.]],$AV$2:$BD$100,2,TRUE)</f>
        <v>Stags' Leap Winery Cabernet Sauvignon</v>
      </c>
      <c r="AO781" s="21">
        <f>VLOOKUP(Transaction[[#This Row],[Model No.]],$AV$2:$BD$100,6,TRUE)</f>
        <v>54.99</v>
      </c>
      <c r="AP781" s="9">
        <v>1</v>
      </c>
      <c r="AQ781" s="5">
        <f>Transaction[[#This Row],[Price]]*Transaction[[#This Row],[Qty]]</f>
        <v>54.99</v>
      </c>
      <c r="AR781" s="5">
        <f>VLOOKUP(Transaction[[#This Row],[Model No.]],$AV$2:$BD$100,7,TRUE)*Transaction[[#This Row],[Qty]]</f>
        <v>5.4990000000000006</v>
      </c>
      <c r="AS781">
        <v>1101</v>
      </c>
      <c r="AT781">
        <v>1011</v>
      </c>
    </row>
    <row r="782" spans="36:46" x14ac:dyDescent="0.3">
      <c r="AJ782">
        <v>28583</v>
      </c>
      <c r="AK782" s="30">
        <v>42611</v>
      </c>
      <c r="AL782" t="s">
        <v>647</v>
      </c>
      <c r="AM782">
        <v>27</v>
      </c>
      <c r="AN782" t="str">
        <f>VLOOKUP(Transaction[[#This Row],[Model No.]],$AV$2:$BD$100,2,TRUE)</f>
        <v>Prairie Organic Gin</v>
      </c>
      <c r="AO782" s="21">
        <f>VLOOKUP(Transaction[[#This Row],[Model No.]],$AV$2:$BD$100,6,TRUE)</f>
        <v>23.99</v>
      </c>
      <c r="AP782" s="9">
        <v>2</v>
      </c>
      <c r="AQ782" s="5">
        <f>Transaction[[#This Row],[Price]]*Transaction[[#This Row],[Qty]]</f>
        <v>47.98</v>
      </c>
      <c r="AR782" s="5">
        <f>VLOOKUP(Transaction[[#This Row],[Model No.]],$AV$2:$BD$100,7,TRUE)*Transaction[[#This Row],[Qty]]</f>
        <v>19.192</v>
      </c>
      <c r="AS782">
        <v>1104</v>
      </c>
      <c r="AT782">
        <v>1001</v>
      </c>
    </row>
    <row r="783" spans="36:46" x14ac:dyDescent="0.3">
      <c r="AJ783">
        <v>10551</v>
      </c>
      <c r="AK783" s="30">
        <v>42611</v>
      </c>
      <c r="AL783" t="s">
        <v>925</v>
      </c>
      <c r="AM783">
        <v>87</v>
      </c>
      <c r="AN783" t="str">
        <f>VLOOKUP(Transaction[[#This Row],[Model No.]],$AV$2:$BD$100,2,TRUE)</f>
        <v>Cruzan 9 Spiced Rum</v>
      </c>
      <c r="AO783" s="21">
        <f>VLOOKUP(Transaction[[#This Row],[Model No.]],$AV$2:$BD$100,6,TRUE)</f>
        <v>9.49</v>
      </c>
      <c r="AP783" s="9">
        <v>1</v>
      </c>
      <c r="AQ783" s="5">
        <f>Transaction[[#This Row],[Price]]*Transaction[[#This Row],[Qty]]</f>
        <v>9.49</v>
      </c>
      <c r="AR783" s="5">
        <f>VLOOKUP(Transaction[[#This Row],[Model No.]],$AV$2:$BD$100,7,TRUE)*Transaction[[#This Row],[Qty]]</f>
        <v>1.8980000000000001</v>
      </c>
      <c r="AS783">
        <v>1105</v>
      </c>
      <c r="AT783">
        <v>1012</v>
      </c>
    </row>
    <row r="784" spans="36:46" x14ac:dyDescent="0.3">
      <c r="AJ784">
        <v>96914</v>
      </c>
      <c r="AK784" s="30">
        <v>42616</v>
      </c>
      <c r="AL784" t="s">
        <v>454</v>
      </c>
      <c r="AM784">
        <v>53</v>
      </c>
      <c r="AN784" t="str">
        <f>VLOOKUP(Transaction[[#This Row],[Model No.]],$AV$2:$BD$100,2,TRUE)</f>
        <v>Ommegang Hennepin - 4 Pack</v>
      </c>
      <c r="AO784" s="21">
        <f>VLOOKUP(Transaction[[#This Row],[Model No.]],$AV$2:$BD$100,6,TRUE)</f>
        <v>14.99</v>
      </c>
      <c r="AP784" s="9">
        <v>5</v>
      </c>
      <c r="AQ784" s="5">
        <f>Transaction[[#This Row],[Price]]*Transaction[[#This Row],[Qty]]</f>
        <v>74.95</v>
      </c>
      <c r="AR784" s="5">
        <f>VLOOKUP(Transaction[[#This Row],[Model No.]],$AV$2:$BD$100,7,TRUE)*Transaction[[#This Row],[Qty]]</f>
        <v>22.484999999999999</v>
      </c>
      <c r="AS784">
        <v>1101</v>
      </c>
      <c r="AT784">
        <v>1019</v>
      </c>
    </row>
    <row r="785" spans="36:46" x14ac:dyDescent="0.3">
      <c r="AJ785">
        <v>77260</v>
      </c>
      <c r="AK785" s="30">
        <v>42616</v>
      </c>
      <c r="AL785" t="s">
        <v>1029</v>
      </c>
      <c r="AM785">
        <v>57</v>
      </c>
      <c r="AN785" t="str">
        <f>VLOOKUP(Transaction[[#This Row],[Model No.]],$AV$2:$BD$100,2,TRUE)</f>
        <v>Familia Dante Twelve Months Oak Aged Toscana IGT Sangiovese</v>
      </c>
      <c r="AO785" s="21">
        <f>VLOOKUP(Transaction[[#This Row],[Model No.]],$AV$2:$BD$100,6,TRUE)</f>
        <v>13.69</v>
      </c>
      <c r="AP785" s="9">
        <v>4</v>
      </c>
      <c r="AQ785" s="5">
        <f>Transaction[[#This Row],[Price]]*Transaction[[#This Row],[Qty]]</f>
        <v>54.76</v>
      </c>
      <c r="AR785" s="5">
        <f>VLOOKUP(Transaction[[#This Row],[Model No.]],$AV$2:$BD$100,7,TRUE)*Transaction[[#This Row],[Qty]]</f>
        <v>5.476</v>
      </c>
      <c r="AS785">
        <v>1098</v>
      </c>
      <c r="AT785">
        <v>1020</v>
      </c>
    </row>
    <row r="786" spans="36:46" x14ac:dyDescent="0.3">
      <c r="AJ786">
        <v>45183</v>
      </c>
      <c r="AK786" s="30">
        <v>42616</v>
      </c>
      <c r="AL786" t="s">
        <v>788</v>
      </c>
      <c r="AM786">
        <v>61</v>
      </c>
      <c r="AN786" t="str">
        <f>VLOOKUP(Transaction[[#This Row],[Model No.]],$AV$2:$BD$100,2,TRUE)</f>
        <v>He'Brew Genesis Dry Hopped Session Ale - 6 Pack</v>
      </c>
      <c r="AO786" s="21">
        <f>VLOOKUP(Transaction[[#This Row],[Model No.]],$AV$2:$BD$100,6,TRUE)</f>
        <v>12.99</v>
      </c>
      <c r="AP786" s="9">
        <v>5</v>
      </c>
      <c r="AQ786" s="5">
        <f>Transaction[[#This Row],[Price]]*Transaction[[#This Row],[Qty]]</f>
        <v>64.95</v>
      </c>
      <c r="AR786" s="5">
        <f>VLOOKUP(Transaction[[#This Row],[Model No.]],$AV$2:$BD$100,7,TRUE)*Transaction[[#This Row],[Qty]]</f>
        <v>19.484999999999999</v>
      </c>
      <c r="AS786">
        <v>1101</v>
      </c>
      <c r="AT786">
        <v>1013</v>
      </c>
    </row>
    <row r="787" spans="36:46" x14ac:dyDescent="0.3">
      <c r="AJ787">
        <v>48752</v>
      </c>
      <c r="AK787" s="30">
        <v>42617</v>
      </c>
      <c r="AL787" t="s">
        <v>1684</v>
      </c>
      <c r="AM787">
        <v>4</v>
      </c>
      <c r="AN787" t="str">
        <f>VLOOKUP(Transaction[[#This Row],[Model No.]],$AV$2:$BD$100,2,TRUE)</f>
        <v>Stags' Leap Winery Cabernet Sauvignon</v>
      </c>
      <c r="AO787" s="21">
        <f>VLOOKUP(Transaction[[#This Row],[Model No.]],$AV$2:$BD$100,6,TRUE)</f>
        <v>54.99</v>
      </c>
      <c r="AP787" s="9">
        <v>3</v>
      </c>
      <c r="AQ787" s="5">
        <f>Transaction[[#This Row],[Price]]*Transaction[[#This Row],[Qty]]</f>
        <v>164.97</v>
      </c>
      <c r="AR787" s="5">
        <f>VLOOKUP(Transaction[[#This Row],[Model No.]],$AV$2:$BD$100,7,TRUE)*Transaction[[#This Row],[Qty]]</f>
        <v>16.497</v>
      </c>
      <c r="AS787">
        <v>1107</v>
      </c>
      <c r="AT787">
        <v>1001</v>
      </c>
    </row>
    <row r="788" spans="36:46" x14ac:dyDescent="0.3">
      <c r="AJ788">
        <v>27580</v>
      </c>
      <c r="AK788" s="30">
        <v>42618</v>
      </c>
      <c r="AL788" t="s">
        <v>997</v>
      </c>
      <c r="AM788">
        <v>48</v>
      </c>
      <c r="AN788" t="str">
        <f>VLOOKUP(Transaction[[#This Row],[Model No.]],$AV$2:$BD$100,2,TRUE)</f>
        <v>CH TOUR D'AURON</v>
      </c>
      <c r="AO788" s="21">
        <f>VLOOKUP(Transaction[[#This Row],[Model No.]],$AV$2:$BD$100,6,TRUE)</f>
        <v>15.99</v>
      </c>
      <c r="AP788" s="9">
        <v>1</v>
      </c>
      <c r="AQ788" s="5">
        <f>Transaction[[#This Row],[Price]]*Transaction[[#This Row],[Qty]]</f>
        <v>15.99</v>
      </c>
      <c r="AR788" s="5">
        <f>VLOOKUP(Transaction[[#This Row],[Model No.]],$AV$2:$BD$100,7,TRUE)*Transaction[[#This Row],[Qty]]</f>
        <v>6.3960000000000008</v>
      </c>
      <c r="AS788">
        <v>1101</v>
      </c>
      <c r="AT788">
        <v>1018</v>
      </c>
    </row>
    <row r="789" spans="36:46" x14ac:dyDescent="0.3">
      <c r="AJ789">
        <v>50880</v>
      </c>
      <c r="AK789" s="30">
        <v>42618</v>
      </c>
      <c r="AL789" t="s">
        <v>642</v>
      </c>
      <c r="AM789">
        <v>71</v>
      </c>
      <c r="AN789" t="str">
        <f>VLOOKUP(Transaction[[#This Row],[Model No.]],$AV$2:$BD$100,2,TRUE)</f>
        <v>Flo Merlot</v>
      </c>
      <c r="AO789" s="21">
        <f>VLOOKUP(Transaction[[#This Row],[Model No.]],$AV$2:$BD$100,6,TRUE)</f>
        <v>12.49</v>
      </c>
      <c r="AP789" s="9">
        <v>1</v>
      </c>
      <c r="AQ789" s="5">
        <f>Transaction[[#This Row],[Price]]*Transaction[[#This Row],[Qty]]</f>
        <v>12.49</v>
      </c>
      <c r="AR789" s="5">
        <f>VLOOKUP(Transaction[[#This Row],[Model No.]],$AV$2:$BD$100,7,TRUE)*Transaction[[#This Row],[Qty]]</f>
        <v>1.2490000000000001</v>
      </c>
      <c r="AS789">
        <v>1103</v>
      </c>
      <c r="AT789">
        <v>1008</v>
      </c>
    </row>
    <row r="790" spans="36:46" x14ac:dyDescent="0.3">
      <c r="AJ790">
        <v>13253</v>
      </c>
      <c r="AK790" s="30">
        <v>42619</v>
      </c>
      <c r="AL790" t="s">
        <v>1265</v>
      </c>
      <c r="AM790">
        <v>78</v>
      </c>
      <c r="AN790" t="str">
        <f>VLOOKUP(Transaction[[#This Row],[Model No.]],$AV$2:$BD$100,2,TRUE)</f>
        <v>Tomasello Winery Blueberry Wine Red Blend</v>
      </c>
      <c r="AO790" s="21">
        <f>VLOOKUP(Transaction[[#This Row],[Model No.]],$AV$2:$BD$100,6,TRUE)</f>
        <v>11.49</v>
      </c>
      <c r="AP790" s="9">
        <v>5</v>
      </c>
      <c r="AQ790" s="5">
        <f>Transaction[[#This Row],[Price]]*Transaction[[#This Row],[Qty]]</f>
        <v>57.45</v>
      </c>
      <c r="AR790" s="5">
        <f>VLOOKUP(Transaction[[#This Row],[Model No.]],$AV$2:$BD$100,7,TRUE)*Transaction[[#This Row],[Qty]]</f>
        <v>5.7450000000000001</v>
      </c>
      <c r="AS790">
        <v>1106</v>
      </c>
      <c r="AT790">
        <v>1017</v>
      </c>
    </row>
    <row r="791" spans="36:46" x14ac:dyDescent="0.3">
      <c r="AJ791">
        <v>10711</v>
      </c>
      <c r="AK791" s="30">
        <v>42619</v>
      </c>
      <c r="AL791" t="s">
        <v>1461</v>
      </c>
      <c r="AM791">
        <v>97</v>
      </c>
      <c r="AN791" t="str">
        <f>VLOOKUP(Transaction[[#This Row],[Model No.]],$AV$2:$BD$100,2,TRUE)</f>
        <v>Sea Ridge Cabernet Sauvignon</v>
      </c>
      <c r="AO791" s="21">
        <f>VLOOKUP(Transaction[[#This Row],[Model No.]],$AV$2:$BD$100,6,TRUE)</f>
        <v>5.99</v>
      </c>
      <c r="AP791" s="9">
        <v>5</v>
      </c>
      <c r="AQ791" s="5">
        <f>Transaction[[#This Row],[Price]]*Transaction[[#This Row],[Qty]]</f>
        <v>29.950000000000003</v>
      </c>
      <c r="AR791" s="5">
        <f>VLOOKUP(Transaction[[#This Row],[Model No.]],$AV$2:$BD$100,7,TRUE)*Transaction[[#This Row],[Qty]]</f>
        <v>2.9950000000000006</v>
      </c>
      <c r="AS791">
        <v>1103</v>
      </c>
      <c r="AT791">
        <v>1019</v>
      </c>
    </row>
    <row r="792" spans="36:46" x14ac:dyDescent="0.3">
      <c r="AJ792">
        <v>67080</v>
      </c>
      <c r="AK792" s="30">
        <v>42621</v>
      </c>
      <c r="AL792" t="s">
        <v>521</v>
      </c>
      <c r="AM792">
        <v>29</v>
      </c>
      <c r="AN792" t="str">
        <f>VLOOKUP(Transaction[[#This Row],[Model No.]],$AV$2:$BD$100,2,TRUE)</f>
        <v>SCHLAFLY STOUT BOUT SAMPLER   2/12 - 12 Pack</v>
      </c>
      <c r="AO792" s="21">
        <f>VLOOKUP(Transaction[[#This Row],[Model No.]],$AV$2:$BD$100,6,TRUE)</f>
        <v>22.99</v>
      </c>
      <c r="AP792" s="9">
        <v>3</v>
      </c>
      <c r="AQ792" s="5">
        <f>Transaction[[#This Row],[Price]]*Transaction[[#This Row],[Qty]]</f>
        <v>68.97</v>
      </c>
      <c r="AR792" s="5">
        <f>VLOOKUP(Transaction[[#This Row],[Model No.]],$AV$2:$BD$100,7,TRUE)*Transaction[[#This Row],[Qty]]</f>
        <v>20.690999999999999</v>
      </c>
      <c r="AS792">
        <v>1103</v>
      </c>
      <c r="AT792">
        <v>1006</v>
      </c>
    </row>
    <row r="793" spans="36:46" x14ac:dyDescent="0.3">
      <c r="AJ793">
        <v>55999</v>
      </c>
      <c r="AK793" s="30">
        <v>42623</v>
      </c>
      <c r="AL793" t="s">
        <v>1145</v>
      </c>
      <c r="AM793">
        <v>77</v>
      </c>
      <c r="AN793" t="str">
        <f>VLOOKUP(Transaction[[#This Row],[Model No.]],$AV$2:$BD$100,2,TRUE)</f>
        <v>LA CHASSE PRETIGE CDR</v>
      </c>
      <c r="AO793" s="21">
        <f>VLOOKUP(Transaction[[#This Row],[Model No.]],$AV$2:$BD$100,6,TRUE)</f>
        <v>11.99</v>
      </c>
      <c r="AP793" s="9">
        <v>2</v>
      </c>
      <c r="AQ793" s="5">
        <f>Transaction[[#This Row],[Price]]*Transaction[[#This Row],[Qty]]</f>
        <v>23.98</v>
      </c>
      <c r="AR793" s="5">
        <f>VLOOKUP(Transaction[[#This Row],[Model No.]],$AV$2:$BD$100,7,TRUE)*Transaction[[#This Row],[Qty]]</f>
        <v>9.5920000000000005</v>
      </c>
      <c r="AS793">
        <v>1105</v>
      </c>
      <c r="AT793">
        <v>1013</v>
      </c>
    </row>
    <row r="794" spans="36:46" x14ac:dyDescent="0.3">
      <c r="AJ794">
        <v>54899</v>
      </c>
      <c r="AK794" s="30">
        <v>42625</v>
      </c>
      <c r="AL794" t="s">
        <v>931</v>
      </c>
      <c r="AM794">
        <v>27</v>
      </c>
      <c r="AN794" t="str">
        <f>VLOOKUP(Transaction[[#This Row],[Model No.]],$AV$2:$BD$100,2,TRUE)</f>
        <v>Prairie Organic Gin</v>
      </c>
      <c r="AO794" s="21">
        <f>VLOOKUP(Transaction[[#This Row],[Model No.]],$AV$2:$BD$100,6,TRUE)</f>
        <v>23.99</v>
      </c>
      <c r="AP794" s="9">
        <v>3</v>
      </c>
      <c r="AQ794" s="5">
        <f>Transaction[[#This Row],[Price]]*Transaction[[#This Row],[Qty]]</f>
        <v>71.97</v>
      </c>
      <c r="AR794" s="5">
        <f>VLOOKUP(Transaction[[#This Row],[Model No.]],$AV$2:$BD$100,7,TRUE)*Transaction[[#This Row],[Qty]]</f>
        <v>28.788</v>
      </c>
      <c r="AS794">
        <v>1103</v>
      </c>
      <c r="AT794">
        <v>1010</v>
      </c>
    </row>
    <row r="795" spans="36:46" x14ac:dyDescent="0.3">
      <c r="AJ795">
        <v>64984</v>
      </c>
      <c r="AK795" s="30">
        <v>42626</v>
      </c>
      <c r="AL795" t="s">
        <v>1913</v>
      </c>
      <c r="AM795">
        <v>34</v>
      </c>
      <c r="AN795" t="str">
        <f>VLOOKUP(Transaction[[#This Row],[Model No.]],$AV$2:$BD$100,2,TRUE)</f>
        <v>The Eyrie Vineyards Pinot Gris</v>
      </c>
      <c r="AO795" s="21">
        <f>VLOOKUP(Transaction[[#This Row],[Model No.]],$AV$2:$BD$100,6,TRUE)</f>
        <v>20.99</v>
      </c>
      <c r="AP795" s="9">
        <v>4</v>
      </c>
      <c r="AQ795" s="5">
        <f>Transaction[[#This Row],[Price]]*Transaction[[#This Row],[Qty]]</f>
        <v>83.96</v>
      </c>
      <c r="AR795" s="5">
        <f>VLOOKUP(Transaction[[#This Row],[Model No.]],$AV$2:$BD$100,7,TRUE)*Transaction[[#This Row],[Qty]]</f>
        <v>16.791999999999998</v>
      </c>
      <c r="AS795">
        <v>1103</v>
      </c>
      <c r="AT795">
        <v>1001</v>
      </c>
    </row>
    <row r="796" spans="36:46" x14ac:dyDescent="0.3">
      <c r="AJ796">
        <v>47500</v>
      </c>
      <c r="AK796" s="30">
        <v>42628</v>
      </c>
      <c r="AL796" t="s">
        <v>1269</v>
      </c>
      <c r="AM796">
        <v>40</v>
      </c>
      <c r="AN796" t="str">
        <f>VLOOKUP(Transaction[[#This Row],[Model No.]],$AV$2:$BD$100,2,TRUE)</f>
        <v>Takara Can Chu Hi JPop Grapefruit - 6 Pack</v>
      </c>
      <c r="AO796" s="21">
        <f>VLOOKUP(Transaction[[#This Row],[Model No.]],$AV$2:$BD$100,6,TRUE)</f>
        <v>17.989999999999998</v>
      </c>
      <c r="AP796" s="9">
        <v>3</v>
      </c>
      <c r="AQ796" s="5">
        <f>Transaction[[#This Row],[Price]]*Transaction[[#This Row],[Qty]]</f>
        <v>53.97</v>
      </c>
      <c r="AR796" s="5">
        <f>VLOOKUP(Transaction[[#This Row],[Model No.]],$AV$2:$BD$100,7,TRUE)*Transaction[[#This Row],[Qty]]</f>
        <v>16.190999999999999</v>
      </c>
      <c r="AS796">
        <v>1099</v>
      </c>
      <c r="AT796">
        <v>1009</v>
      </c>
    </row>
    <row r="797" spans="36:46" x14ac:dyDescent="0.3">
      <c r="AJ797">
        <v>42449</v>
      </c>
      <c r="AK797" s="30">
        <v>42629</v>
      </c>
      <c r="AL797" t="s">
        <v>1325</v>
      </c>
      <c r="AM797">
        <v>11</v>
      </c>
      <c r="AN797" t="str">
        <f>VLOOKUP(Transaction[[#This Row],[Model No.]],$AV$2:$BD$100,2,TRUE)</f>
        <v>Kurant 1852 Crystal Limited Edition Vodka</v>
      </c>
      <c r="AO797" s="21">
        <f>VLOOKUP(Transaction[[#This Row],[Model No.]],$AV$2:$BD$100,6,TRUE)</f>
        <v>40.99</v>
      </c>
      <c r="AP797" s="9">
        <v>2</v>
      </c>
      <c r="AQ797" s="5">
        <f>Transaction[[#This Row],[Price]]*Transaction[[#This Row],[Qty]]</f>
        <v>81.98</v>
      </c>
      <c r="AR797" s="5">
        <f>VLOOKUP(Transaction[[#This Row],[Model No.]],$AV$2:$BD$100,7,TRUE)*Transaction[[#This Row],[Qty]]</f>
        <v>24.594000000000001</v>
      </c>
      <c r="AS797">
        <v>1101</v>
      </c>
      <c r="AT797">
        <v>1020</v>
      </c>
    </row>
    <row r="798" spans="36:46" x14ac:dyDescent="0.3">
      <c r="AJ798">
        <v>90662</v>
      </c>
      <c r="AK798" s="30">
        <v>42629</v>
      </c>
      <c r="AL798" t="s">
        <v>1494</v>
      </c>
      <c r="AM798">
        <v>91</v>
      </c>
      <c r="AN798" t="str">
        <f>VLOOKUP(Transaction[[#This Row],[Model No.]],$AV$2:$BD$100,2,TRUE)</f>
        <v>Rex Goliath Free Range Giant 47 Pound Rooster Merlot</v>
      </c>
      <c r="AO798" s="21">
        <f>VLOOKUP(Transaction[[#This Row],[Model No.]],$AV$2:$BD$100,6,TRUE)</f>
        <v>7.79</v>
      </c>
      <c r="AP798" s="9">
        <v>1</v>
      </c>
      <c r="AQ798" s="5">
        <f>Transaction[[#This Row],[Price]]*Transaction[[#This Row],[Qty]]</f>
        <v>7.79</v>
      </c>
      <c r="AR798" s="5">
        <f>VLOOKUP(Transaction[[#This Row],[Model No.]],$AV$2:$BD$100,7,TRUE)*Transaction[[#This Row],[Qty]]</f>
        <v>0.77900000000000003</v>
      </c>
      <c r="AS798">
        <v>1098</v>
      </c>
      <c r="AT798">
        <v>1004</v>
      </c>
    </row>
    <row r="799" spans="36:46" x14ac:dyDescent="0.3">
      <c r="AJ799">
        <v>63415</v>
      </c>
      <c r="AK799" s="30">
        <v>42630</v>
      </c>
      <c r="AL799" t="s">
        <v>1556</v>
      </c>
      <c r="AM799">
        <v>74</v>
      </c>
      <c r="AN799" t="str">
        <f>VLOOKUP(Transaction[[#This Row],[Model No.]],$AV$2:$BD$100,2,TRUE)</f>
        <v>UINTA PALE ALE NR - 6 Pack</v>
      </c>
      <c r="AO799" s="21">
        <f>VLOOKUP(Transaction[[#This Row],[Model No.]],$AV$2:$BD$100,6,TRUE)</f>
        <v>11.99</v>
      </c>
      <c r="AP799" s="9">
        <v>5</v>
      </c>
      <c r="AQ799" s="5">
        <f>Transaction[[#This Row],[Price]]*Transaction[[#This Row],[Qty]]</f>
        <v>59.95</v>
      </c>
      <c r="AR799" s="5">
        <f>VLOOKUP(Transaction[[#This Row],[Model No.]],$AV$2:$BD$100,7,TRUE)*Transaction[[#This Row],[Qty]]</f>
        <v>17.984999999999999</v>
      </c>
      <c r="AS799">
        <v>1106</v>
      </c>
      <c r="AT799">
        <v>1016</v>
      </c>
    </row>
    <row r="800" spans="36:46" x14ac:dyDescent="0.3">
      <c r="AJ800">
        <v>59203</v>
      </c>
      <c r="AK800" s="30">
        <v>42633</v>
      </c>
      <c r="AL800" t="s">
        <v>1424</v>
      </c>
      <c r="AM800">
        <v>5</v>
      </c>
      <c r="AN800" t="str">
        <f>VLOOKUP(Transaction[[#This Row],[Model No.]],$AV$2:$BD$100,2,TRUE)</f>
        <v>Old Forester 1897 Bottled in Bond Kentucky Straight Bourbon Whisky</v>
      </c>
      <c r="AO800" s="21">
        <f>VLOOKUP(Transaction[[#This Row],[Model No.]],$AV$2:$BD$100,6,TRUE)</f>
        <v>46.99</v>
      </c>
      <c r="AP800" s="9">
        <v>3</v>
      </c>
      <c r="AQ800" s="5">
        <f>Transaction[[#This Row],[Price]]*Transaction[[#This Row],[Qty]]</f>
        <v>140.97</v>
      </c>
      <c r="AR800" s="5">
        <f>VLOOKUP(Transaction[[#This Row],[Model No.]],$AV$2:$BD$100,7,TRUE)*Transaction[[#This Row],[Qty]]</f>
        <v>28.194000000000003</v>
      </c>
      <c r="AS800">
        <v>1100</v>
      </c>
      <c r="AT800">
        <v>1015</v>
      </c>
    </row>
    <row r="801" spans="36:46" x14ac:dyDescent="0.3">
      <c r="AJ801">
        <v>73113</v>
      </c>
      <c r="AK801" s="30">
        <v>42633</v>
      </c>
      <c r="AL801" t="s">
        <v>832</v>
      </c>
      <c r="AM801">
        <v>72</v>
      </c>
      <c r="AN801" t="str">
        <f>VLOOKUP(Transaction[[#This Row],[Model No.]],$AV$2:$BD$100,2,TRUE)</f>
        <v>Pearl Wedding Cake Vodka</v>
      </c>
      <c r="AO801" s="21">
        <f>VLOOKUP(Transaction[[#This Row],[Model No.]],$AV$2:$BD$100,6,TRUE)</f>
        <v>12.49</v>
      </c>
      <c r="AP801" s="9">
        <v>2</v>
      </c>
      <c r="AQ801" s="5">
        <f>Transaction[[#This Row],[Price]]*Transaction[[#This Row],[Qty]]</f>
        <v>24.98</v>
      </c>
      <c r="AR801" s="5">
        <f>VLOOKUP(Transaction[[#This Row],[Model No.]],$AV$2:$BD$100,7,TRUE)*Transaction[[#This Row],[Qty]]</f>
        <v>7.4939999999999998</v>
      </c>
      <c r="AS801">
        <v>1105</v>
      </c>
      <c r="AT801">
        <v>1004</v>
      </c>
    </row>
    <row r="802" spans="36:46" x14ac:dyDescent="0.3">
      <c r="AJ802">
        <v>75105</v>
      </c>
      <c r="AK802" s="30">
        <v>42636</v>
      </c>
      <c r="AL802" t="s">
        <v>860</v>
      </c>
      <c r="AM802">
        <v>32</v>
      </c>
      <c r="AN802" t="str">
        <f>VLOOKUP(Transaction[[#This Row],[Model No.]],$AV$2:$BD$100,2,TRUE)</f>
        <v>Sugar Island Spiced Rum</v>
      </c>
      <c r="AO802" s="21">
        <f>VLOOKUP(Transaction[[#This Row],[Model No.]],$AV$2:$BD$100,6,TRUE)</f>
        <v>21.99</v>
      </c>
      <c r="AP802" s="9">
        <v>5</v>
      </c>
      <c r="AQ802" s="5">
        <f>Transaction[[#This Row],[Price]]*Transaction[[#This Row],[Qty]]</f>
        <v>109.94999999999999</v>
      </c>
      <c r="AR802" s="5">
        <f>VLOOKUP(Transaction[[#This Row],[Model No.]],$AV$2:$BD$100,7,TRUE)*Transaction[[#This Row],[Qty]]</f>
        <v>21.99</v>
      </c>
      <c r="AS802">
        <v>1103</v>
      </c>
      <c r="AT802">
        <v>1013</v>
      </c>
    </row>
    <row r="803" spans="36:46" x14ac:dyDescent="0.3">
      <c r="AJ803">
        <v>47819</v>
      </c>
      <c r="AK803" s="30">
        <v>42637</v>
      </c>
      <c r="AL803" t="s">
        <v>667</v>
      </c>
      <c r="AM803">
        <v>36</v>
      </c>
      <c r="AN803" t="str">
        <f>VLOOKUP(Transaction[[#This Row],[Model No.]],$AV$2:$BD$100,2,TRUE)</f>
        <v>Patricius Reserve Dry Furmint</v>
      </c>
      <c r="AO803" s="21">
        <f>VLOOKUP(Transaction[[#This Row],[Model No.]],$AV$2:$BD$100,6,TRUE)</f>
        <v>20.99</v>
      </c>
      <c r="AP803" s="9">
        <v>2</v>
      </c>
      <c r="AQ803" s="5">
        <f>Transaction[[#This Row],[Price]]*Transaction[[#This Row],[Qty]]</f>
        <v>41.98</v>
      </c>
      <c r="AR803" s="5">
        <f>VLOOKUP(Transaction[[#This Row],[Model No.]],$AV$2:$BD$100,7,TRUE)*Transaction[[#This Row],[Qty]]</f>
        <v>4.1979999999999995</v>
      </c>
      <c r="AS803">
        <v>1099</v>
      </c>
      <c r="AT803">
        <v>1002</v>
      </c>
    </row>
    <row r="804" spans="36:46" x14ac:dyDescent="0.3">
      <c r="AJ804">
        <v>10950</v>
      </c>
      <c r="AK804" s="30">
        <v>42637</v>
      </c>
      <c r="AL804" t="s">
        <v>1257</v>
      </c>
      <c r="AM804">
        <v>51</v>
      </c>
      <c r="AN804" t="str">
        <f>VLOOKUP(Transaction[[#This Row],[Model No.]],$AV$2:$BD$100,2,TRUE)</f>
        <v>Waterbrook Cabernet Sauvignon</v>
      </c>
      <c r="AO804" s="21">
        <f>VLOOKUP(Transaction[[#This Row],[Model No.]],$AV$2:$BD$100,6,TRUE)</f>
        <v>14.99</v>
      </c>
      <c r="AP804" s="9">
        <v>1</v>
      </c>
      <c r="AQ804" s="5">
        <f>Transaction[[#This Row],[Price]]*Transaction[[#This Row],[Qty]]</f>
        <v>14.99</v>
      </c>
      <c r="AR804" s="5">
        <f>VLOOKUP(Transaction[[#This Row],[Model No.]],$AV$2:$BD$100,7,TRUE)*Transaction[[#This Row],[Qty]]</f>
        <v>1.4990000000000001</v>
      </c>
      <c r="AS804">
        <v>1102</v>
      </c>
      <c r="AT804">
        <v>1011</v>
      </c>
    </row>
    <row r="805" spans="36:46" x14ac:dyDescent="0.3">
      <c r="AJ805">
        <v>30711</v>
      </c>
      <c r="AK805" s="30">
        <v>42640</v>
      </c>
      <c r="AL805" t="s">
        <v>999</v>
      </c>
      <c r="AM805">
        <v>89</v>
      </c>
      <c r="AN805" t="str">
        <f>VLOOKUP(Transaction[[#This Row],[Model No.]],$AV$2:$BD$100,2,TRUE)</f>
        <v>Piera Martellozzo Blu Giovello Moscato Puglia IGT Muscat</v>
      </c>
      <c r="AO805" s="21">
        <f>VLOOKUP(Transaction[[#This Row],[Model No.]],$AV$2:$BD$100,6,TRUE)</f>
        <v>8.49</v>
      </c>
      <c r="AP805" s="9">
        <v>1</v>
      </c>
      <c r="AQ805" s="5">
        <f>Transaction[[#This Row],[Price]]*Transaction[[#This Row],[Qty]]</f>
        <v>8.49</v>
      </c>
      <c r="AR805" s="5">
        <f>VLOOKUP(Transaction[[#This Row],[Model No.]],$AV$2:$BD$100,7,TRUE)*Transaction[[#This Row],[Qty]]</f>
        <v>0.84900000000000009</v>
      </c>
      <c r="AS805">
        <v>1101</v>
      </c>
      <c r="AT805">
        <v>1008</v>
      </c>
    </row>
    <row r="806" spans="36:46" x14ac:dyDescent="0.3">
      <c r="AJ806">
        <v>29407</v>
      </c>
      <c r="AK806" s="30">
        <v>42641</v>
      </c>
      <c r="AL806" t="s">
        <v>1706</v>
      </c>
      <c r="AM806">
        <v>12</v>
      </c>
      <c r="AN806" t="str">
        <f>VLOOKUP(Transaction[[#This Row],[Model No.]],$AV$2:$BD$100,2,TRUE)</f>
        <v>Cuvaison Pinot Noir</v>
      </c>
      <c r="AO806" s="21">
        <f>VLOOKUP(Transaction[[#This Row],[Model No.]],$AV$2:$BD$100,6,TRUE)</f>
        <v>36.99</v>
      </c>
      <c r="AP806" s="9">
        <v>4</v>
      </c>
      <c r="AQ806" s="5">
        <f>Transaction[[#This Row],[Price]]*Transaction[[#This Row],[Qty]]</f>
        <v>147.96</v>
      </c>
      <c r="AR806" s="5">
        <f>VLOOKUP(Transaction[[#This Row],[Model No.]],$AV$2:$BD$100,7,TRUE)*Transaction[[#This Row],[Qty]]</f>
        <v>14.796000000000001</v>
      </c>
      <c r="AS806">
        <v>1106</v>
      </c>
      <c r="AT806">
        <v>1004</v>
      </c>
    </row>
    <row r="807" spans="36:46" x14ac:dyDescent="0.3">
      <c r="AJ807">
        <v>79200</v>
      </c>
      <c r="AK807" s="30">
        <v>42641</v>
      </c>
      <c r="AL807" t="s">
        <v>549</v>
      </c>
      <c r="AM807">
        <v>18</v>
      </c>
      <c r="AN807" t="str">
        <f>VLOOKUP(Transaction[[#This Row],[Model No.]],$AV$2:$BD$100,2,TRUE)</f>
        <v>Twenty Grand Peach Vodka</v>
      </c>
      <c r="AO807" s="21">
        <f>VLOOKUP(Transaction[[#This Row],[Model No.]],$AV$2:$BD$100,6,TRUE)</f>
        <v>30.99</v>
      </c>
      <c r="AP807" s="9">
        <v>1</v>
      </c>
      <c r="AQ807" s="5">
        <f>Transaction[[#This Row],[Price]]*Transaction[[#This Row],[Qty]]</f>
        <v>30.99</v>
      </c>
      <c r="AR807" s="5">
        <f>VLOOKUP(Transaction[[#This Row],[Model No.]],$AV$2:$BD$100,7,TRUE)*Transaction[[#This Row],[Qty]]</f>
        <v>9.2969999999999988</v>
      </c>
      <c r="AS807">
        <v>1108</v>
      </c>
      <c r="AT807">
        <v>1004</v>
      </c>
    </row>
    <row r="808" spans="36:46" x14ac:dyDescent="0.3">
      <c r="AJ808">
        <v>41536</v>
      </c>
      <c r="AK808" s="30">
        <v>42643</v>
      </c>
      <c r="AL808" t="s">
        <v>1422</v>
      </c>
      <c r="AM808">
        <v>30</v>
      </c>
      <c r="AN808" t="str">
        <f>VLOOKUP(Transaction[[#This Row],[Model No.]],$AV$2:$BD$100,2,TRUE)</f>
        <v>Kahlua Cinnamon Spice Liqueur</v>
      </c>
      <c r="AO808" s="21">
        <f>VLOOKUP(Transaction[[#This Row],[Model No.]],$AV$2:$BD$100,6,TRUE)</f>
        <v>22.99</v>
      </c>
      <c r="AP808" s="9">
        <v>5</v>
      </c>
      <c r="AQ808" s="5">
        <f>Transaction[[#This Row],[Price]]*Transaction[[#This Row],[Qty]]</f>
        <v>114.94999999999999</v>
      </c>
      <c r="AR808" s="5">
        <f>VLOOKUP(Transaction[[#This Row],[Model No.]],$AV$2:$BD$100,7,TRUE)*Transaction[[#This Row],[Qty]]</f>
        <v>34.484999999999999</v>
      </c>
      <c r="AS808">
        <v>1107</v>
      </c>
      <c r="AT808">
        <v>1020</v>
      </c>
    </row>
    <row r="809" spans="36:46" x14ac:dyDescent="0.3">
      <c r="AJ809">
        <v>24148</v>
      </c>
      <c r="AK809" s="30">
        <v>42643</v>
      </c>
      <c r="AL809" t="s">
        <v>1207</v>
      </c>
      <c r="AM809">
        <v>70</v>
      </c>
      <c r="AN809" t="str">
        <f>VLOOKUP(Transaction[[#This Row],[Model No.]],$AV$2:$BD$100,2,TRUE)</f>
        <v>Matchbook Rose Estate Bottled Tempranillo</v>
      </c>
      <c r="AO809" s="21">
        <f>VLOOKUP(Transaction[[#This Row],[Model No.]],$AV$2:$BD$100,6,TRUE)</f>
        <v>12.69</v>
      </c>
      <c r="AP809" s="9">
        <v>5</v>
      </c>
      <c r="AQ809" s="5">
        <f>Transaction[[#This Row],[Price]]*Transaction[[#This Row],[Qty]]</f>
        <v>63.449999999999996</v>
      </c>
      <c r="AR809" s="5">
        <f>VLOOKUP(Transaction[[#This Row],[Model No.]],$AV$2:$BD$100,7,TRUE)*Transaction[[#This Row],[Qty]]</f>
        <v>6.3450000000000006</v>
      </c>
      <c r="AS809">
        <v>1101</v>
      </c>
      <c r="AT809">
        <v>1001</v>
      </c>
    </row>
    <row r="810" spans="36:46" x14ac:dyDescent="0.3">
      <c r="AJ810">
        <v>66888</v>
      </c>
      <c r="AK810" s="30">
        <v>42644</v>
      </c>
      <c r="AL810" t="s">
        <v>1826</v>
      </c>
      <c r="AM810">
        <v>44</v>
      </c>
      <c r="AN810" t="str">
        <f>VLOOKUP(Transaction[[#This Row],[Model No.]],$AV$2:$BD$100,2,TRUE)</f>
        <v>Brasserie de Silly Saison - 4 Pack</v>
      </c>
      <c r="AO810" s="21">
        <f>VLOOKUP(Transaction[[#This Row],[Model No.]],$AV$2:$BD$100,6,TRUE)</f>
        <v>16.989999999999998</v>
      </c>
      <c r="AP810" s="9">
        <v>5</v>
      </c>
      <c r="AQ810" s="5">
        <f>Transaction[[#This Row],[Price]]*Transaction[[#This Row],[Qty]]</f>
        <v>84.949999999999989</v>
      </c>
      <c r="AR810" s="5">
        <f>VLOOKUP(Transaction[[#This Row],[Model No.]],$AV$2:$BD$100,7,TRUE)*Transaction[[#This Row],[Qty]]</f>
        <v>25.484999999999999</v>
      </c>
      <c r="AS810">
        <v>1102</v>
      </c>
      <c r="AT810">
        <v>1009</v>
      </c>
    </row>
    <row r="811" spans="36:46" x14ac:dyDescent="0.3">
      <c r="AJ811">
        <v>52146</v>
      </c>
      <c r="AK811" s="30">
        <v>42646</v>
      </c>
      <c r="AL811" t="s">
        <v>995</v>
      </c>
      <c r="AM811">
        <v>21</v>
      </c>
      <c r="AN811" t="str">
        <f>VLOOKUP(Transaction[[#This Row],[Model No.]],$AV$2:$BD$100,2,TRUE)</f>
        <v>Adelsheim Ribbon Springs Auxerrois</v>
      </c>
      <c r="AO811" s="21">
        <f>VLOOKUP(Transaction[[#This Row],[Model No.]],$AV$2:$BD$100,6,TRUE)</f>
        <v>25.99</v>
      </c>
      <c r="AP811" s="9">
        <v>2</v>
      </c>
      <c r="AQ811" s="5">
        <f>Transaction[[#This Row],[Price]]*Transaction[[#This Row],[Qty]]</f>
        <v>51.98</v>
      </c>
      <c r="AR811" s="5">
        <f>VLOOKUP(Transaction[[#This Row],[Model No.]],$AV$2:$BD$100,7,TRUE)*Transaction[[#This Row],[Qty]]</f>
        <v>5.1980000000000004</v>
      </c>
      <c r="AS811">
        <v>1099</v>
      </c>
      <c r="AT811">
        <v>1004</v>
      </c>
    </row>
    <row r="812" spans="36:46" x14ac:dyDescent="0.3">
      <c r="AJ812">
        <v>18832</v>
      </c>
      <c r="AK812" s="30">
        <v>42647</v>
      </c>
      <c r="AL812" t="s">
        <v>1471</v>
      </c>
      <c r="AM812">
        <v>3</v>
      </c>
      <c r="AN812" t="str">
        <f>VLOOKUP(Transaction[[#This Row],[Model No.]],$AV$2:$BD$100,2,TRUE)</f>
        <v>Compass Box Orangerie Scotch Whisky</v>
      </c>
      <c r="AO812" s="21">
        <f>VLOOKUP(Transaction[[#This Row],[Model No.]],$AV$2:$BD$100,6,TRUE)</f>
        <v>56.99</v>
      </c>
      <c r="AP812" s="9">
        <v>4</v>
      </c>
      <c r="AQ812" s="5">
        <f>Transaction[[#This Row],[Price]]*Transaction[[#This Row],[Qty]]</f>
        <v>227.96</v>
      </c>
      <c r="AR812" s="5">
        <f>VLOOKUP(Transaction[[#This Row],[Model No.]],$AV$2:$BD$100,7,TRUE)*Transaction[[#This Row],[Qty]]</f>
        <v>68.388000000000005</v>
      </c>
      <c r="AS812">
        <v>1108</v>
      </c>
      <c r="AT812">
        <v>1004</v>
      </c>
    </row>
    <row r="813" spans="36:46" x14ac:dyDescent="0.3">
      <c r="AJ813">
        <v>51521</v>
      </c>
      <c r="AK813" s="30">
        <v>42648</v>
      </c>
      <c r="AL813" t="s">
        <v>757</v>
      </c>
      <c r="AM813">
        <v>33</v>
      </c>
      <c r="AN813" t="str">
        <f>VLOOKUP(Transaction[[#This Row],[Model No.]],$AV$2:$BD$100,2,TRUE)</f>
        <v>Saracina Unoaked Chardonnay</v>
      </c>
      <c r="AO813" s="21">
        <f>VLOOKUP(Transaction[[#This Row],[Model No.]],$AV$2:$BD$100,6,TRUE)</f>
        <v>20.99</v>
      </c>
      <c r="AP813" s="9">
        <v>3</v>
      </c>
      <c r="AQ813" s="5">
        <f>Transaction[[#This Row],[Price]]*Transaction[[#This Row],[Qty]]</f>
        <v>62.97</v>
      </c>
      <c r="AR813" s="5">
        <f>VLOOKUP(Transaction[[#This Row],[Model No.]],$AV$2:$BD$100,7,TRUE)*Transaction[[#This Row],[Qty]]</f>
        <v>12.593999999999998</v>
      </c>
      <c r="AS813">
        <v>1104</v>
      </c>
      <c r="AT813">
        <v>1014</v>
      </c>
    </row>
    <row r="814" spans="36:46" x14ac:dyDescent="0.3">
      <c r="AJ814">
        <v>79140</v>
      </c>
      <c r="AK814" s="30">
        <v>42649</v>
      </c>
      <c r="AL814" t="s">
        <v>447</v>
      </c>
      <c r="AM814">
        <v>15</v>
      </c>
      <c r="AN814" t="str">
        <f>VLOOKUP(Transaction[[#This Row],[Model No.]],$AV$2:$BD$100,2,TRUE)</f>
        <v>Wild Turkey 101 Kentucky Straight Bourbon Whiskey</v>
      </c>
      <c r="AO814" s="21">
        <f>VLOOKUP(Transaction[[#This Row],[Model No.]],$AV$2:$BD$100,6,TRUE)</f>
        <v>32.99</v>
      </c>
      <c r="AP814" s="9">
        <v>5</v>
      </c>
      <c r="AQ814" s="5">
        <f>Transaction[[#This Row],[Price]]*Transaction[[#This Row],[Qty]]</f>
        <v>164.95000000000002</v>
      </c>
      <c r="AR814" s="5">
        <f>VLOOKUP(Transaction[[#This Row],[Model No.]],$AV$2:$BD$100,7,TRUE)*Transaction[[#This Row],[Qty]]</f>
        <v>32.99</v>
      </c>
      <c r="AS814">
        <v>1098</v>
      </c>
      <c r="AT814">
        <v>1019</v>
      </c>
    </row>
    <row r="815" spans="36:46" x14ac:dyDescent="0.3">
      <c r="AJ815">
        <v>26586</v>
      </c>
      <c r="AK815" s="30">
        <v>42649</v>
      </c>
      <c r="AL815" t="s">
        <v>658</v>
      </c>
      <c r="AM815">
        <v>67</v>
      </c>
      <c r="AN815" t="str">
        <f>VLOOKUP(Transaction[[#This Row],[Model No.]],$AV$2:$BD$100,2,TRUE)</f>
        <v>Oh Be Joyful Sweet Deutscher Qualitatswein Dornfelder</v>
      </c>
      <c r="AO815" s="21">
        <f>VLOOKUP(Transaction[[#This Row],[Model No.]],$AV$2:$BD$100,6,TRUE)</f>
        <v>12.99</v>
      </c>
      <c r="AP815" s="9">
        <v>1</v>
      </c>
      <c r="AQ815" s="5">
        <f>Transaction[[#This Row],[Price]]*Transaction[[#This Row],[Qty]]</f>
        <v>12.99</v>
      </c>
      <c r="AR815" s="5">
        <f>VLOOKUP(Transaction[[#This Row],[Model No.]],$AV$2:$BD$100,7,TRUE)*Transaction[[#This Row],[Qty]]</f>
        <v>5.1960000000000006</v>
      </c>
      <c r="AS815">
        <v>1099</v>
      </c>
      <c r="AT815">
        <v>1002</v>
      </c>
    </row>
    <row r="816" spans="36:46" x14ac:dyDescent="0.3">
      <c r="AJ816">
        <v>19083</v>
      </c>
      <c r="AK816" s="30">
        <v>42650</v>
      </c>
      <c r="AL816" t="s">
        <v>1686</v>
      </c>
      <c r="AM816">
        <v>12</v>
      </c>
      <c r="AN816" t="str">
        <f>VLOOKUP(Transaction[[#This Row],[Model No.]],$AV$2:$BD$100,2,TRUE)</f>
        <v>Cuvaison Pinot Noir</v>
      </c>
      <c r="AO816" s="21">
        <f>VLOOKUP(Transaction[[#This Row],[Model No.]],$AV$2:$BD$100,6,TRUE)</f>
        <v>36.99</v>
      </c>
      <c r="AP816" s="9">
        <v>3</v>
      </c>
      <c r="AQ816" s="5">
        <f>Transaction[[#This Row],[Price]]*Transaction[[#This Row],[Qty]]</f>
        <v>110.97</v>
      </c>
      <c r="AR816" s="5">
        <f>VLOOKUP(Transaction[[#This Row],[Model No.]],$AV$2:$BD$100,7,TRUE)*Transaction[[#This Row],[Qty]]</f>
        <v>11.097000000000001</v>
      </c>
      <c r="AS816">
        <v>1101</v>
      </c>
      <c r="AT816">
        <v>1019</v>
      </c>
    </row>
    <row r="817" spans="36:46" x14ac:dyDescent="0.3">
      <c r="AJ817">
        <v>23760</v>
      </c>
      <c r="AK817" s="30">
        <v>42650</v>
      </c>
      <c r="AL817" t="s">
        <v>1010</v>
      </c>
      <c r="AM817">
        <v>26</v>
      </c>
      <c r="AN817" t="str">
        <f>VLOOKUP(Transaction[[#This Row],[Model No.]],$AV$2:$BD$100,2,TRUE)</f>
        <v>Belhaven Scottish Stout - 4 Pack</v>
      </c>
      <c r="AO817" s="21">
        <f>VLOOKUP(Transaction[[#This Row],[Model No.]],$AV$2:$BD$100,6,TRUE)</f>
        <v>23.99</v>
      </c>
      <c r="AP817" s="9">
        <v>2</v>
      </c>
      <c r="AQ817" s="5">
        <f>Transaction[[#This Row],[Price]]*Transaction[[#This Row],[Qty]]</f>
        <v>47.98</v>
      </c>
      <c r="AR817" s="5">
        <f>VLOOKUP(Transaction[[#This Row],[Model No.]],$AV$2:$BD$100,7,TRUE)*Transaction[[#This Row],[Qty]]</f>
        <v>14.393999999999998</v>
      </c>
      <c r="AS817">
        <v>1107</v>
      </c>
      <c r="AT817">
        <v>1017</v>
      </c>
    </row>
    <row r="818" spans="36:46" x14ac:dyDescent="0.3">
      <c r="AJ818">
        <v>99517</v>
      </c>
      <c r="AK818" s="30">
        <v>42650</v>
      </c>
      <c r="AL818" t="s">
        <v>972</v>
      </c>
      <c r="AM818">
        <v>77</v>
      </c>
      <c r="AN818" t="str">
        <f>VLOOKUP(Transaction[[#This Row],[Model No.]],$AV$2:$BD$100,2,TRUE)</f>
        <v>LA CHASSE PRETIGE CDR</v>
      </c>
      <c r="AO818" s="21">
        <f>VLOOKUP(Transaction[[#This Row],[Model No.]],$AV$2:$BD$100,6,TRUE)</f>
        <v>11.99</v>
      </c>
      <c r="AP818" s="9">
        <v>3</v>
      </c>
      <c r="AQ818" s="5">
        <f>Transaction[[#This Row],[Price]]*Transaction[[#This Row],[Qty]]</f>
        <v>35.97</v>
      </c>
      <c r="AR818" s="5">
        <f>VLOOKUP(Transaction[[#This Row],[Model No.]],$AV$2:$BD$100,7,TRUE)*Transaction[[#This Row],[Qty]]</f>
        <v>14.388000000000002</v>
      </c>
      <c r="AS818">
        <v>1103</v>
      </c>
      <c r="AT818">
        <v>1004</v>
      </c>
    </row>
    <row r="819" spans="36:46" x14ac:dyDescent="0.3">
      <c r="AJ819">
        <v>73693</v>
      </c>
      <c r="AK819" s="30">
        <v>42651</v>
      </c>
      <c r="AL819" t="s">
        <v>384</v>
      </c>
      <c r="AM819">
        <v>87</v>
      </c>
      <c r="AN819" t="str">
        <f>VLOOKUP(Transaction[[#This Row],[Model No.]],$AV$2:$BD$100,2,TRUE)</f>
        <v>Cruzan 9 Spiced Rum</v>
      </c>
      <c r="AO819" s="21">
        <f>VLOOKUP(Transaction[[#This Row],[Model No.]],$AV$2:$BD$100,6,TRUE)</f>
        <v>9.49</v>
      </c>
      <c r="AP819" s="9">
        <v>4</v>
      </c>
      <c r="AQ819" s="5">
        <f>Transaction[[#This Row],[Price]]*Transaction[[#This Row],[Qty]]</f>
        <v>37.96</v>
      </c>
      <c r="AR819" s="5">
        <f>VLOOKUP(Transaction[[#This Row],[Model No.]],$AV$2:$BD$100,7,TRUE)*Transaction[[#This Row],[Qty]]</f>
        <v>7.5920000000000005</v>
      </c>
      <c r="AS819">
        <v>1101</v>
      </c>
      <c r="AT819">
        <v>1001</v>
      </c>
    </row>
    <row r="820" spans="36:46" x14ac:dyDescent="0.3">
      <c r="AJ820">
        <v>22755</v>
      </c>
      <c r="AK820" s="30">
        <v>42660</v>
      </c>
      <c r="AL820" t="s">
        <v>472</v>
      </c>
      <c r="AM820">
        <v>19</v>
      </c>
      <c r="AN820" t="str">
        <f>VLOOKUP(Transaction[[#This Row],[Model No.]],$AV$2:$BD$100,2,TRUE)</f>
        <v>District Made Vodka</v>
      </c>
      <c r="AO820" s="21">
        <f>VLOOKUP(Transaction[[#This Row],[Model No.]],$AV$2:$BD$100,6,TRUE)</f>
        <v>29.99</v>
      </c>
      <c r="AP820" s="9">
        <v>3</v>
      </c>
      <c r="AQ820" s="5">
        <f>Transaction[[#This Row],[Price]]*Transaction[[#This Row],[Qty]]</f>
        <v>89.97</v>
      </c>
      <c r="AR820" s="5">
        <f>VLOOKUP(Transaction[[#This Row],[Model No.]],$AV$2:$BD$100,7,TRUE)*Transaction[[#This Row],[Qty]]</f>
        <v>26.991</v>
      </c>
      <c r="AS820">
        <v>1099</v>
      </c>
      <c r="AT820">
        <v>1001</v>
      </c>
    </row>
    <row r="821" spans="36:46" x14ac:dyDescent="0.3">
      <c r="AJ821">
        <v>55486</v>
      </c>
      <c r="AK821" s="30">
        <v>42660</v>
      </c>
      <c r="AL821" t="s">
        <v>1824</v>
      </c>
      <c r="AM821">
        <v>92</v>
      </c>
      <c r="AN821" t="str">
        <f>VLOOKUP(Transaction[[#This Row],[Model No.]],$AV$2:$BD$100,2,TRUE)</f>
        <v>Four Seasons Collection Late Harvest White Moscato Dessert Muscat</v>
      </c>
      <c r="AO821" s="21">
        <f>VLOOKUP(Transaction[[#This Row],[Model No.]],$AV$2:$BD$100,6,TRUE)</f>
        <v>7.69</v>
      </c>
      <c r="AP821" s="9">
        <v>5</v>
      </c>
      <c r="AQ821" s="5">
        <f>Transaction[[#This Row],[Price]]*Transaction[[#This Row],[Qty]]</f>
        <v>38.450000000000003</v>
      </c>
      <c r="AR821" s="5">
        <f>VLOOKUP(Transaction[[#This Row],[Model No.]],$AV$2:$BD$100,7,TRUE)*Transaction[[#This Row],[Qty]]</f>
        <v>3.8450000000000006</v>
      </c>
      <c r="AS821">
        <v>1103</v>
      </c>
      <c r="AT821">
        <v>1013</v>
      </c>
    </row>
    <row r="822" spans="36:46" x14ac:dyDescent="0.3">
      <c r="AJ822">
        <v>49145</v>
      </c>
      <c r="AK822" s="30">
        <v>42662</v>
      </c>
      <c r="AL822" t="s">
        <v>1837</v>
      </c>
      <c r="AM822">
        <v>36</v>
      </c>
      <c r="AN822" t="str">
        <f>VLOOKUP(Transaction[[#This Row],[Model No.]],$AV$2:$BD$100,2,TRUE)</f>
        <v>Patricius Reserve Dry Furmint</v>
      </c>
      <c r="AO822" s="21">
        <f>VLOOKUP(Transaction[[#This Row],[Model No.]],$AV$2:$BD$100,6,TRUE)</f>
        <v>20.99</v>
      </c>
      <c r="AP822" s="9">
        <v>4</v>
      </c>
      <c r="AQ822" s="5">
        <f>Transaction[[#This Row],[Price]]*Transaction[[#This Row],[Qty]]</f>
        <v>83.96</v>
      </c>
      <c r="AR822" s="5">
        <f>VLOOKUP(Transaction[[#This Row],[Model No.]],$AV$2:$BD$100,7,TRUE)*Transaction[[#This Row],[Qty]]</f>
        <v>8.395999999999999</v>
      </c>
      <c r="AS822">
        <v>1105</v>
      </c>
      <c r="AT822">
        <v>1020</v>
      </c>
    </row>
    <row r="823" spans="36:46" x14ac:dyDescent="0.3">
      <c r="AJ823">
        <v>63989</v>
      </c>
      <c r="AK823" s="30">
        <v>42662</v>
      </c>
      <c r="AL823" t="s">
        <v>1047</v>
      </c>
      <c r="AM823">
        <v>81</v>
      </c>
      <c r="AN823" t="str">
        <f>VLOOKUP(Transaction[[#This Row],[Model No.]],$AV$2:$BD$100,2,TRUE)</f>
        <v>TerraNoble Reserva La Higuera Vineyard Carmenere</v>
      </c>
      <c r="AO823" s="21">
        <f>VLOOKUP(Transaction[[#This Row],[Model No.]],$AV$2:$BD$100,6,TRUE)</f>
        <v>10.99</v>
      </c>
      <c r="AP823" s="9">
        <v>1</v>
      </c>
      <c r="AQ823" s="5">
        <f>Transaction[[#This Row],[Price]]*Transaction[[#This Row],[Qty]]</f>
        <v>10.99</v>
      </c>
      <c r="AR823" s="5">
        <f>VLOOKUP(Transaction[[#This Row],[Model No.]],$AV$2:$BD$100,7,TRUE)*Transaction[[#This Row],[Qty]]</f>
        <v>3.2970000000000002</v>
      </c>
      <c r="AS823">
        <v>1098</v>
      </c>
      <c r="AT823">
        <v>1009</v>
      </c>
    </row>
    <row r="824" spans="36:46" x14ac:dyDescent="0.3">
      <c r="AJ824">
        <v>70228</v>
      </c>
      <c r="AK824" s="30">
        <v>42662</v>
      </c>
      <c r="AL824" t="s">
        <v>657</v>
      </c>
      <c r="AM824">
        <v>92</v>
      </c>
      <c r="AN824" t="str">
        <f>VLOOKUP(Transaction[[#This Row],[Model No.]],$AV$2:$BD$100,2,TRUE)</f>
        <v>Four Seasons Collection Late Harvest White Moscato Dessert Muscat</v>
      </c>
      <c r="AO824" s="21">
        <f>VLOOKUP(Transaction[[#This Row],[Model No.]],$AV$2:$BD$100,6,TRUE)</f>
        <v>7.69</v>
      </c>
      <c r="AP824" s="9">
        <v>5</v>
      </c>
      <c r="AQ824" s="5">
        <f>Transaction[[#This Row],[Price]]*Transaction[[#This Row],[Qty]]</f>
        <v>38.450000000000003</v>
      </c>
      <c r="AR824" s="5">
        <f>VLOOKUP(Transaction[[#This Row],[Model No.]],$AV$2:$BD$100,7,TRUE)*Transaction[[#This Row],[Qty]]</f>
        <v>3.8450000000000006</v>
      </c>
      <c r="AS824">
        <v>1102</v>
      </c>
      <c r="AT824">
        <v>1005</v>
      </c>
    </row>
    <row r="825" spans="36:46" x14ac:dyDescent="0.3">
      <c r="AJ825">
        <v>12579</v>
      </c>
      <c r="AK825" s="30">
        <v>42664</v>
      </c>
      <c r="AL825" t="s">
        <v>709</v>
      </c>
      <c r="AM825">
        <v>6</v>
      </c>
      <c r="AN825" t="str">
        <f>VLOOKUP(Transaction[[#This Row],[Model No.]],$AV$2:$BD$100,2,TRUE)</f>
        <v>Agricola Punica Barrua Isola Dei Nuraghi IGT Carignan</v>
      </c>
      <c r="AO825" s="21">
        <f>VLOOKUP(Transaction[[#This Row],[Model No.]],$AV$2:$BD$100,6,TRUE)</f>
        <v>46.99</v>
      </c>
      <c r="AP825" s="9">
        <v>1</v>
      </c>
      <c r="AQ825" s="5">
        <f>Transaction[[#This Row],[Price]]*Transaction[[#This Row],[Qty]]</f>
        <v>46.99</v>
      </c>
      <c r="AR825" s="5">
        <f>VLOOKUP(Transaction[[#This Row],[Model No.]],$AV$2:$BD$100,7,TRUE)*Transaction[[#This Row],[Qty]]</f>
        <v>4.6990000000000007</v>
      </c>
      <c r="AS825">
        <v>1098</v>
      </c>
      <c r="AT825">
        <v>1000</v>
      </c>
    </row>
    <row r="826" spans="36:46" x14ac:dyDescent="0.3">
      <c r="AJ826">
        <v>97518</v>
      </c>
      <c r="AK826" s="30">
        <v>42665</v>
      </c>
      <c r="AL826" t="s">
        <v>351</v>
      </c>
      <c r="AM826">
        <v>12</v>
      </c>
      <c r="AN826" t="str">
        <f>VLOOKUP(Transaction[[#This Row],[Model No.]],$AV$2:$BD$100,2,TRUE)</f>
        <v>Cuvaison Pinot Noir</v>
      </c>
      <c r="AO826" s="21">
        <f>VLOOKUP(Transaction[[#This Row],[Model No.]],$AV$2:$BD$100,6,TRUE)</f>
        <v>36.99</v>
      </c>
      <c r="AP826" s="9">
        <v>3</v>
      </c>
      <c r="AQ826" s="5">
        <f>Transaction[[#This Row],[Price]]*Transaction[[#This Row],[Qty]]</f>
        <v>110.97</v>
      </c>
      <c r="AR826" s="5">
        <f>VLOOKUP(Transaction[[#This Row],[Model No.]],$AV$2:$BD$100,7,TRUE)*Transaction[[#This Row],[Qty]]</f>
        <v>11.097000000000001</v>
      </c>
      <c r="AS826">
        <v>1099</v>
      </c>
      <c r="AT826">
        <v>1017</v>
      </c>
    </row>
    <row r="827" spans="36:46" x14ac:dyDescent="0.3">
      <c r="AJ827">
        <v>64707</v>
      </c>
      <c r="AK827" s="30">
        <v>42666</v>
      </c>
      <c r="AL827" t="s">
        <v>717</v>
      </c>
      <c r="AM827">
        <v>4</v>
      </c>
      <c r="AN827" t="str">
        <f>VLOOKUP(Transaction[[#This Row],[Model No.]],$AV$2:$BD$100,2,TRUE)</f>
        <v>Stags' Leap Winery Cabernet Sauvignon</v>
      </c>
      <c r="AO827" s="21">
        <f>VLOOKUP(Transaction[[#This Row],[Model No.]],$AV$2:$BD$100,6,TRUE)</f>
        <v>54.99</v>
      </c>
      <c r="AP827" s="9">
        <v>4</v>
      </c>
      <c r="AQ827" s="5">
        <f>Transaction[[#This Row],[Price]]*Transaction[[#This Row],[Qty]]</f>
        <v>219.96</v>
      </c>
      <c r="AR827" s="5">
        <f>VLOOKUP(Transaction[[#This Row],[Model No.]],$AV$2:$BD$100,7,TRUE)*Transaction[[#This Row],[Qty]]</f>
        <v>21.996000000000002</v>
      </c>
      <c r="AS827">
        <v>1098</v>
      </c>
      <c r="AT827">
        <v>1006</v>
      </c>
    </row>
    <row r="828" spans="36:46" x14ac:dyDescent="0.3">
      <c r="AJ828">
        <v>83783</v>
      </c>
      <c r="AK828" s="30">
        <v>42666</v>
      </c>
      <c r="AL828" t="s">
        <v>833</v>
      </c>
      <c r="AM828">
        <v>13</v>
      </c>
      <c r="AN828" t="str">
        <f>VLOOKUP(Transaction[[#This Row],[Model No.]],$AV$2:$BD$100,2,TRUE)</f>
        <v>Luxardo Maraschino Liqueur</v>
      </c>
      <c r="AO828" s="21">
        <f>VLOOKUP(Transaction[[#This Row],[Model No.]],$AV$2:$BD$100,6,TRUE)</f>
        <v>36.99</v>
      </c>
      <c r="AP828" s="9">
        <v>3</v>
      </c>
      <c r="AQ828" s="5">
        <f>Transaction[[#This Row],[Price]]*Transaction[[#This Row],[Qty]]</f>
        <v>110.97</v>
      </c>
      <c r="AR828" s="5">
        <f>VLOOKUP(Transaction[[#This Row],[Model No.]],$AV$2:$BD$100,7,TRUE)*Transaction[[#This Row],[Qty]]</f>
        <v>33.290999999999997</v>
      </c>
      <c r="AS828">
        <v>1108</v>
      </c>
      <c r="AT828">
        <v>1021</v>
      </c>
    </row>
    <row r="829" spans="36:46" x14ac:dyDescent="0.3">
      <c r="AJ829">
        <v>24321</v>
      </c>
      <c r="AK829" s="30">
        <v>42667</v>
      </c>
      <c r="AL829" t="s">
        <v>1545</v>
      </c>
      <c r="AM829">
        <v>40</v>
      </c>
      <c r="AN829" t="str">
        <f>VLOOKUP(Transaction[[#This Row],[Model No.]],$AV$2:$BD$100,2,TRUE)</f>
        <v>Takara Can Chu Hi JPop Grapefruit - 6 Pack</v>
      </c>
      <c r="AO829" s="21">
        <f>VLOOKUP(Transaction[[#This Row],[Model No.]],$AV$2:$BD$100,6,TRUE)</f>
        <v>17.989999999999998</v>
      </c>
      <c r="AP829" s="9">
        <v>5</v>
      </c>
      <c r="AQ829" s="5">
        <f>Transaction[[#This Row],[Price]]*Transaction[[#This Row],[Qty]]</f>
        <v>89.949999999999989</v>
      </c>
      <c r="AR829" s="5">
        <f>VLOOKUP(Transaction[[#This Row],[Model No.]],$AV$2:$BD$100,7,TRUE)*Transaction[[#This Row],[Qty]]</f>
        <v>26.984999999999996</v>
      </c>
      <c r="AS829">
        <v>1099</v>
      </c>
      <c r="AT829">
        <v>1012</v>
      </c>
    </row>
    <row r="830" spans="36:46" x14ac:dyDescent="0.3">
      <c r="AJ830">
        <v>58642</v>
      </c>
      <c r="AK830" s="30">
        <v>42670</v>
      </c>
      <c r="AL830" t="s">
        <v>1002</v>
      </c>
      <c r="AM830">
        <v>90</v>
      </c>
      <c r="AN830" t="str">
        <f>VLOOKUP(Transaction[[#This Row],[Model No.]],$AV$2:$BD$100,2,TRUE)</f>
        <v>Carlo Rossi Moscato Sangria Muscat Blanc a Petits Grains</v>
      </c>
      <c r="AO830" s="21">
        <f>VLOOKUP(Transaction[[#This Row],[Model No.]],$AV$2:$BD$100,6,TRUE)</f>
        <v>7.99</v>
      </c>
      <c r="AP830" s="9">
        <v>5</v>
      </c>
      <c r="AQ830" s="5">
        <f>Transaction[[#This Row],[Price]]*Transaction[[#This Row],[Qty]]</f>
        <v>39.950000000000003</v>
      </c>
      <c r="AR830" s="5">
        <f>VLOOKUP(Transaction[[#This Row],[Model No.]],$AV$2:$BD$100,7,TRUE)*Transaction[[#This Row],[Qty]]</f>
        <v>7.99</v>
      </c>
      <c r="AS830">
        <v>1106</v>
      </c>
      <c r="AT830">
        <v>1003</v>
      </c>
    </row>
    <row r="831" spans="36:46" x14ac:dyDescent="0.3">
      <c r="AJ831">
        <v>50830</v>
      </c>
      <c r="AK831" s="30">
        <v>42673</v>
      </c>
      <c r="AL831" t="s">
        <v>714</v>
      </c>
      <c r="AM831">
        <v>39</v>
      </c>
      <c r="AN831" t="str">
        <f>VLOOKUP(Transaction[[#This Row],[Model No.]],$AV$2:$BD$100,2,TRUE)</f>
        <v>Moorhouse's English Owd Ale - 4 Pack</v>
      </c>
      <c r="AO831" s="21">
        <f>VLOOKUP(Transaction[[#This Row],[Model No.]],$AV$2:$BD$100,6,TRUE)</f>
        <v>18.989999999999998</v>
      </c>
      <c r="AP831" s="9">
        <v>1</v>
      </c>
      <c r="AQ831" s="5">
        <f>Transaction[[#This Row],[Price]]*Transaction[[#This Row],[Qty]]</f>
        <v>18.989999999999998</v>
      </c>
      <c r="AR831" s="5">
        <f>VLOOKUP(Transaction[[#This Row],[Model No.]],$AV$2:$BD$100,7,TRUE)*Transaction[[#This Row],[Qty]]</f>
        <v>5.6969999999999992</v>
      </c>
      <c r="AS831">
        <v>1100</v>
      </c>
      <c r="AT831">
        <v>1018</v>
      </c>
    </row>
    <row r="832" spans="36:46" x14ac:dyDescent="0.3">
      <c r="AJ832">
        <v>83650</v>
      </c>
      <c r="AK832" s="30">
        <v>42676</v>
      </c>
      <c r="AL832" t="s">
        <v>948</v>
      </c>
      <c r="AM832">
        <v>80</v>
      </c>
      <c r="AN832" t="str">
        <f>VLOOKUP(Transaction[[#This Row],[Model No.]],$AV$2:$BD$100,2,TRUE)</f>
        <v>Evolution Craft Stalker Hefeweizen - 6 Pack</v>
      </c>
      <c r="AO832" s="21">
        <f>VLOOKUP(Transaction[[#This Row],[Model No.]],$AV$2:$BD$100,6,TRUE)</f>
        <v>10.99</v>
      </c>
      <c r="AP832" s="9">
        <v>2</v>
      </c>
      <c r="AQ832" s="5">
        <f>Transaction[[#This Row],[Price]]*Transaction[[#This Row],[Qty]]</f>
        <v>21.98</v>
      </c>
      <c r="AR832" s="5">
        <f>VLOOKUP(Transaction[[#This Row],[Model No.]],$AV$2:$BD$100,7,TRUE)*Transaction[[#This Row],[Qty]]</f>
        <v>6.5940000000000003</v>
      </c>
      <c r="AS832">
        <v>1107</v>
      </c>
      <c r="AT832">
        <v>1018</v>
      </c>
    </row>
    <row r="833" spans="36:46" x14ac:dyDescent="0.3">
      <c r="AJ833">
        <v>44227</v>
      </c>
      <c r="AK833" s="30">
        <v>42677</v>
      </c>
      <c r="AL833" t="s">
        <v>1125</v>
      </c>
      <c r="AM833">
        <v>52</v>
      </c>
      <c r="AN833" t="str">
        <f>VLOOKUP(Transaction[[#This Row],[Model No.]],$AV$2:$BD$100,2,TRUE)</f>
        <v>Finca Las Moras Barrel Select Cabernet Sauvignon</v>
      </c>
      <c r="AO833" s="21">
        <f>VLOOKUP(Transaction[[#This Row],[Model No.]],$AV$2:$BD$100,6,TRUE)</f>
        <v>14.99</v>
      </c>
      <c r="AP833" s="9">
        <v>3</v>
      </c>
      <c r="AQ833" s="5">
        <f>Transaction[[#This Row],[Price]]*Transaction[[#This Row],[Qty]]</f>
        <v>44.97</v>
      </c>
      <c r="AR833" s="5">
        <f>VLOOKUP(Transaction[[#This Row],[Model No.]],$AV$2:$BD$100,7,TRUE)*Transaction[[#This Row],[Qty]]</f>
        <v>4.4969999999999999</v>
      </c>
      <c r="AS833">
        <v>1106</v>
      </c>
      <c r="AT833">
        <v>1002</v>
      </c>
    </row>
    <row r="834" spans="36:46" x14ac:dyDescent="0.3">
      <c r="AJ834">
        <v>77717</v>
      </c>
      <c r="AK834" s="30">
        <v>42677</v>
      </c>
      <c r="AL834" t="s">
        <v>1261</v>
      </c>
      <c r="AM834">
        <v>53</v>
      </c>
      <c r="AN834" t="str">
        <f>VLOOKUP(Transaction[[#This Row],[Model No.]],$AV$2:$BD$100,2,TRUE)</f>
        <v>Ommegang Hennepin - 4 Pack</v>
      </c>
      <c r="AO834" s="21">
        <f>VLOOKUP(Transaction[[#This Row],[Model No.]],$AV$2:$BD$100,6,TRUE)</f>
        <v>14.99</v>
      </c>
      <c r="AP834" s="9">
        <v>1</v>
      </c>
      <c r="AQ834" s="5">
        <f>Transaction[[#This Row],[Price]]*Transaction[[#This Row],[Qty]]</f>
        <v>14.99</v>
      </c>
      <c r="AR834" s="5">
        <f>VLOOKUP(Transaction[[#This Row],[Model No.]],$AV$2:$BD$100,7,TRUE)*Transaction[[#This Row],[Qty]]</f>
        <v>4.4969999999999999</v>
      </c>
      <c r="AS834">
        <v>1103</v>
      </c>
      <c r="AT834">
        <v>1016</v>
      </c>
    </row>
    <row r="835" spans="36:46" x14ac:dyDescent="0.3">
      <c r="AJ835">
        <v>14648</v>
      </c>
      <c r="AK835" s="30">
        <v>42677</v>
      </c>
      <c r="AL835" t="s">
        <v>1692</v>
      </c>
      <c r="AM835">
        <v>58</v>
      </c>
      <c r="AN835" t="str">
        <f>VLOOKUP(Transaction[[#This Row],[Model No.]],$AV$2:$BD$100,2,TRUE)</f>
        <v>Smirnoff Mango Vodka</v>
      </c>
      <c r="AO835" s="21">
        <f>VLOOKUP(Transaction[[#This Row],[Model No.]],$AV$2:$BD$100,6,TRUE)</f>
        <v>13.49</v>
      </c>
      <c r="AP835" s="9">
        <v>2</v>
      </c>
      <c r="AQ835" s="5">
        <f>Transaction[[#This Row],[Price]]*Transaction[[#This Row],[Qty]]</f>
        <v>26.98</v>
      </c>
      <c r="AR835" s="5">
        <f>VLOOKUP(Transaction[[#This Row],[Model No.]],$AV$2:$BD$100,7,TRUE)*Transaction[[#This Row],[Qty]]</f>
        <v>8.0939999999999994</v>
      </c>
      <c r="AS835">
        <v>1099</v>
      </c>
      <c r="AT835">
        <v>1012</v>
      </c>
    </row>
    <row r="836" spans="36:46" x14ac:dyDescent="0.3">
      <c r="AJ836">
        <v>12879</v>
      </c>
      <c r="AK836" s="30">
        <v>42678</v>
      </c>
      <c r="AL836" t="s">
        <v>1589</v>
      </c>
      <c r="AM836">
        <v>87</v>
      </c>
      <c r="AN836" t="str">
        <f>VLOOKUP(Transaction[[#This Row],[Model No.]],$AV$2:$BD$100,2,TRUE)</f>
        <v>Cruzan 9 Spiced Rum</v>
      </c>
      <c r="AO836" s="21">
        <f>VLOOKUP(Transaction[[#This Row],[Model No.]],$AV$2:$BD$100,6,TRUE)</f>
        <v>9.49</v>
      </c>
      <c r="AP836" s="9">
        <v>4</v>
      </c>
      <c r="AQ836" s="5">
        <f>Transaction[[#This Row],[Price]]*Transaction[[#This Row],[Qty]]</f>
        <v>37.96</v>
      </c>
      <c r="AR836" s="5">
        <f>VLOOKUP(Transaction[[#This Row],[Model No.]],$AV$2:$BD$100,7,TRUE)*Transaction[[#This Row],[Qty]]</f>
        <v>7.5920000000000005</v>
      </c>
      <c r="AS836">
        <v>1106</v>
      </c>
      <c r="AT836">
        <v>1019</v>
      </c>
    </row>
    <row r="837" spans="36:46" x14ac:dyDescent="0.3">
      <c r="AJ837">
        <v>93316</v>
      </c>
      <c r="AK837" s="30">
        <v>42679</v>
      </c>
      <c r="AL837" t="s">
        <v>964</v>
      </c>
      <c r="AM837">
        <v>29</v>
      </c>
      <c r="AN837" t="str">
        <f>VLOOKUP(Transaction[[#This Row],[Model No.]],$AV$2:$BD$100,2,TRUE)</f>
        <v>SCHLAFLY STOUT BOUT SAMPLER   2/12 - 12 Pack</v>
      </c>
      <c r="AO837" s="21">
        <f>VLOOKUP(Transaction[[#This Row],[Model No.]],$AV$2:$BD$100,6,TRUE)</f>
        <v>22.99</v>
      </c>
      <c r="AP837" s="9">
        <v>5</v>
      </c>
      <c r="AQ837" s="5">
        <f>Transaction[[#This Row],[Price]]*Transaction[[#This Row],[Qty]]</f>
        <v>114.94999999999999</v>
      </c>
      <c r="AR837" s="5">
        <f>VLOOKUP(Transaction[[#This Row],[Model No.]],$AV$2:$BD$100,7,TRUE)*Transaction[[#This Row],[Qty]]</f>
        <v>34.484999999999999</v>
      </c>
      <c r="AS837">
        <v>1098</v>
      </c>
      <c r="AT837">
        <v>1008</v>
      </c>
    </row>
    <row r="838" spans="36:46" x14ac:dyDescent="0.3">
      <c r="AJ838">
        <v>46908</v>
      </c>
      <c r="AK838" s="30">
        <v>42682</v>
      </c>
      <c r="AL838" t="s">
        <v>1693</v>
      </c>
      <c r="AM838">
        <v>55</v>
      </c>
      <c r="AN838" t="str">
        <f>VLOOKUP(Transaction[[#This Row],[Model No.]],$AV$2:$BD$100,2,TRUE)</f>
        <v>Clos du Bois Hand Selected Lots Shiraz</v>
      </c>
      <c r="AO838" s="21">
        <f>VLOOKUP(Transaction[[#This Row],[Model No.]],$AV$2:$BD$100,6,TRUE)</f>
        <v>14.49</v>
      </c>
      <c r="AP838" s="9">
        <v>4</v>
      </c>
      <c r="AQ838" s="5">
        <f>Transaction[[#This Row],[Price]]*Transaction[[#This Row],[Qty]]</f>
        <v>57.96</v>
      </c>
      <c r="AR838" s="5">
        <f>VLOOKUP(Transaction[[#This Row],[Model No.]],$AV$2:$BD$100,7,TRUE)*Transaction[[#This Row],[Qty]]</f>
        <v>5.7960000000000003</v>
      </c>
      <c r="AS838">
        <v>1108</v>
      </c>
      <c r="AT838">
        <v>1007</v>
      </c>
    </row>
    <row r="839" spans="36:46" x14ac:dyDescent="0.3">
      <c r="AJ839">
        <v>33336</v>
      </c>
      <c r="AK839" s="30">
        <v>42682</v>
      </c>
      <c r="AL839" t="s">
        <v>443</v>
      </c>
      <c r="AM839">
        <v>55</v>
      </c>
      <c r="AN839" t="str">
        <f>VLOOKUP(Transaction[[#This Row],[Model No.]],$AV$2:$BD$100,2,TRUE)</f>
        <v>Clos du Bois Hand Selected Lots Shiraz</v>
      </c>
      <c r="AO839" s="21">
        <f>VLOOKUP(Transaction[[#This Row],[Model No.]],$AV$2:$BD$100,6,TRUE)</f>
        <v>14.49</v>
      </c>
      <c r="AP839" s="9">
        <v>3</v>
      </c>
      <c r="AQ839" s="5">
        <f>Transaction[[#This Row],[Price]]*Transaction[[#This Row],[Qty]]</f>
        <v>43.47</v>
      </c>
      <c r="AR839" s="5">
        <f>VLOOKUP(Transaction[[#This Row],[Model No.]],$AV$2:$BD$100,7,TRUE)*Transaction[[#This Row],[Qty]]</f>
        <v>4.3470000000000004</v>
      </c>
      <c r="AS839">
        <v>1108</v>
      </c>
      <c r="AT839">
        <v>1019</v>
      </c>
    </row>
    <row r="840" spans="36:46" x14ac:dyDescent="0.3">
      <c r="AJ840">
        <v>14359</v>
      </c>
      <c r="AK840" s="30">
        <v>42682</v>
      </c>
      <c r="AL840" t="s">
        <v>585</v>
      </c>
      <c r="AM840">
        <v>96</v>
      </c>
      <c r="AN840" t="str">
        <f>VLOOKUP(Transaction[[#This Row],[Model No.]],$AV$2:$BD$100,2,TRUE)</f>
        <v>Arbor Mist Blackberry Merlot</v>
      </c>
      <c r="AO840" s="21">
        <f>VLOOKUP(Transaction[[#This Row],[Model No.]],$AV$2:$BD$100,6,TRUE)</f>
        <v>6.19</v>
      </c>
      <c r="AP840" s="9">
        <v>2</v>
      </c>
      <c r="AQ840" s="5">
        <f>Transaction[[#This Row],[Price]]*Transaction[[#This Row],[Qty]]</f>
        <v>12.38</v>
      </c>
      <c r="AR840" s="5">
        <f>VLOOKUP(Transaction[[#This Row],[Model No.]],$AV$2:$BD$100,7,TRUE)*Transaction[[#This Row],[Qty]]</f>
        <v>1.2380000000000002</v>
      </c>
      <c r="AS840">
        <v>1108</v>
      </c>
      <c r="AT840">
        <v>1018</v>
      </c>
    </row>
    <row r="841" spans="36:46" x14ac:dyDescent="0.3">
      <c r="AJ841">
        <v>71215</v>
      </c>
      <c r="AK841" s="30">
        <v>42685</v>
      </c>
      <c r="AL841" t="s">
        <v>1238</v>
      </c>
      <c r="AM841">
        <v>45</v>
      </c>
      <c r="AN841" t="str">
        <f>VLOOKUP(Transaction[[#This Row],[Model No.]],$AV$2:$BD$100,2,TRUE)</f>
        <v>Sixpoint Resin - 6 Pack</v>
      </c>
      <c r="AO841" s="21">
        <f>VLOOKUP(Transaction[[#This Row],[Model No.]],$AV$2:$BD$100,6,TRUE)</f>
        <v>15.99</v>
      </c>
      <c r="AP841" s="9">
        <v>3</v>
      </c>
      <c r="AQ841" s="5">
        <f>Transaction[[#This Row],[Price]]*Transaction[[#This Row],[Qty]]</f>
        <v>47.97</v>
      </c>
      <c r="AR841" s="5">
        <f>VLOOKUP(Transaction[[#This Row],[Model No.]],$AV$2:$BD$100,7,TRUE)*Transaction[[#This Row],[Qty]]</f>
        <v>14.390999999999998</v>
      </c>
      <c r="AS841">
        <v>1100</v>
      </c>
      <c r="AT841">
        <v>1002</v>
      </c>
    </row>
    <row r="842" spans="36:46" x14ac:dyDescent="0.3">
      <c r="AJ842">
        <v>84203</v>
      </c>
      <c r="AK842" s="30">
        <v>42685</v>
      </c>
      <c r="AL842" t="s">
        <v>813</v>
      </c>
      <c r="AM842">
        <v>89</v>
      </c>
      <c r="AN842" t="str">
        <f>VLOOKUP(Transaction[[#This Row],[Model No.]],$AV$2:$BD$100,2,TRUE)</f>
        <v>Piera Martellozzo Blu Giovello Moscato Puglia IGT Muscat</v>
      </c>
      <c r="AO842" s="21">
        <f>VLOOKUP(Transaction[[#This Row],[Model No.]],$AV$2:$BD$100,6,TRUE)</f>
        <v>8.49</v>
      </c>
      <c r="AP842" s="9">
        <v>1</v>
      </c>
      <c r="AQ842" s="5">
        <f>Transaction[[#This Row],[Price]]*Transaction[[#This Row],[Qty]]</f>
        <v>8.49</v>
      </c>
      <c r="AR842" s="5">
        <f>VLOOKUP(Transaction[[#This Row],[Model No.]],$AV$2:$BD$100,7,TRUE)*Transaction[[#This Row],[Qty]]</f>
        <v>0.84900000000000009</v>
      </c>
      <c r="AS842">
        <v>1106</v>
      </c>
      <c r="AT842">
        <v>1000</v>
      </c>
    </row>
    <row r="843" spans="36:46" x14ac:dyDescent="0.3">
      <c r="AJ843">
        <v>27230</v>
      </c>
      <c r="AK843" s="30">
        <v>42690</v>
      </c>
      <c r="AL843" t="s">
        <v>1657</v>
      </c>
      <c r="AM843">
        <v>47</v>
      </c>
      <c r="AN843" t="str">
        <f>VLOOKUP(Transaction[[#This Row],[Model No.]],$AV$2:$BD$100,2,TRUE)</f>
        <v>IL Tramonto Amaretto Liqueur</v>
      </c>
      <c r="AO843" s="21">
        <f>VLOOKUP(Transaction[[#This Row],[Model No.]],$AV$2:$BD$100,6,TRUE)</f>
        <v>15.99</v>
      </c>
      <c r="AP843" s="9">
        <v>2</v>
      </c>
      <c r="AQ843" s="5">
        <f>Transaction[[#This Row],[Price]]*Transaction[[#This Row],[Qty]]</f>
        <v>31.98</v>
      </c>
      <c r="AR843" s="5">
        <f>VLOOKUP(Transaction[[#This Row],[Model No.]],$AV$2:$BD$100,7,TRUE)*Transaction[[#This Row],[Qty]]</f>
        <v>9.5939999999999994</v>
      </c>
      <c r="AS843">
        <v>1105</v>
      </c>
      <c r="AT843">
        <v>1012</v>
      </c>
    </row>
    <row r="844" spans="36:46" x14ac:dyDescent="0.3">
      <c r="AJ844">
        <v>49458</v>
      </c>
      <c r="AK844" s="30">
        <v>42691</v>
      </c>
      <c r="AL844" t="s">
        <v>1383</v>
      </c>
      <c r="AM844">
        <v>89</v>
      </c>
      <c r="AN844" t="str">
        <f>VLOOKUP(Transaction[[#This Row],[Model No.]],$AV$2:$BD$100,2,TRUE)</f>
        <v>Piera Martellozzo Blu Giovello Moscato Puglia IGT Muscat</v>
      </c>
      <c r="AO844" s="21">
        <f>VLOOKUP(Transaction[[#This Row],[Model No.]],$AV$2:$BD$100,6,TRUE)</f>
        <v>8.49</v>
      </c>
      <c r="AP844" s="9">
        <v>1</v>
      </c>
      <c r="AQ844" s="5">
        <f>Transaction[[#This Row],[Price]]*Transaction[[#This Row],[Qty]]</f>
        <v>8.49</v>
      </c>
      <c r="AR844" s="5">
        <f>VLOOKUP(Transaction[[#This Row],[Model No.]],$AV$2:$BD$100,7,TRUE)*Transaction[[#This Row],[Qty]]</f>
        <v>0.84900000000000009</v>
      </c>
      <c r="AS844">
        <v>1105</v>
      </c>
      <c r="AT844">
        <v>1021</v>
      </c>
    </row>
    <row r="845" spans="36:46" x14ac:dyDescent="0.3">
      <c r="AJ845">
        <v>96753</v>
      </c>
      <c r="AK845" s="30">
        <v>42692</v>
      </c>
      <c r="AL845" t="s">
        <v>1807</v>
      </c>
      <c r="AM845">
        <v>62</v>
      </c>
      <c r="AN845" t="str">
        <f>VLOOKUP(Transaction[[#This Row],[Model No.]],$AV$2:$BD$100,2,TRUE)</f>
        <v>Beerlao Dark Lager - 6 Pack</v>
      </c>
      <c r="AO845" s="21">
        <f>VLOOKUP(Transaction[[#This Row],[Model No.]],$AV$2:$BD$100,6,TRUE)</f>
        <v>12.99</v>
      </c>
      <c r="AP845" s="9">
        <v>5</v>
      </c>
      <c r="AQ845" s="5">
        <f>Transaction[[#This Row],[Price]]*Transaction[[#This Row],[Qty]]</f>
        <v>64.95</v>
      </c>
      <c r="AR845" s="5">
        <f>VLOOKUP(Transaction[[#This Row],[Model No.]],$AV$2:$BD$100,7,TRUE)*Transaction[[#This Row],[Qty]]</f>
        <v>19.484999999999999</v>
      </c>
      <c r="AS845">
        <v>1102</v>
      </c>
      <c r="AT845">
        <v>1015</v>
      </c>
    </row>
    <row r="846" spans="36:46" x14ac:dyDescent="0.3">
      <c r="AJ846">
        <v>14188</v>
      </c>
      <c r="AK846" s="30">
        <v>42697</v>
      </c>
      <c r="AL846" t="s">
        <v>596</v>
      </c>
      <c r="AM846">
        <v>15</v>
      </c>
      <c r="AN846" t="str">
        <f>VLOOKUP(Transaction[[#This Row],[Model No.]],$AV$2:$BD$100,2,TRUE)</f>
        <v>Wild Turkey 101 Kentucky Straight Bourbon Whiskey</v>
      </c>
      <c r="AO846" s="21">
        <f>VLOOKUP(Transaction[[#This Row],[Model No.]],$AV$2:$BD$100,6,TRUE)</f>
        <v>32.99</v>
      </c>
      <c r="AP846" s="9">
        <v>1</v>
      </c>
      <c r="AQ846" s="5">
        <f>Transaction[[#This Row],[Price]]*Transaction[[#This Row],[Qty]]</f>
        <v>32.99</v>
      </c>
      <c r="AR846" s="5">
        <f>VLOOKUP(Transaction[[#This Row],[Model No.]],$AV$2:$BD$100,7,TRUE)*Transaction[[#This Row],[Qty]]</f>
        <v>6.5980000000000008</v>
      </c>
      <c r="AS846">
        <v>1099</v>
      </c>
      <c r="AT846">
        <v>1003</v>
      </c>
    </row>
    <row r="847" spans="36:46" x14ac:dyDescent="0.3">
      <c r="AJ847">
        <v>92164</v>
      </c>
      <c r="AK847" s="30">
        <v>42697</v>
      </c>
      <c r="AL847" t="s">
        <v>345</v>
      </c>
      <c r="AM847">
        <v>24</v>
      </c>
      <c r="AN847" t="str">
        <f>VLOOKUP(Transaction[[#This Row],[Model No.]],$AV$2:$BD$100,2,TRUE)</f>
        <v>Matchbook The Arsonist Bordeaux Blend</v>
      </c>
      <c r="AO847" s="21">
        <f>VLOOKUP(Transaction[[#This Row],[Model No.]],$AV$2:$BD$100,6,TRUE)</f>
        <v>24.99</v>
      </c>
      <c r="AP847" s="9">
        <v>4</v>
      </c>
      <c r="AQ847" s="5">
        <f>Transaction[[#This Row],[Price]]*Transaction[[#This Row],[Qty]]</f>
        <v>99.96</v>
      </c>
      <c r="AR847" s="5">
        <f>VLOOKUP(Transaction[[#This Row],[Model No.]],$AV$2:$BD$100,7,TRUE)*Transaction[[#This Row],[Qty]]</f>
        <v>9.9960000000000004</v>
      </c>
      <c r="AS847">
        <v>1107</v>
      </c>
      <c r="AT847">
        <v>1014</v>
      </c>
    </row>
    <row r="848" spans="36:46" x14ac:dyDescent="0.3">
      <c r="AJ848">
        <v>11639</v>
      </c>
      <c r="AK848" s="30">
        <v>42698</v>
      </c>
      <c r="AL848" t="s">
        <v>1251</v>
      </c>
      <c r="AM848">
        <v>94</v>
      </c>
      <c r="AN848" t="str">
        <f>VLOOKUP(Transaction[[#This Row],[Model No.]],$AV$2:$BD$100,2,TRUE)</f>
        <v>Freixenet Blanc de Blancs Brut Cava Blend</v>
      </c>
      <c r="AO848" s="21">
        <f>VLOOKUP(Transaction[[#This Row],[Model No.]],$AV$2:$BD$100,6,TRUE)</f>
        <v>7.49</v>
      </c>
      <c r="AP848" s="9">
        <v>1</v>
      </c>
      <c r="AQ848" s="5">
        <f>Transaction[[#This Row],[Price]]*Transaction[[#This Row],[Qty]]</f>
        <v>7.49</v>
      </c>
      <c r="AR848" s="5">
        <f>VLOOKUP(Transaction[[#This Row],[Model No.]],$AV$2:$BD$100,7,TRUE)*Transaction[[#This Row],[Qty]]</f>
        <v>0.74900000000000011</v>
      </c>
      <c r="AS848">
        <v>1108</v>
      </c>
      <c r="AT848">
        <v>1017</v>
      </c>
    </row>
    <row r="849" spans="36:46" x14ac:dyDescent="0.3">
      <c r="AJ849">
        <v>53726</v>
      </c>
      <c r="AK849" s="30">
        <v>42700</v>
      </c>
      <c r="AL849" t="s">
        <v>365</v>
      </c>
      <c r="AM849">
        <v>66</v>
      </c>
      <c r="AN849" t="str">
        <f>VLOOKUP(Transaction[[#This Row],[Model No.]],$AV$2:$BD$100,2,TRUE)</f>
        <v>Red Horse Beer - 6 Pack</v>
      </c>
      <c r="AO849" s="21">
        <f>VLOOKUP(Transaction[[#This Row],[Model No.]],$AV$2:$BD$100,6,TRUE)</f>
        <v>12.99</v>
      </c>
      <c r="AP849" s="9">
        <v>3</v>
      </c>
      <c r="AQ849" s="5">
        <f>Transaction[[#This Row],[Price]]*Transaction[[#This Row],[Qty]]</f>
        <v>38.97</v>
      </c>
      <c r="AR849" s="5">
        <f>VLOOKUP(Transaction[[#This Row],[Model No.]],$AV$2:$BD$100,7,TRUE)*Transaction[[#This Row],[Qty]]</f>
        <v>11.690999999999999</v>
      </c>
      <c r="AS849">
        <v>1107</v>
      </c>
      <c r="AT849">
        <v>1008</v>
      </c>
    </row>
    <row r="850" spans="36:46" x14ac:dyDescent="0.3">
      <c r="AJ850">
        <v>38984</v>
      </c>
      <c r="AK850" s="30">
        <v>42702</v>
      </c>
      <c r="AL850" t="s">
        <v>514</v>
      </c>
      <c r="AM850">
        <v>65</v>
      </c>
      <c r="AN850" t="str">
        <f>VLOOKUP(Transaction[[#This Row],[Model No.]],$AV$2:$BD$100,2,TRUE)</f>
        <v>Shipyard Summer Ale - 6 Pack</v>
      </c>
      <c r="AO850" s="21">
        <f>VLOOKUP(Transaction[[#This Row],[Model No.]],$AV$2:$BD$100,6,TRUE)</f>
        <v>12.99</v>
      </c>
      <c r="AP850" s="9">
        <v>5</v>
      </c>
      <c r="AQ850" s="5">
        <f>Transaction[[#This Row],[Price]]*Transaction[[#This Row],[Qty]]</f>
        <v>64.95</v>
      </c>
      <c r="AR850" s="5">
        <f>VLOOKUP(Transaction[[#This Row],[Model No.]],$AV$2:$BD$100,7,TRUE)*Transaction[[#This Row],[Qty]]</f>
        <v>19.484999999999999</v>
      </c>
      <c r="AS850">
        <v>1100</v>
      </c>
      <c r="AT850">
        <v>1013</v>
      </c>
    </row>
    <row r="851" spans="36:46" x14ac:dyDescent="0.3">
      <c r="AJ851">
        <v>49474</v>
      </c>
      <c r="AK851" s="30">
        <v>42702</v>
      </c>
      <c r="AL851" t="s">
        <v>1879</v>
      </c>
      <c r="AM851">
        <v>74</v>
      </c>
      <c r="AN851" t="str">
        <f>VLOOKUP(Transaction[[#This Row],[Model No.]],$AV$2:$BD$100,2,TRUE)</f>
        <v>UINTA PALE ALE NR - 6 Pack</v>
      </c>
      <c r="AO851" s="21">
        <f>VLOOKUP(Transaction[[#This Row],[Model No.]],$AV$2:$BD$100,6,TRUE)</f>
        <v>11.99</v>
      </c>
      <c r="AP851" s="9">
        <v>1</v>
      </c>
      <c r="AQ851" s="5">
        <f>Transaction[[#This Row],[Price]]*Transaction[[#This Row],[Qty]]</f>
        <v>11.99</v>
      </c>
      <c r="AR851" s="5">
        <f>VLOOKUP(Transaction[[#This Row],[Model No.]],$AV$2:$BD$100,7,TRUE)*Transaction[[#This Row],[Qty]]</f>
        <v>3.597</v>
      </c>
      <c r="AS851">
        <v>1101</v>
      </c>
      <c r="AT851">
        <v>1014</v>
      </c>
    </row>
    <row r="852" spans="36:46" x14ac:dyDescent="0.3">
      <c r="AJ852">
        <v>90956</v>
      </c>
      <c r="AK852" s="30">
        <v>42703</v>
      </c>
      <c r="AL852" t="s">
        <v>470</v>
      </c>
      <c r="AM852">
        <v>59</v>
      </c>
      <c r="AN852" t="str">
        <f>VLOOKUP(Transaction[[#This Row],[Model No.]],$AV$2:$BD$100,2,TRUE)</f>
        <v>Smirnoff Kissed Caramel Vodka</v>
      </c>
      <c r="AO852" s="21">
        <f>VLOOKUP(Transaction[[#This Row],[Model No.]],$AV$2:$BD$100,6,TRUE)</f>
        <v>13.49</v>
      </c>
      <c r="AP852" s="9">
        <v>5</v>
      </c>
      <c r="AQ852" s="5">
        <f>Transaction[[#This Row],[Price]]*Transaction[[#This Row],[Qty]]</f>
        <v>67.45</v>
      </c>
      <c r="AR852" s="5">
        <f>VLOOKUP(Transaction[[#This Row],[Model No.]],$AV$2:$BD$100,7,TRUE)*Transaction[[#This Row],[Qty]]</f>
        <v>20.234999999999999</v>
      </c>
      <c r="AS852">
        <v>1101</v>
      </c>
      <c r="AT852">
        <v>1013</v>
      </c>
    </row>
    <row r="853" spans="36:46" x14ac:dyDescent="0.3">
      <c r="AJ853">
        <v>57664</v>
      </c>
      <c r="AK853" s="30">
        <v>42705</v>
      </c>
      <c r="AL853" t="s">
        <v>513</v>
      </c>
      <c r="AM853">
        <v>91</v>
      </c>
      <c r="AN853" t="str">
        <f>VLOOKUP(Transaction[[#This Row],[Model No.]],$AV$2:$BD$100,2,TRUE)</f>
        <v>Rex Goliath Free Range Giant 47 Pound Rooster Merlot</v>
      </c>
      <c r="AO853" s="21">
        <f>VLOOKUP(Transaction[[#This Row],[Model No.]],$AV$2:$BD$100,6,TRUE)</f>
        <v>7.79</v>
      </c>
      <c r="AP853" s="9">
        <v>5</v>
      </c>
      <c r="AQ853" s="5">
        <f>Transaction[[#This Row],[Price]]*Transaction[[#This Row],[Qty]]</f>
        <v>38.950000000000003</v>
      </c>
      <c r="AR853" s="5">
        <f>VLOOKUP(Transaction[[#This Row],[Model No.]],$AV$2:$BD$100,7,TRUE)*Transaction[[#This Row],[Qty]]</f>
        <v>3.895</v>
      </c>
      <c r="AS853">
        <v>1099</v>
      </c>
      <c r="AT853">
        <v>1015</v>
      </c>
    </row>
    <row r="854" spans="36:46" x14ac:dyDescent="0.3">
      <c r="AJ854">
        <v>26580</v>
      </c>
      <c r="AK854" s="30">
        <v>42706</v>
      </c>
      <c r="AL854" t="s">
        <v>1289</v>
      </c>
      <c r="AM854">
        <v>20</v>
      </c>
      <c r="AN854" t="str">
        <f>VLOOKUP(Transaction[[#This Row],[Model No.]],$AV$2:$BD$100,2,TRUE)</f>
        <v>Stonewall American Rum</v>
      </c>
      <c r="AO854" s="21">
        <f>VLOOKUP(Transaction[[#This Row],[Model No.]],$AV$2:$BD$100,6,TRUE)</f>
        <v>27.99</v>
      </c>
      <c r="AP854" s="9">
        <v>1</v>
      </c>
      <c r="AQ854" s="5">
        <f>Transaction[[#This Row],[Price]]*Transaction[[#This Row],[Qty]]</f>
        <v>27.99</v>
      </c>
      <c r="AR854" s="5">
        <f>VLOOKUP(Transaction[[#This Row],[Model No.]],$AV$2:$BD$100,7,TRUE)*Transaction[[#This Row],[Qty]]</f>
        <v>5.5979999999999999</v>
      </c>
      <c r="AS854">
        <v>1098</v>
      </c>
      <c r="AT854">
        <v>1016</v>
      </c>
    </row>
    <row r="855" spans="36:46" x14ac:dyDescent="0.3">
      <c r="AJ855">
        <v>10543</v>
      </c>
      <c r="AK855" s="30">
        <v>42707</v>
      </c>
      <c r="AL855" t="s">
        <v>1250</v>
      </c>
      <c r="AM855">
        <v>78</v>
      </c>
      <c r="AN855" t="str">
        <f>VLOOKUP(Transaction[[#This Row],[Model No.]],$AV$2:$BD$100,2,TRUE)</f>
        <v>Tomasello Winery Blueberry Wine Red Blend</v>
      </c>
      <c r="AO855" s="21">
        <f>VLOOKUP(Transaction[[#This Row],[Model No.]],$AV$2:$BD$100,6,TRUE)</f>
        <v>11.49</v>
      </c>
      <c r="AP855" s="9">
        <v>3</v>
      </c>
      <c r="AQ855" s="5">
        <f>Transaction[[#This Row],[Price]]*Transaction[[#This Row],[Qty]]</f>
        <v>34.47</v>
      </c>
      <c r="AR855" s="5">
        <f>VLOOKUP(Transaction[[#This Row],[Model No.]],$AV$2:$BD$100,7,TRUE)*Transaction[[#This Row],[Qty]]</f>
        <v>3.4470000000000001</v>
      </c>
      <c r="AS855">
        <v>1105</v>
      </c>
      <c r="AT855">
        <v>1017</v>
      </c>
    </row>
    <row r="856" spans="36:46" x14ac:dyDescent="0.3">
      <c r="AJ856">
        <v>60454</v>
      </c>
      <c r="AK856" s="30">
        <v>42709</v>
      </c>
      <c r="AL856" t="s">
        <v>1428</v>
      </c>
      <c r="AM856">
        <v>8</v>
      </c>
      <c r="AN856" t="str">
        <f>VLOOKUP(Transaction[[#This Row],[Model No.]],$AV$2:$BD$100,2,TRUE)</f>
        <v>Roco Marsh Estate Vineyard Pinot Noir</v>
      </c>
      <c r="AO856" s="21">
        <f>VLOOKUP(Transaction[[#This Row],[Model No.]],$AV$2:$BD$100,6,TRUE)</f>
        <v>44.99</v>
      </c>
      <c r="AP856" s="9">
        <v>5</v>
      </c>
      <c r="AQ856" s="5">
        <f>Transaction[[#This Row],[Price]]*Transaction[[#This Row],[Qty]]</f>
        <v>224.95000000000002</v>
      </c>
      <c r="AR856" s="5">
        <f>VLOOKUP(Transaction[[#This Row],[Model No.]],$AV$2:$BD$100,7,TRUE)*Transaction[[#This Row],[Qty]]</f>
        <v>22.495000000000005</v>
      </c>
      <c r="AS856">
        <v>1102</v>
      </c>
      <c r="AT856">
        <v>1005</v>
      </c>
    </row>
    <row r="857" spans="36:46" x14ac:dyDescent="0.3">
      <c r="AJ857">
        <v>11896</v>
      </c>
      <c r="AK857" s="30">
        <v>42709</v>
      </c>
      <c r="AL857" t="s">
        <v>1749</v>
      </c>
      <c r="AM857">
        <v>12</v>
      </c>
      <c r="AN857" t="str">
        <f>VLOOKUP(Transaction[[#This Row],[Model No.]],$AV$2:$BD$100,2,TRUE)</f>
        <v>Cuvaison Pinot Noir</v>
      </c>
      <c r="AO857" s="21">
        <f>VLOOKUP(Transaction[[#This Row],[Model No.]],$AV$2:$BD$100,6,TRUE)</f>
        <v>36.99</v>
      </c>
      <c r="AP857" s="9">
        <v>1</v>
      </c>
      <c r="AQ857" s="5">
        <f>Transaction[[#This Row],[Price]]*Transaction[[#This Row],[Qty]]</f>
        <v>36.99</v>
      </c>
      <c r="AR857" s="5">
        <f>VLOOKUP(Transaction[[#This Row],[Model No.]],$AV$2:$BD$100,7,TRUE)*Transaction[[#This Row],[Qty]]</f>
        <v>3.6990000000000003</v>
      </c>
      <c r="AS857">
        <v>1105</v>
      </c>
      <c r="AT857">
        <v>1002</v>
      </c>
    </row>
    <row r="858" spans="36:46" x14ac:dyDescent="0.3">
      <c r="AJ858">
        <v>43866</v>
      </c>
      <c r="AK858" s="30">
        <v>42710</v>
      </c>
      <c r="AL858" t="s">
        <v>1298</v>
      </c>
      <c r="AM858">
        <v>39</v>
      </c>
      <c r="AN858" t="str">
        <f>VLOOKUP(Transaction[[#This Row],[Model No.]],$AV$2:$BD$100,2,TRUE)</f>
        <v>Moorhouse's English Owd Ale - 4 Pack</v>
      </c>
      <c r="AO858" s="21">
        <f>VLOOKUP(Transaction[[#This Row],[Model No.]],$AV$2:$BD$100,6,TRUE)</f>
        <v>18.989999999999998</v>
      </c>
      <c r="AP858" s="9">
        <v>4</v>
      </c>
      <c r="AQ858" s="5">
        <f>Transaction[[#This Row],[Price]]*Transaction[[#This Row],[Qty]]</f>
        <v>75.959999999999994</v>
      </c>
      <c r="AR858" s="5">
        <f>VLOOKUP(Transaction[[#This Row],[Model No.]],$AV$2:$BD$100,7,TRUE)*Transaction[[#This Row],[Qty]]</f>
        <v>22.787999999999997</v>
      </c>
      <c r="AS858">
        <v>1098</v>
      </c>
      <c r="AT858">
        <v>1014</v>
      </c>
    </row>
    <row r="859" spans="36:46" x14ac:dyDescent="0.3">
      <c r="AJ859">
        <v>48577</v>
      </c>
      <c r="AK859" s="30">
        <v>42710</v>
      </c>
      <c r="AL859" t="s">
        <v>811</v>
      </c>
      <c r="AM859">
        <v>59</v>
      </c>
      <c r="AN859" t="str">
        <f>VLOOKUP(Transaction[[#This Row],[Model No.]],$AV$2:$BD$100,2,TRUE)</f>
        <v>Smirnoff Kissed Caramel Vodka</v>
      </c>
      <c r="AO859" s="21">
        <f>VLOOKUP(Transaction[[#This Row],[Model No.]],$AV$2:$BD$100,6,TRUE)</f>
        <v>13.49</v>
      </c>
      <c r="AP859" s="9">
        <v>5</v>
      </c>
      <c r="AQ859" s="5">
        <f>Transaction[[#This Row],[Price]]*Transaction[[#This Row],[Qty]]</f>
        <v>67.45</v>
      </c>
      <c r="AR859" s="5">
        <f>VLOOKUP(Transaction[[#This Row],[Model No.]],$AV$2:$BD$100,7,TRUE)*Transaction[[#This Row],[Qty]]</f>
        <v>20.234999999999999</v>
      </c>
      <c r="AS859">
        <v>1108</v>
      </c>
      <c r="AT859">
        <v>1013</v>
      </c>
    </row>
    <row r="860" spans="36:46" x14ac:dyDescent="0.3">
      <c r="AJ860">
        <v>14777</v>
      </c>
      <c r="AK860" s="30">
        <v>42710</v>
      </c>
      <c r="AL860" t="s">
        <v>829</v>
      </c>
      <c r="AM860">
        <v>74</v>
      </c>
      <c r="AN860" t="str">
        <f>VLOOKUP(Transaction[[#This Row],[Model No.]],$AV$2:$BD$100,2,TRUE)</f>
        <v>UINTA PALE ALE NR - 6 Pack</v>
      </c>
      <c r="AO860" s="21">
        <f>VLOOKUP(Transaction[[#This Row],[Model No.]],$AV$2:$BD$100,6,TRUE)</f>
        <v>11.99</v>
      </c>
      <c r="AP860" s="9">
        <v>5</v>
      </c>
      <c r="AQ860" s="5">
        <f>Transaction[[#This Row],[Price]]*Transaction[[#This Row],[Qty]]</f>
        <v>59.95</v>
      </c>
      <c r="AR860" s="5">
        <f>VLOOKUP(Transaction[[#This Row],[Model No.]],$AV$2:$BD$100,7,TRUE)*Transaction[[#This Row],[Qty]]</f>
        <v>17.984999999999999</v>
      </c>
      <c r="AS860">
        <v>1102</v>
      </c>
      <c r="AT860">
        <v>1019</v>
      </c>
    </row>
    <row r="861" spans="36:46" x14ac:dyDescent="0.3">
      <c r="AJ861">
        <v>30479</v>
      </c>
      <c r="AK861" s="30">
        <v>42710</v>
      </c>
      <c r="AL861" t="s">
        <v>385</v>
      </c>
      <c r="AM861">
        <v>96</v>
      </c>
      <c r="AN861" t="str">
        <f>VLOOKUP(Transaction[[#This Row],[Model No.]],$AV$2:$BD$100,2,TRUE)</f>
        <v>Arbor Mist Blackberry Merlot</v>
      </c>
      <c r="AO861" s="21">
        <f>VLOOKUP(Transaction[[#This Row],[Model No.]],$AV$2:$BD$100,6,TRUE)</f>
        <v>6.19</v>
      </c>
      <c r="AP861" s="9">
        <v>1</v>
      </c>
      <c r="AQ861" s="5">
        <f>Transaction[[#This Row],[Price]]*Transaction[[#This Row],[Qty]]</f>
        <v>6.19</v>
      </c>
      <c r="AR861" s="5">
        <f>VLOOKUP(Transaction[[#This Row],[Model No.]],$AV$2:$BD$100,7,TRUE)*Transaction[[#This Row],[Qty]]</f>
        <v>0.61900000000000011</v>
      </c>
      <c r="AS861">
        <v>1104</v>
      </c>
      <c r="AT861">
        <v>1002</v>
      </c>
    </row>
    <row r="862" spans="36:46" x14ac:dyDescent="0.3">
      <c r="AJ862">
        <v>65515</v>
      </c>
      <c r="AK862" s="30">
        <v>42713</v>
      </c>
      <c r="AL862" t="s">
        <v>1370</v>
      </c>
      <c r="AM862">
        <v>28</v>
      </c>
      <c r="AN862" t="str">
        <f>VLOOKUP(Transaction[[#This Row],[Model No.]],$AV$2:$BD$100,2,TRUE)</f>
        <v>Quinta de Soalheiro Soalheiro Alvarinho</v>
      </c>
      <c r="AO862" s="21">
        <f>VLOOKUP(Transaction[[#This Row],[Model No.]],$AV$2:$BD$100,6,TRUE)</f>
        <v>23.99</v>
      </c>
      <c r="AP862" s="9">
        <v>4</v>
      </c>
      <c r="AQ862" s="5">
        <f>Transaction[[#This Row],[Price]]*Transaction[[#This Row],[Qty]]</f>
        <v>95.96</v>
      </c>
      <c r="AR862" s="5">
        <f>VLOOKUP(Transaction[[#This Row],[Model No.]],$AV$2:$BD$100,7,TRUE)*Transaction[[#This Row],[Qty]]</f>
        <v>38.384</v>
      </c>
      <c r="AS862">
        <v>1106</v>
      </c>
      <c r="AT862">
        <v>1007</v>
      </c>
    </row>
    <row r="863" spans="36:46" x14ac:dyDescent="0.3">
      <c r="AJ863">
        <v>96686</v>
      </c>
      <c r="AK863" s="30">
        <v>42713</v>
      </c>
      <c r="AL863" t="s">
        <v>1075</v>
      </c>
      <c r="AM863">
        <v>43</v>
      </c>
      <c r="AN863" t="str">
        <f>VLOOKUP(Transaction[[#This Row],[Model No.]],$AV$2:$BD$100,2,TRUE)</f>
        <v>Green Flash Le Freak - 4 Pack</v>
      </c>
      <c r="AO863" s="21">
        <f>VLOOKUP(Transaction[[#This Row],[Model No.]],$AV$2:$BD$100,6,TRUE)</f>
        <v>16.989999999999998</v>
      </c>
      <c r="AP863" s="9">
        <v>3</v>
      </c>
      <c r="AQ863" s="5">
        <f>Transaction[[#This Row],[Price]]*Transaction[[#This Row],[Qty]]</f>
        <v>50.97</v>
      </c>
      <c r="AR863" s="5">
        <f>VLOOKUP(Transaction[[#This Row],[Model No.]],$AV$2:$BD$100,7,TRUE)*Transaction[[#This Row],[Qty]]</f>
        <v>15.290999999999999</v>
      </c>
      <c r="AS863">
        <v>1098</v>
      </c>
      <c r="AT863">
        <v>1017</v>
      </c>
    </row>
    <row r="864" spans="36:46" x14ac:dyDescent="0.3">
      <c r="AJ864">
        <v>68460</v>
      </c>
      <c r="AK864" s="30">
        <v>42716</v>
      </c>
      <c r="AL864" t="s">
        <v>1324</v>
      </c>
      <c r="AM864">
        <v>28</v>
      </c>
      <c r="AN864" t="str">
        <f>VLOOKUP(Transaction[[#This Row],[Model No.]],$AV$2:$BD$100,2,TRUE)</f>
        <v>Quinta de Soalheiro Soalheiro Alvarinho</v>
      </c>
      <c r="AO864" s="21">
        <f>VLOOKUP(Transaction[[#This Row],[Model No.]],$AV$2:$BD$100,6,TRUE)</f>
        <v>23.99</v>
      </c>
      <c r="AP864" s="9">
        <v>3</v>
      </c>
      <c r="AQ864" s="5">
        <f>Transaction[[#This Row],[Price]]*Transaction[[#This Row],[Qty]]</f>
        <v>71.97</v>
      </c>
      <c r="AR864" s="5">
        <f>VLOOKUP(Transaction[[#This Row],[Model No.]],$AV$2:$BD$100,7,TRUE)*Transaction[[#This Row],[Qty]]</f>
        <v>28.788</v>
      </c>
      <c r="AS864">
        <v>1107</v>
      </c>
      <c r="AT864">
        <v>1010</v>
      </c>
    </row>
    <row r="865" spans="36:46" x14ac:dyDescent="0.3">
      <c r="AJ865">
        <v>91879</v>
      </c>
      <c r="AK865" s="30">
        <v>42716</v>
      </c>
      <c r="AL865" t="s">
        <v>1196</v>
      </c>
      <c r="AM865">
        <v>28</v>
      </c>
      <c r="AN865" t="str">
        <f>VLOOKUP(Transaction[[#This Row],[Model No.]],$AV$2:$BD$100,2,TRUE)</f>
        <v>Quinta de Soalheiro Soalheiro Alvarinho</v>
      </c>
      <c r="AO865" s="21">
        <f>VLOOKUP(Transaction[[#This Row],[Model No.]],$AV$2:$BD$100,6,TRUE)</f>
        <v>23.99</v>
      </c>
      <c r="AP865" s="9">
        <v>4</v>
      </c>
      <c r="AQ865" s="5">
        <f>Transaction[[#This Row],[Price]]*Transaction[[#This Row],[Qty]]</f>
        <v>95.96</v>
      </c>
      <c r="AR865" s="5">
        <f>VLOOKUP(Transaction[[#This Row],[Model No.]],$AV$2:$BD$100,7,TRUE)*Transaction[[#This Row],[Qty]]</f>
        <v>38.384</v>
      </c>
      <c r="AS865">
        <v>1100</v>
      </c>
      <c r="AT865">
        <v>1000</v>
      </c>
    </row>
    <row r="866" spans="36:46" x14ac:dyDescent="0.3">
      <c r="AJ866">
        <v>92103</v>
      </c>
      <c r="AK866" s="30">
        <v>42716</v>
      </c>
      <c r="AL866" t="s">
        <v>564</v>
      </c>
      <c r="AM866">
        <v>42</v>
      </c>
      <c r="AN866" t="str">
        <f>VLOOKUP(Transaction[[#This Row],[Model No.]],$AV$2:$BD$100,2,TRUE)</f>
        <v>Francis Ford Coppola Sofia Brut Rose Pinot Noir</v>
      </c>
      <c r="AO866" s="21">
        <f>VLOOKUP(Transaction[[#This Row],[Model No.]],$AV$2:$BD$100,6,TRUE)</f>
        <v>16.989999999999998</v>
      </c>
      <c r="AP866" s="9">
        <v>5</v>
      </c>
      <c r="AQ866" s="5">
        <f>Transaction[[#This Row],[Price]]*Transaction[[#This Row],[Qty]]</f>
        <v>84.949999999999989</v>
      </c>
      <c r="AR866" s="5">
        <f>VLOOKUP(Transaction[[#This Row],[Model No.]],$AV$2:$BD$100,7,TRUE)*Transaction[[#This Row],[Qty]]</f>
        <v>33.979999999999997</v>
      </c>
      <c r="AS866">
        <v>1108</v>
      </c>
      <c r="AT866">
        <v>1017</v>
      </c>
    </row>
    <row r="867" spans="36:46" x14ac:dyDescent="0.3">
      <c r="AJ867">
        <v>97867</v>
      </c>
      <c r="AK867" s="30">
        <v>42717</v>
      </c>
      <c r="AL867" t="s">
        <v>1259</v>
      </c>
      <c r="AM867">
        <v>67</v>
      </c>
      <c r="AN867" t="str">
        <f>VLOOKUP(Transaction[[#This Row],[Model No.]],$AV$2:$BD$100,2,TRUE)</f>
        <v>Oh Be Joyful Sweet Deutscher Qualitatswein Dornfelder</v>
      </c>
      <c r="AO867" s="21">
        <f>VLOOKUP(Transaction[[#This Row],[Model No.]],$AV$2:$BD$100,6,TRUE)</f>
        <v>12.99</v>
      </c>
      <c r="AP867" s="9">
        <v>4</v>
      </c>
      <c r="AQ867" s="5">
        <f>Transaction[[#This Row],[Price]]*Transaction[[#This Row],[Qty]]</f>
        <v>51.96</v>
      </c>
      <c r="AR867" s="5">
        <f>VLOOKUP(Transaction[[#This Row],[Model No.]],$AV$2:$BD$100,7,TRUE)*Transaction[[#This Row],[Qty]]</f>
        <v>20.784000000000002</v>
      </c>
      <c r="AS867">
        <v>1102</v>
      </c>
      <c r="AT867">
        <v>1003</v>
      </c>
    </row>
    <row r="868" spans="36:46" x14ac:dyDescent="0.3">
      <c r="AJ868">
        <v>14225</v>
      </c>
      <c r="AK868" s="30">
        <v>42718</v>
      </c>
      <c r="AL868" t="s">
        <v>946</v>
      </c>
      <c r="AM868">
        <v>49</v>
      </c>
      <c r="AN868" t="str">
        <f>VLOOKUP(Transaction[[#This Row],[Model No.]],$AV$2:$BD$100,2,TRUE)</f>
        <v>Marchesi di Barolo Ruvei Barbera d'Alba</v>
      </c>
      <c r="AO868" s="21">
        <f>VLOOKUP(Transaction[[#This Row],[Model No.]],$AV$2:$BD$100,6,TRUE)</f>
        <v>15.99</v>
      </c>
      <c r="AP868" s="9">
        <v>1</v>
      </c>
      <c r="AQ868" s="5">
        <f>Transaction[[#This Row],[Price]]*Transaction[[#This Row],[Qty]]</f>
        <v>15.99</v>
      </c>
      <c r="AR868" s="5">
        <f>VLOOKUP(Transaction[[#This Row],[Model No.]],$AV$2:$BD$100,7,TRUE)*Transaction[[#This Row],[Qty]]</f>
        <v>1.5990000000000002</v>
      </c>
      <c r="AS868">
        <v>1104</v>
      </c>
      <c r="AT868">
        <v>1021</v>
      </c>
    </row>
    <row r="869" spans="36:46" x14ac:dyDescent="0.3">
      <c r="AJ869">
        <v>46456</v>
      </c>
      <c r="AK869" s="30">
        <v>42719</v>
      </c>
      <c r="AL869" t="s">
        <v>1417</v>
      </c>
      <c r="AM869">
        <v>51</v>
      </c>
      <c r="AN869" t="str">
        <f>VLOOKUP(Transaction[[#This Row],[Model No.]],$AV$2:$BD$100,2,TRUE)</f>
        <v>Waterbrook Cabernet Sauvignon</v>
      </c>
      <c r="AO869" s="21">
        <f>VLOOKUP(Transaction[[#This Row],[Model No.]],$AV$2:$BD$100,6,TRUE)</f>
        <v>14.99</v>
      </c>
      <c r="AP869" s="9">
        <v>1</v>
      </c>
      <c r="AQ869" s="5">
        <f>Transaction[[#This Row],[Price]]*Transaction[[#This Row],[Qty]]</f>
        <v>14.99</v>
      </c>
      <c r="AR869" s="5">
        <f>VLOOKUP(Transaction[[#This Row],[Model No.]],$AV$2:$BD$100,7,TRUE)*Transaction[[#This Row],[Qty]]</f>
        <v>1.4990000000000001</v>
      </c>
      <c r="AS869">
        <v>1098</v>
      </c>
      <c r="AT869">
        <v>1015</v>
      </c>
    </row>
    <row r="870" spans="36:46" x14ac:dyDescent="0.3">
      <c r="AJ870">
        <v>45380</v>
      </c>
      <c r="AK870" s="30">
        <v>42721</v>
      </c>
      <c r="AL870" t="s">
        <v>1014</v>
      </c>
      <c r="AM870">
        <v>8</v>
      </c>
      <c r="AN870" t="str">
        <f>VLOOKUP(Transaction[[#This Row],[Model No.]],$AV$2:$BD$100,2,TRUE)</f>
        <v>Roco Marsh Estate Vineyard Pinot Noir</v>
      </c>
      <c r="AO870" s="21">
        <f>VLOOKUP(Transaction[[#This Row],[Model No.]],$AV$2:$BD$100,6,TRUE)</f>
        <v>44.99</v>
      </c>
      <c r="AP870" s="9">
        <v>2</v>
      </c>
      <c r="AQ870" s="5">
        <f>Transaction[[#This Row],[Price]]*Transaction[[#This Row],[Qty]]</f>
        <v>89.98</v>
      </c>
      <c r="AR870" s="5">
        <f>VLOOKUP(Transaction[[#This Row],[Model No.]],$AV$2:$BD$100,7,TRUE)*Transaction[[#This Row],[Qty]]</f>
        <v>8.9980000000000011</v>
      </c>
      <c r="AS870">
        <v>1108</v>
      </c>
      <c r="AT870">
        <v>1000</v>
      </c>
    </row>
    <row r="871" spans="36:46" x14ac:dyDescent="0.3">
      <c r="AJ871">
        <v>13158</v>
      </c>
      <c r="AK871" s="30">
        <v>42722</v>
      </c>
      <c r="AL871" t="s">
        <v>1698</v>
      </c>
      <c r="AM871">
        <v>83</v>
      </c>
      <c r="AN871" t="str">
        <f>VLOOKUP(Transaction[[#This Row],[Model No.]],$AV$2:$BD$100,2,TRUE)</f>
        <v>Pinnacle Cherry Whipped Vodka</v>
      </c>
      <c r="AO871" s="21">
        <f>VLOOKUP(Transaction[[#This Row],[Model No.]],$AV$2:$BD$100,6,TRUE)</f>
        <v>10.99</v>
      </c>
      <c r="AP871" s="9">
        <v>1</v>
      </c>
      <c r="AQ871" s="5">
        <f>Transaction[[#This Row],[Price]]*Transaction[[#This Row],[Qty]]</f>
        <v>10.99</v>
      </c>
      <c r="AR871" s="5">
        <f>VLOOKUP(Transaction[[#This Row],[Model No.]],$AV$2:$BD$100,7,TRUE)*Transaction[[#This Row],[Qty]]</f>
        <v>3.2970000000000002</v>
      </c>
      <c r="AS871">
        <v>1101</v>
      </c>
      <c r="AT871">
        <v>1003</v>
      </c>
    </row>
    <row r="872" spans="36:46" x14ac:dyDescent="0.3">
      <c r="AJ872">
        <v>24407</v>
      </c>
      <c r="AK872" s="30">
        <v>42723</v>
      </c>
      <c r="AL872" t="s">
        <v>789</v>
      </c>
      <c r="AM872">
        <v>54</v>
      </c>
      <c r="AN872" t="str">
        <f>VLOOKUP(Transaction[[#This Row],[Model No.]],$AV$2:$BD$100,2,TRUE)</f>
        <v>Pucker Cherry Tease Vodka</v>
      </c>
      <c r="AO872" s="21">
        <f>VLOOKUP(Transaction[[#This Row],[Model No.]],$AV$2:$BD$100,6,TRUE)</f>
        <v>14.99</v>
      </c>
      <c r="AP872" s="9">
        <v>5</v>
      </c>
      <c r="AQ872" s="5">
        <f>Transaction[[#This Row],[Price]]*Transaction[[#This Row],[Qty]]</f>
        <v>74.95</v>
      </c>
      <c r="AR872" s="5">
        <f>VLOOKUP(Transaction[[#This Row],[Model No.]],$AV$2:$BD$100,7,TRUE)*Transaction[[#This Row],[Qty]]</f>
        <v>22.484999999999999</v>
      </c>
      <c r="AS872">
        <v>1102</v>
      </c>
      <c r="AT872">
        <v>1012</v>
      </c>
    </row>
    <row r="873" spans="36:46" x14ac:dyDescent="0.3">
      <c r="AJ873">
        <v>94886</v>
      </c>
      <c r="AK873" s="30">
        <v>42727</v>
      </c>
      <c r="AL873" t="s">
        <v>1144</v>
      </c>
      <c r="AM873">
        <v>84</v>
      </c>
      <c r="AN873" t="str">
        <f>VLOOKUP(Transaction[[#This Row],[Model No.]],$AV$2:$BD$100,2,TRUE)</f>
        <v>UV Blue Raspberry Vodka</v>
      </c>
      <c r="AO873" s="21">
        <f>VLOOKUP(Transaction[[#This Row],[Model No.]],$AV$2:$BD$100,6,TRUE)</f>
        <v>10.49</v>
      </c>
      <c r="AP873" s="9">
        <v>3</v>
      </c>
      <c r="AQ873" s="5">
        <f>Transaction[[#This Row],[Price]]*Transaction[[#This Row],[Qty]]</f>
        <v>31.47</v>
      </c>
      <c r="AR873" s="5">
        <f>VLOOKUP(Transaction[[#This Row],[Model No.]],$AV$2:$BD$100,7,TRUE)*Transaction[[#This Row],[Qty]]</f>
        <v>9.4409999999999989</v>
      </c>
      <c r="AS873">
        <v>1103</v>
      </c>
      <c r="AT873">
        <v>1003</v>
      </c>
    </row>
    <row r="874" spans="36:46" x14ac:dyDescent="0.3">
      <c r="AJ874">
        <v>78809</v>
      </c>
      <c r="AK874" s="30">
        <v>42729</v>
      </c>
      <c r="AL874" t="s">
        <v>1113</v>
      </c>
      <c r="AM874">
        <v>67</v>
      </c>
      <c r="AN874" t="str">
        <f>VLOOKUP(Transaction[[#This Row],[Model No.]],$AV$2:$BD$100,2,TRUE)</f>
        <v>Oh Be Joyful Sweet Deutscher Qualitatswein Dornfelder</v>
      </c>
      <c r="AO874" s="21">
        <f>VLOOKUP(Transaction[[#This Row],[Model No.]],$AV$2:$BD$100,6,TRUE)</f>
        <v>12.99</v>
      </c>
      <c r="AP874" s="9">
        <v>2</v>
      </c>
      <c r="AQ874" s="5">
        <f>Transaction[[#This Row],[Price]]*Transaction[[#This Row],[Qty]]</f>
        <v>25.98</v>
      </c>
      <c r="AR874" s="5">
        <f>VLOOKUP(Transaction[[#This Row],[Model No.]],$AV$2:$BD$100,7,TRUE)*Transaction[[#This Row],[Qty]]</f>
        <v>10.392000000000001</v>
      </c>
      <c r="AS874">
        <v>1100</v>
      </c>
      <c r="AT874">
        <v>1014</v>
      </c>
    </row>
    <row r="875" spans="36:46" x14ac:dyDescent="0.3">
      <c r="AJ875">
        <v>64059</v>
      </c>
      <c r="AK875" s="30">
        <v>42729</v>
      </c>
      <c r="AL875" t="s">
        <v>1224</v>
      </c>
      <c r="AM875">
        <v>93</v>
      </c>
      <c r="AN875" t="str">
        <f>VLOOKUP(Transaction[[#This Row],[Model No.]],$AV$2:$BD$100,2,TRUE)</f>
        <v>Beringer Vineyards Stone Cellars Shiraz</v>
      </c>
      <c r="AO875" s="21">
        <f>VLOOKUP(Transaction[[#This Row],[Model No.]],$AV$2:$BD$100,6,TRUE)</f>
        <v>7.49</v>
      </c>
      <c r="AP875" s="9">
        <v>1</v>
      </c>
      <c r="AQ875" s="5">
        <f>Transaction[[#This Row],[Price]]*Transaction[[#This Row],[Qty]]</f>
        <v>7.49</v>
      </c>
      <c r="AR875" s="5">
        <f>VLOOKUP(Transaction[[#This Row],[Model No.]],$AV$2:$BD$100,7,TRUE)*Transaction[[#This Row],[Qty]]</f>
        <v>0.74900000000000011</v>
      </c>
      <c r="AS875">
        <v>1107</v>
      </c>
      <c r="AT875">
        <v>1019</v>
      </c>
    </row>
    <row r="876" spans="36:46" x14ac:dyDescent="0.3">
      <c r="AJ876">
        <v>65230</v>
      </c>
      <c r="AK876" s="30">
        <v>42732</v>
      </c>
      <c r="AL876" t="s">
        <v>1892</v>
      </c>
      <c r="AM876">
        <v>32</v>
      </c>
      <c r="AN876" t="str">
        <f>VLOOKUP(Transaction[[#This Row],[Model No.]],$AV$2:$BD$100,2,TRUE)</f>
        <v>Sugar Island Spiced Rum</v>
      </c>
      <c r="AO876" s="21">
        <f>VLOOKUP(Transaction[[#This Row],[Model No.]],$AV$2:$BD$100,6,TRUE)</f>
        <v>21.99</v>
      </c>
      <c r="AP876" s="9">
        <v>3</v>
      </c>
      <c r="AQ876" s="5">
        <f>Transaction[[#This Row],[Price]]*Transaction[[#This Row],[Qty]]</f>
        <v>65.97</v>
      </c>
      <c r="AR876" s="5">
        <f>VLOOKUP(Transaction[[#This Row],[Model No.]],$AV$2:$BD$100,7,TRUE)*Transaction[[#This Row],[Qty]]</f>
        <v>13.193999999999999</v>
      </c>
      <c r="AS876">
        <v>1105</v>
      </c>
      <c r="AT876">
        <v>1016</v>
      </c>
    </row>
    <row r="877" spans="36:46" x14ac:dyDescent="0.3">
      <c r="AJ877">
        <v>19421</v>
      </c>
      <c r="AK877" s="30">
        <v>42732</v>
      </c>
      <c r="AL877" t="s">
        <v>1765</v>
      </c>
      <c r="AM877">
        <v>45</v>
      </c>
      <c r="AN877" t="str">
        <f>VLOOKUP(Transaction[[#This Row],[Model No.]],$AV$2:$BD$100,2,TRUE)</f>
        <v>Sixpoint Resin - 6 Pack</v>
      </c>
      <c r="AO877" s="21">
        <f>VLOOKUP(Transaction[[#This Row],[Model No.]],$AV$2:$BD$100,6,TRUE)</f>
        <v>15.99</v>
      </c>
      <c r="AP877" s="9">
        <v>5</v>
      </c>
      <c r="AQ877" s="5">
        <f>Transaction[[#This Row],[Price]]*Transaction[[#This Row],[Qty]]</f>
        <v>79.95</v>
      </c>
      <c r="AR877" s="5">
        <f>VLOOKUP(Transaction[[#This Row],[Model No.]],$AV$2:$BD$100,7,TRUE)*Transaction[[#This Row],[Qty]]</f>
        <v>23.984999999999999</v>
      </c>
      <c r="AS877">
        <v>1100</v>
      </c>
      <c r="AT877">
        <v>1012</v>
      </c>
    </row>
    <row r="878" spans="36:46" x14ac:dyDescent="0.3">
      <c r="AJ878">
        <v>42853</v>
      </c>
      <c r="AK878" s="30">
        <v>42734</v>
      </c>
      <c r="AL878" t="s">
        <v>891</v>
      </c>
      <c r="AM878">
        <v>27</v>
      </c>
      <c r="AN878" t="str">
        <f>VLOOKUP(Transaction[[#This Row],[Model No.]],$AV$2:$BD$100,2,TRUE)</f>
        <v>Prairie Organic Gin</v>
      </c>
      <c r="AO878" s="21">
        <f>VLOOKUP(Transaction[[#This Row],[Model No.]],$AV$2:$BD$100,6,TRUE)</f>
        <v>23.99</v>
      </c>
      <c r="AP878" s="9">
        <v>1</v>
      </c>
      <c r="AQ878" s="5">
        <f>Transaction[[#This Row],[Price]]*Transaction[[#This Row],[Qty]]</f>
        <v>23.99</v>
      </c>
      <c r="AR878" s="5">
        <f>VLOOKUP(Transaction[[#This Row],[Model No.]],$AV$2:$BD$100,7,TRUE)*Transaction[[#This Row],[Qty]]</f>
        <v>9.5960000000000001</v>
      </c>
      <c r="AS878">
        <v>1106</v>
      </c>
      <c r="AT878">
        <v>1006</v>
      </c>
    </row>
    <row r="879" spans="36:46" x14ac:dyDescent="0.3">
      <c r="AJ879">
        <v>33571</v>
      </c>
      <c r="AK879" s="30">
        <v>42735</v>
      </c>
      <c r="AL879" t="s">
        <v>1330</v>
      </c>
      <c r="AM879">
        <v>32</v>
      </c>
      <c r="AN879" t="str">
        <f>VLOOKUP(Transaction[[#This Row],[Model No.]],$AV$2:$BD$100,2,TRUE)</f>
        <v>Sugar Island Spiced Rum</v>
      </c>
      <c r="AO879" s="21">
        <f>VLOOKUP(Transaction[[#This Row],[Model No.]],$AV$2:$BD$100,6,TRUE)</f>
        <v>21.99</v>
      </c>
      <c r="AP879" s="9">
        <v>2</v>
      </c>
      <c r="AQ879" s="5">
        <f>Transaction[[#This Row],[Price]]*Transaction[[#This Row],[Qty]]</f>
        <v>43.98</v>
      </c>
      <c r="AR879" s="5">
        <f>VLOOKUP(Transaction[[#This Row],[Model No.]],$AV$2:$BD$100,7,TRUE)*Transaction[[#This Row],[Qty]]</f>
        <v>8.7959999999999994</v>
      </c>
      <c r="AS879">
        <v>1107</v>
      </c>
      <c r="AT879">
        <v>1001</v>
      </c>
    </row>
    <row r="880" spans="36:46" x14ac:dyDescent="0.3">
      <c r="AJ880">
        <v>55740</v>
      </c>
      <c r="AK880" s="30">
        <v>42735</v>
      </c>
      <c r="AL880" t="s">
        <v>1513</v>
      </c>
      <c r="AM880">
        <v>59</v>
      </c>
      <c r="AN880" t="str">
        <f>VLOOKUP(Transaction[[#This Row],[Model No.]],$AV$2:$BD$100,2,TRUE)</f>
        <v>Smirnoff Kissed Caramel Vodka</v>
      </c>
      <c r="AO880" s="21">
        <f>VLOOKUP(Transaction[[#This Row],[Model No.]],$AV$2:$BD$100,6,TRUE)</f>
        <v>13.49</v>
      </c>
      <c r="AP880" s="9">
        <v>1</v>
      </c>
      <c r="AQ880" s="5">
        <f>Transaction[[#This Row],[Price]]*Transaction[[#This Row],[Qty]]</f>
        <v>13.49</v>
      </c>
      <c r="AR880" s="5">
        <f>VLOOKUP(Transaction[[#This Row],[Model No.]],$AV$2:$BD$100,7,TRUE)*Transaction[[#This Row],[Qty]]</f>
        <v>4.0469999999999997</v>
      </c>
      <c r="AS880">
        <v>1107</v>
      </c>
      <c r="AT880">
        <v>1018</v>
      </c>
    </row>
    <row r="881" spans="36:46" x14ac:dyDescent="0.3">
      <c r="AJ881">
        <v>21784</v>
      </c>
      <c r="AK881" s="30">
        <v>42735</v>
      </c>
      <c r="AL881" t="s">
        <v>1379</v>
      </c>
      <c r="AM881">
        <v>61</v>
      </c>
      <c r="AN881" t="str">
        <f>VLOOKUP(Transaction[[#This Row],[Model No.]],$AV$2:$BD$100,2,TRUE)</f>
        <v>He'Brew Genesis Dry Hopped Session Ale - 6 Pack</v>
      </c>
      <c r="AO881" s="21">
        <f>VLOOKUP(Transaction[[#This Row],[Model No.]],$AV$2:$BD$100,6,TRUE)</f>
        <v>12.99</v>
      </c>
      <c r="AP881" s="9">
        <v>5</v>
      </c>
      <c r="AQ881" s="5">
        <f>Transaction[[#This Row],[Price]]*Transaction[[#This Row],[Qty]]</f>
        <v>64.95</v>
      </c>
      <c r="AR881" s="5">
        <f>VLOOKUP(Transaction[[#This Row],[Model No.]],$AV$2:$BD$100,7,TRUE)*Transaction[[#This Row],[Qty]]</f>
        <v>19.484999999999999</v>
      </c>
      <c r="AS881">
        <v>1098</v>
      </c>
      <c r="AT881">
        <v>1019</v>
      </c>
    </row>
    <row r="882" spans="36:46" x14ac:dyDescent="0.3">
      <c r="AJ882">
        <v>20227</v>
      </c>
      <c r="AK882" s="30">
        <v>42736</v>
      </c>
      <c r="AL882" t="s">
        <v>924</v>
      </c>
      <c r="AM882">
        <v>39</v>
      </c>
      <c r="AN882" t="str">
        <f>VLOOKUP(Transaction[[#This Row],[Model No.]],$AV$2:$BD$100,2,TRUE)</f>
        <v>Moorhouse's English Owd Ale - 4 Pack</v>
      </c>
      <c r="AO882" s="21">
        <f>VLOOKUP(Transaction[[#This Row],[Model No.]],$AV$2:$BD$100,6,TRUE)</f>
        <v>18.989999999999998</v>
      </c>
      <c r="AP882" s="9">
        <v>4</v>
      </c>
      <c r="AQ882" s="5">
        <f>Transaction[[#This Row],[Price]]*Transaction[[#This Row],[Qty]]</f>
        <v>75.959999999999994</v>
      </c>
      <c r="AR882" s="5">
        <f>VLOOKUP(Transaction[[#This Row],[Model No.]],$AV$2:$BD$100,7,TRUE)*Transaction[[#This Row],[Qty]]</f>
        <v>22.787999999999997</v>
      </c>
      <c r="AS882">
        <v>1101</v>
      </c>
      <c r="AT882">
        <v>1015</v>
      </c>
    </row>
    <row r="883" spans="36:46" x14ac:dyDescent="0.3">
      <c r="AJ883">
        <v>78746</v>
      </c>
      <c r="AK883" s="30">
        <v>42738</v>
      </c>
      <c r="AL883" t="s">
        <v>933</v>
      </c>
      <c r="AM883">
        <v>1</v>
      </c>
      <c r="AN883" t="str">
        <f>VLOOKUP(Transaction[[#This Row],[Model No.]],$AV$2:$BD$100,2,TRUE)</f>
        <v>Forager's Keep 26 Year Old Single Malt Scotch Whisky</v>
      </c>
      <c r="AO883" s="21">
        <f>VLOOKUP(Transaction[[#This Row],[Model No.]],$AV$2:$BD$100,6,TRUE)</f>
        <v>325.99</v>
      </c>
      <c r="AP883" s="9">
        <v>1</v>
      </c>
      <c r="AQ883" s="5">
        <f>Transaction[[#This Row],[Price]]*Transaction[[#This Row],[Qty]]</f>
        <v>325.99</v>
      </c>
      <c r="AR883" s="5">
        <f>VLOOKUP(Transaction[[#This Row],[Model No.]],$AV$2:$BD$100,7,TRUE)*Transaction[[#This Row],[Qty]]</f>
        <v>97.796999999999997</v>
      </c>
      <c r="AS883">
        <v>1107</v>
      </c>
      <c r="AT883">
        <v>1007</v>
      </c>
    </row>
    <row r="884" spans="36:46" x14ac:dyDescent="0.3">
      <c r="AJ884">
        <v>25631</v>
      </c>
      <c r="AK884" s="30">
        <v>42739</v>
      </c>
      <c r="AL884" t="s">
        <v>363</v>
      </c>
      <c r="AM884">
        <v>31</v>
      </c>
      <c r="AN884" t="str">
        <f>VLOOKUP(Transaction[[#This Row],[Model No.]],$AV$2:$BD$100,2,TRUE)</f>
        <v>Gulden Draak 9000 Quadruple - 4 Pack</v>
      </c>
      <c r="AO884" s="21">
        <f>VLOOKUP(Transaction[[#This Row],[Model No.]],$AV$2:$BD$100,6,TRUE)</f>
        <v>21.99</v>
      </c>
      <c r="AP884" s="9">
        <v>3</v>
      </c>
      <c r="AQ884" s="5">
        <f>Transaction[[#This Row],[Price]]*Transaction[[#This Row],[Qty]]</f>
        <v>65.97</v>
      </c>
      <c r="AR884" s="5">
        <f>VLOOKUP(Transaction[[#This Row],[Model No.]],$AV$2:$BD$100,7,TRUE)*Transaction[[#This Row],[Qty]]</f>
        <v>19.790999999999997</v>
      </c>
      <c r="AS884">
        <v>1107</v>
      </c>
      <c r="AT884">
        <v>1001</v>
      </c>
    </row>
    <row r="885" spans="36:46" x14ac:dyDescent="0.3">
      <c r="AJ885">
        <v>73322</v>
      </c>
      <c r="AK885" s="30">
        <v>42739</v>
      </c>
      <c r="AL885" t="s">
        <v>410</v>
      </c>
      <c r="AM885">
        <v>78</v>
      </c>
      <c r="AN885" t="str">
        <f>VLOOKUP(Transaction[[#This Row],[Model No.]],$AV$2:$BD$100,2,TRUE)</f>
        <v>Tomasello Winery Blueberry Wine Red Blend</v>
      </c>
      <c r="AO885" s="21">
        <f>VLOOKUP(Transaction[[#This Row],[Model No.]],$AV$2:$BD$100,6,TRUE)</f>
        <v>11.49</v>
      </c>
      <c r="AP885" s="9">
        <v>4</v>
      </c>
      <c r="AQ885" s="5">
        <f>Transaction[[#This Row],[Price]]*Transaction[[#This Row],[Qty]]</f>
        <v>45.96</v>
      </c>
      <c r="AR885" s="5">
        <f>VLOOKUP(Transaction[[#This Row],[Model No.]],$AV$2:$BD$100,7,TRUE)*Transaction[[#This Row],[Qty]]</f>
        <v>4.5960000000000001</v>
      </c>
      <c r="AS885">
        <v>1106</v>
      </c>
      <c r="AT885">
        <v>1014</v>
      </c>
    </row>
    <row r="886" spans="36:46" x14ac:dyDescent="0.3">
      <c r="AJ886">
        <v>43889</v>
      </c>
      <c r="AK886" s="30">
        <v>42739</v>
      </c>
      <c r="AL886" t="s">
        <v>956</v>
      </c>
      <c r="AM886">
        <v>80</v>
      </c>
      <c r="AN886" t="str">
        <f>VLOOKUP(Transaction[[#This Row],[Model No.]],$AV$2:$BD$100,2,TRUE)</f>
        <v>Evolution Craft Stalker Hefeweizen - 6 Pack</v>
      </c>
      <c r="AO886" s="21">
        <f>VLOOKUP(Transaction[[#This Row],[Model No.]],$AV$2:$BD$100,6,TRUE)</f>
        <v>10.99</v>
      </c>
      <c r="AP886" s="9">
        <v>2</v>
      </c>
      <c r="AQ886" s="5">
        <f>Transaction[[#This Row],[Price]]*Transaction[[#This Row],[Qty]]</f>
        <v>21.98</v>
      </c>
      <c r="AR886" s="5">
        <f>VLOOKUP(Transaction[[#This Row],[Model No.]],$AV$2:$BD$100,7,TRUE)*Transaction[[#This Row],[Qty]]</f>
        <v>6.5940000000000003</v>
      </c>
      <c r="AS886">
        <v>1104</v>
      </c>
      <c r="AT886">
        <v>1015</v>
      </c>
    </row>
    <row r="887" spans="36:46" x14ac:dyDescent="0.3">
      <c r="AJ887">
        <v>23438</v>
      </c>
      <c r="AK887" s="30">
        <v>42741</v>
      </c>
      <c r="AL887" t="s">
        <v>1304</v>
      </c>
      <c r="AM887">
        <v>55</v>
      </c>
      <c r="AN887" t="str">
        <f>VLOOKUP(Transaction[[#This Row],[Model No.]],$AV$2:$BD$100,2,TRUE)</f>
        <v>Clos du Bois Hand Selected Lots Shiraz</v>
      </c>
      <c r="AO887" s="21">
        <f>VLOOKUP(Transaction[[#This Row],[Model No.]],$AV$2:$BD$100,6,TRUE)</f>
        <v>14.49</v>
      </c>
      <c r="AP887" s="9">
        <v>4</v>
      </c>
      <c r="AQ887" s="5">
        <f>Transaction[[#This Row],[Price]]*Transaction[[#This Row],[Qty]]</f>
        <v>57.96</v>
      </c>
      <c r="AR887" s="5">
        <f>VLOOKUP(Transaction[[#This Row],[Model No.]],$AV$2:$BD$100,7,TRUE)*Transaction[[#This Row],[Qty]]</f>
        <v>5.7960000000000003</v>
      </c>
      <c r="AS887">
        <v>1106</v>
      </c>
      <c r="AT887">
        <v>1005</v>
      </c>
    </row>
    <row r="888" spans="36:46" x14ac:dyDescent="0.3">
      <c r="AJ888">
        <v>96050</v>
      </c>
      <c r="AK888" s="30">
        <v>42741</v>
      </c>
      <c r="AL888" t="s">
        <v>843</v>
      </c>
      <c r="AM888">
        <v>59</v>
      </c>
      <c r="AN888" t="str">
        <f>VLOOKUP(Transaction[[#This Row],[Model No.]],$AV$2:$BD$100,2,TRUE)</f>
        <v>Smirnoff Kissed Caramel Vodka</v>
      </c>
      <c r="AO888" s="21">
        <f>VLOOKUP(Transaction[[#This Row],[Model No.]],$AV$2:$BD$100,6,TRUE)</f>
        <v>13.49</v>
      </c>
      <c r="AP888" s="9">
        <v>1</v>
      </c>
      <c r="AQ888" s="5">
        <f>Transaction[[#This Row],[Price]]*Transaction[[#This Row],[Qty]]</f>
        <v>13.49</v>
      </c>
      <c r="AR888" s="5">
        <f>VLOOKUP(Transaction[[#This Row],[Model No.]],$AV$2:$BD$100,7,TRUE)*Transaction[[#This Row],[Qty]]</f>
        <v>4.0469999999999997</v>
      </c>
      <c r="AS888">
        <v>1106</v>
      </c>
      <c r="AT888">
        <v>1010</v>
      </c>
    </row>
    <row r="889" spans="36:46" x14ac:dyDescent="0.3">
      <c r="AJ889">
        <v>46340</v>
      </c>
      <c r="AK889" s="30">
        <v>42743</v>
      </c>
      <c r="AL889" t="s">
        <v>570</v>
      </c>
      <c r="AM889">
        <v>80</v>
      </c>
      <c r="AN889" t="str">
        <f>VLOOKUP(Transaction[[#This Row],[Model No.]],$AV$2:$BD$100,2,TRUE)</f>
        <v>Evolution Craft Stalker Hefeweizen - 6 Pack</v>
      </c>
      <c r="AO889" s="21">
        <f>VLOOKUP(Transaction[[#This Row],[Model No.]],$AV$2:$BD$100,6,TRUE)</f>
        <v>10.99</v>
      </c>
      <c r="AP889" s="9">
        <v>5</v>
      </c>
      <c r="AQ889" s="5">
        <f>Transaction[[#This Row],[Price]]*Transaction[[#This Row],[Qty]]</f>
        <v>54.95</v>
      </c>
      <c r="AR889" s="5">
        <f>VLOOKUP(Transaction[[#This Row],[Model No.]],$AV$2:$BD$100,7,TRUE)*Transaction[[#This Row],[Qty]]</f>
        <v>16.484999999999999</v>
      </c>
      <c r="AS889">
        <v>1104</v>
      </c>
      <c r="AT889">
        <v>1003</v>
      </c>
    </row>
    <row r="890" spans="36:46" x14ac:dyDescent="0.3">
      <c r="AJ890">
        <v>96326</v>
      </c>
      <c r="AK890" s="30">
        <v>42744</v>
      </c>
      <c r="AL890" t="s">
        <v>962</v>
      </c>
      <c r="AM890">
        <v>12</v>
      </c>
      <c r="AN890" t="str">
        <f>VLOOKUP(Transaction[[#This Row],[Model No.]],$AV$2:$BD$100,2,TRUE)</f>
        <v>Cuvaison Pinot Noir</v>
      </c>
      <c r="AO890" s="21">
        <f>VLOOKUP(Transaction[[#This Row],[Model No.]],$AV$2:$BD$100,6,TRUE)</f>
        <v>36.99</v>
      </c>
      <c r="AP890" s="9">
        <v>4</v>
      </c>
      <c r="AQ890" s="5">
        <f>Transaction[[#This Row],[Price]]*Transaction[[#This Row],[Qty]]</f>
        <v>147.96</v>
      </c>
      <c r="AR890" s="5">
        <f>VLOOKUP(Transaction[[#This Row],[Model No.]],$AV$2:$BD$100,7,TRUE)*Transaction[[#This Row],[Qty]]</f>
        <v>14.796000000000001</v>
      </c>
      <c r="AS890">
        <v>1100</v>
      </c>
      <c r="AT890">
        <v>1003</v>
      </c>
    </row>
    <row r="891" spans="36:46" x14ac:dyDescent="0.3">
      <c r="AJ891">
        <v>44017</v>
      </c>
      <c r="AK891" s="30">
        <v>42744</v>
      </c>
      <c r="AL891" t="s">
        <v>707</v>
      </c>
      <c r="AM891">
        <v>38</v>
      </c>
      <c r="AN891" t="str">
        <f>VLOOKUP(Transaction[[#This Row],[Model No.]],$AV$2:$BD$100,2,TRUE)</f>
        <v>CiROC Red Berry Vodka</v>
      </c>
      <c r="AO891" s="21">
        <f>VLOOKUP(Transaction[[#This Row],[Model No.]],$AV$2:$BD$100,6,TRUE)</f>
        <v>19.989999999999998</v>
      </c>
      <c r="AP891" s="9">
        <v>2</v>
      </c>
      <c r="AQ891" s="5">
        <f>Transaction[[#This Row],[Price]]*Transaction[[#This Row],[Qty]]</f>
        <v>39.979999999999997</v>
      </c>
      <c r="AR891" s="5">
        <f>VLOOKUP(Transaction[[#This Row],[Model No.]],$AV$2:$BD$100,7,TRUE)*Transaction[[#This Row],[Qty]]</f>
        <v>11.993999999999998</v>
      </c>
      <c r="AS891">
        <v>1101</v>
      </c>
      <c r="AT891">
        <v>1021</v>
      </c>
    </row>
    <row r="892" spans="36:46" x14ac:dyDescent="0.3">
      <c r="AJ892">
        <v>89238</v>
      </c>
      <c r="AK892" s="30">
        <v>42747</v>
      </c>
      <c r="AL892" t="s">
        <v>1405</v>
      </c>
      <c r="AM892">
        <v>9</v>
      </c>
      <c r="AN892" t="str">
        <f>VLOOKUP(Transaction[[#This Row],[Model No.]],$AV$2:$BD$100,2,TRUE)</f>
        <v>Ass Kisser Double IPA - 12 Pack</v>
      </c>
      <c r="AO892" s="21">
        <f>VLOOKUP(Transaction[[#This Row],[Model No.]],$AV$2:$BD$100,6,TRUE)</f>
        <v>43.99</v>
      </c>
      <c r="AP892" s="9">
        <v>1</v>
      </c>
      <c r="AQ892" s="5">
        <f>Transaction[[#This Row],[Price]]*Transaction[[#This Row],[Qty]]</f>
        <v>43.99</v>
      </c>
      <c r="AR892" s="5">
        <f>VLOOKUP(Transaction[[#This Row],[Model No.]],$AV$2:$BD$100,7,TRUE)*Transaction[[#This Row],[Qty]]</f>
        <v>13.197000000000001</v>
      </c>
      <c r="AS892">
        <v>1108</v>
      </c>
      <c r="AT892">
        <v>1004</v>
      </c>
    </row>
    <row r="893" spans="36:46" x14ac:dyDescent="0.3">
      <c r="AJ893">
        <v>92836</v>
      </c>
      <c r="AK893" s="30">
        <v>42747</v>
      </c>
      <c r="AL893" t="s">
        <v>639</v>
      </c>
      <c r="AM893">
        <v>23</v>
      </c>
      <c r="AN893" t="str">
        <f>VLOOKUP(Transaction[[#This Row],[Model No.]],$AV$2:$BD$100,2,TRUE)</f>
        <v>Brinley Gold Shipwreck Mango Rum</v>
      </c>
      <c r="AO893" s="21">
        <f>VLOOKUP(Transaction[[#This Row],[Model No.]],$AV$2:$BD$100,6,TRUE)</f>
        <v>25.99</v>
      </c>
      <c r="AP893" s="9">
        <v>2</v>
      </c>
      <c r="AQ893" s="5">
        <f>Transaction[[#This Row],[Price]]*Transaction[[#This Row],[Qty]]</f>
        <v>51.98</v>
      </c>
      <c r="AR893" s="5">
        <f>VLOOKUP(Transaction[[#This Row],[Model No.]],$AV$2:$BD$100,7,TRUE)*Transaction[[#This Row],[Qty]]</f>
        <v>10.396000000000001</v>
      </c>
      <c r="AS893">
        <v>1106</v>
      </c>
      <c r="AT893">
        <v>1018</v>
      </c>
    </row>
    <row r="894" spans="36:46" x14ac:dyDescent="0.3">
      <c r="AJ894">
        <v>92723</v>
      </c>
      <c r="AK894" s="30">
        <v>42749</v>
      </c>
      <c r="AL894" t="s">
        <v>818</v>
      </c>
      <c r="AM894">
        <v>51</v>
      </c>
      <c r="AN894" t="str">
        <f>VLOOKUP(Transaction[[#This Row],[Model No.]],$AV$2:$BD$100,2,TRUE)</f>
        <v>Waterbrook Cabernet Sauvignon</v>
      </c>
      <c r="AO894" s="21">
        <f>VLOOKUP(Transaction[[#This Row],[Model No.]],$AV$2:$BD$100,6,TRUE)</f>
        <v>14.99</v>
      </c>
      <c r="AP894" s="9">
        <v>4</v>
      </c>
      <c r="AQ894" s="5">
        <f>Transaction[[#This Row],[Price]]*Transaction[[#This Row],[Qty]]</f>
        <v>59.96</v>
      </c>
      <c r="AR894" s="5">
        <f>VLOOKUP(Transaction[[#This Row],[Model No.]],$AV$2:$BD$100,7,TRUE)*Transaction[[#This Row],[Qty]]</f>
        <v>5.9960000000000004</v>
      </c>
      <c r="AS894">
        <v>1106</v>
      </c>
      <c r="AT894">
        <v>1004</v>
      </c>
    </row>
    <row r="895" spans="36:46" x14ac:dyDescent="0.3">
      <c r="AJ895">
        <v>43783</v>
      </c>
      <c r="AK895" s="30">
        <v>42751</v>
      </c>
      <c r="AL895" t="s">
        <v>1130</v>
      </c>
      <c r="AM895">
        <v>46</v>
      </c>
      <c r="AN895" t="str">
        <f>VLOOKUP(Transaction[[#This Row],[Model No.]],$AV$2:$BD$100,2,TRUE)</f>
        <v>Label 5 Classic Black Blended Scotch Whisky</v>
      </c>
      <c r="AO895" s="21">
        <f>VLOOKUP(Transaction[[#This Row],[Model No.]],$AV$2:$BD$100,6,TRUE)</f>
        <v>15.99</v>
      </c>
      <c r="AP895" s="9">
        <v>2</v>
      </c>
      <c r="AQ895" s="5">
        <f>Transaction[[#This Row],[Price]]*Transaction[[#This Row],[Qty]]</f>
        <v>31.98</v>
      </c>
      <c r="AR895" s="5">
        <f>VLOOKUP(Transaction[[#This Row],[Model No.]],$AV$2:$BD$100,7,TRUE)*Transaction[[#This Row],[Qty]]</f>
        <v>6.3960000000000008</v>
      </c>
      <c r="AS895">
        <v>1108</v>
      </c>
      <c r="AT895">
        <v>1000</v>
      </c>
    </row>
    <row r="896" spans="36:46" x14ac:dyDescent="0.3">
      <c r="AJ896">
        <v>96052</v>
      </c>
      <c r="AK896" s="30">
        <v>42751</v>
      </c>
      <c r="AL896" t="s">
        <v>1761</v>
      </c>
      <c r="AM896">
        <v>88</v>
      </c>
      <c r="AN896" t="str">
        <f>VLOOKUP(Transaction[[#This Row],[Model No.]],$AV$2:$BD$100,2,TRUE)</f>
        <v>Ermita de Petrer Tinto Organic Alicante</v>
      </c>
      <c r="AO896" s="21">
        <f>VLOOKUP(Transaction[[#This Row],[Model No.]],$AV$2:$BD$100,6,TRUE)</f>
        <v>8.99</v>
      </c>
      <c r="AP896" s="9">
        <v>2</v>
      </c>
      <c r="AQ896" s="5">
        <f>Transaction[[#This Row],[Price]]*Transaction[[#This Row],[Qty]]</f>
        <v>17.98</v>
      </c>
      <c r="AR896" s="5">
        <f>VLOOKUP(Transaction[[#This Row],[Model No.]],$AV$2:$BD$100,7,TRUE)*Transaction[[#This Row],[Qty]]</f>
        <v>7.1920000000000002</v>
      </c>
      <c r="AS896">
        <v>1105</v>
      </c>
      <c r="AT896">
        <v>1011</v>
      </c>
    </row>
    <row r="897" spans="36:46" x14ac:dyDescent="0.3">
      <c r="AJ897">
        <v>91773</v>
      </c>
      <c r="AK897" s="30">
        <v>42752</v>
      </c>
      <c r="AL897" t="s">
        <v>678</v>
      </c>
      <c r="AM897">
        <v>51</v>
      </c>
      <c r="AN897" t="str">
        <f>VLOOKUP(Transaction[[#This Row],[Model No.]],$AV$2:$BD$100,2,TRUE)</f>
        <v>Waterbrook Cabernet Sauvignon</v>
      </c>
      <c r="AO897" s="21">
        <f>VLOOKUP(Transaction[[#This Row],[Model No.]],$AV$2:$BD$100,6,TRUE)</f>
        <v>14.99</v>
      </c>
      <c r="AP897" s="9">
        <v>3</v>
      </c>
      <c r="AQ897" s="5">
        <f>Transaction[[#This Row],[Price]]*Transaction[[#This Row],[Qty]]</f>
        <v>44.97</v>
      </c>
      <c r="AR897" s="5">
        <f>VLOOKUP(Transaction[[#This Row],[Model No.]],$AV$2:$BD$100,7,TRUE)*Transaction[[#This Row],[Qty]]</f>
        <v>4.4969999999999999</v>
      </c>
      <c r="AS897">
        <v>1098</v>
      </c>
      <c r="AT897">
        <v>1018</v>
      </c>
    </row>
    <row r="898" spans="36:46" x14ac:dyDescent="0.3">
      <c r="AJ898">
        <v>55279</v>
      </c>
      <c r="AK898" s="30">
        <v>42752</v>
      </c>
      <c r="AL898" t="s">
        <v>359</v>
      </c>
      <c r="AM898">
        <v>56</v>
      </c>
      <c r="AN898" t="str">
        <f>VLOOKUP(Transaction[[#This Row],[Model No.]],$AV$2:$BD$100,2,TRUE)</f>
        <v>Roy Pitz Sour Hound - 6 Pack</v>
      </c>
      <c r="AO898" s="21">
        <f>VLOOKUP(Transaction[[#This Row],[Model No.]],$AV$2:$BD$100,6,TRUE)</f>
        <v>13.99</v>
      </c>
      <c r="AP898" s="9">
        <v>3</v>
      </c>
      <c r="AQ898" s="5">
        <f>Transaction[[#This Row],[Price]]*Transaction[[#This Row],[Qty]]</f>
        <v>41.97</v>
      </c>
      <c r="AR898" s="5">
        <f>VLOOKUP(Transaction[[#This Row],[Model No.]],$AV$2:$BD$100,7,TRUE)*Transaction[[#This Row],[Qty]]</f>
        <v>12.591000000000001</v>
      </c>
      <c r="AS898">
        <v>1105</v>
      </c>
      <c r="AT898">
        <v>1002</v>
      </c>
    </row>
    <row r="899" spans="36:46" x14ac:dyDescent="0.3">
      <c r="AJ899">
        <v>33923</v>
      </c>
      <c r="AK899" s="30">
        <v>42753</v>
      </c>
      <c r="AL899" t="s">
        <v>1873</v>
      </c>
      <c r="AM899">
        <v>19</v>
      </c>
      <c r="AN899" t="str">
        <f>VLOOKUP(Transaction[[#This Row],[Model No.]],$AV$2:$BD$100,2,TRUE)</f>
        <v>District Made Vodka</v>
      </c>
      <c r="AO899" s="21">
        <f>VLOOKUP(Transaction[[#This Row],[Model No.]],$AV$2:$BD$100,6,TRUE)</f>
        <v>29.99</v>
      </c>
      <c r="AP899" s="9">
        <v>2</v>
      </c>
      <c r="AQ899" s="5">
        <f>Transaction[[#This Row],[Price]]*Transaction[[#This Row],[Qty]]</f>
        <v>59.98</v>
      </c>
      <c r="AR899" s="5">
        <f>VLOOKUP(Transaction[[#This Row],[Model No.]],$AV$2:$BD$100,7,TRUE)*Transaction[[#This Row],[Qty]]</f>
        <v>17.994</v>
      </c>
      <c r="AS899">
        <v>1105</v>
      </c>
      <c r="AT899">
        <v>1010</v>
      </c>
    </row>
    <row r="900" spans="36:46" x14ac:dyDescent="0.3">
      <c r="AJ900">
        <v>94184</v>
      </c>
      <c r="AK900" s="30">
        <v>42754</v>
      </c>
      <c r="AL900" t="s">
        <v>465</v>
      </c>
      <c r="AM900">
        <v>20</v>
      </c>
      <c r="AN900" t="str">
        <f>VLOOKUP(Transaction[[#This Row],[Model No.]],$AV$2:$BD$100,2,TRUE)</f>
        <v>Stonewall American Rum</v>
      </c>
      <c r="AO900" s="21">
        <f>VLOOKUP(Transaction[[#This Row],[Model No.]],$AV$2:$BD$100,6,TRUE)</f>
        <v>27.99</v>
      </c>
      <c r="AP900" s="9">
        <v>2</v>
      </c>
      <c r="AQ900" s="5">
        <f>Transaction[[#This Row],[Price]]*Transaction[[#This Row],[Qty]]</f>
        <v>55.98</v>
      </c>
      <c r="AR900" s="5">
        <f>VLOOKUP(Transaction[[#This Row],[Model No.]],$AV$2:$BD$100,7,TRUE)*Transaction[[#This Row],[Qty]]</f>
        <v>11.196</v>
      </c>
      <c r="AS900">
        <v>1098</v>
      </c>
      <c r="AT900">
        <v>1006</v>
      </c>
    </row>
    <row r="901" spans="36:46" x14ac:dyDescent="0.3">
      <c r="AJ901">
        <v>87855</v>
      </c>
      <c r="AK901" s="30">
        <v>42757</v>
      </c>
      <c r="AL901" t="s">
        <v>880</v>
      </c>
      <c r="AM901">
        <v>41</v>
      </c>
      <c r="AN901" t="str">
        <f>VLOOKUP(Transaction[[#This Row],[Model No.]],$AV$2:$BD$100,2,TRUE)</f>
        <v>Brunellesco Delle Venezie IGT Pinot Grigio</v>
      </c>
      <c r="AO901" s="21">
        <f>VLOOKUP(Transaction[[#This Row],[Model No.]],$AV$2:$BD$100,6,TRUE)</f>
        <v>17.39</v>
      </c>
      <c r="AP901" s="9">
        <v>4</v>
      </c>
      <c r="AQ901" s="5">
        <f>Transaction[[#This Row],[Price]]*Transaction[[#This Row],[Qty]]</f>
        <v>69.56</v>
      </c>
      <c r="AR901" s="5">
        <f>VLOOKUP(Transaction[[#This Row],[Model No.]],$AV$2:$BD$100,7,TRUE)*Transaction[[#This Row],[Qty]]</f>
        <v>6.9560000000000004</v>
      </c>
      <c r="AS901">
        <v>1108</v>
      </c>
      <c r="AT901">
        <v>1013</v>
      </c>
    </row>
    <row r="902" spans="36:46" x14ac:dyDescent="0.3">
      <c r="AJ902">
        <v>21511</v>
      </c>
      <c r="AK902" s="30">
        <v>42758</v>
      </c>
      <c r="AL902" t="s">
        <v>1602</v>
      </c>
      <c r="AM902">
        <v>13</v>
      </c>
      <c r="AN902" t="str">
        <f>VLOOKUP(Transaction[[#This Row],[Model No.]],$AV$2:$BD$100,2,TRUE)</f>
        <v>Luxardo Maraschino Liqueur</v>
      </c>
      <c r="AO902" s="21">
        <f>VLOOKUP(Transaction[[#This Row],[Model No.]],$AV$2:$BD$100,6,TRUE)</f>
        <v>36.99</v>
      </c>
      <c r="AP902" s="9">
        <v>3</v>
      </c>
      <c r="AQ902" s="5">
        <f>Transaction[[#This Row],[Price]]*Transaction[[#This Row],[Qty]]</f>
        <v>110.97</v>
      </c>
      <c r="AR902" s="5">
        <f>VLOOKUP(Transaction[[#This Row],[Model No.]],$AV$2:$BD$100,7,TRUE)*Transaction[[#This Row],[Qty]]</f>
        <v>33.290999999999997</v>
      </c>
      <c r="AS902">
        <v>1108</v>
      </c>
      <c r="AT902">
        <v>1003</v>
      </c>
    </row>
    <row r="903" spans="36:46" x14ac:dyDescent="0.3">
      <c r="AJ903">
        <v>56643</v>
      </c>
      <c r="AK903" s="30">
        <v>42758</v>
      </c>
      <c r="AL903" t="s">
        <v>1454</v>
      </c>
      <c r="AM903">
        <v>55</v>
      </c>
      <c r="AN903" t="str">
        <f>VLOOKUP(Transaction[[#This Row],[Model No.]],$AV$2:$BD$100,2,TRUE)</f>
        <v>Clos du Bois Hand Selected Lots Shiraz</v>
      </c>
      <c r="AO903" s="21">
        <f>VLOOKUP(Transaction[[#This Row],[Model No.]],$AV$2:$BD$100,6,TRUE)</f>
        <v>14.49</v>
      </c>
      <c r="AP903" s="9">
        <v>4</v>
      </c>
      <c r="AQ903" s="5">
        <f>Transaction[[#This Row],[Price]]*Transaction[[#This Row],[Qty]]</f>
        <v>57.96</v>
      </c>
      <c r="AR903" s="5">
        <f>VLOOKUP(Transaction[[#This Row],[Model No.]],$AV$2:$BD$100,7,TRUE)*Transaction[[#This Row],[Qty]]</f>
        <v>5.7960000000000003</v>
      </c>
      <c r="AS903">
        <v>1102</v>
      </c>
      <c r="AT903">
        <v>1018</v>
      </c>
    </row>
    <row r="904" spans="36:46" x14ac:dyDescent="0.3">
      <c r="AJ904">
        <v>54484</v>
      </c>
      <c r="AK904" s="30">
        <v>42759</v>
      </c>
      <c r="AL904" t="s">
        <v>1255</v>
      </c>
      <c r="AM904">
        <v>46</v>
      </c>
      <c r="AN904" t="str">
        <f>VLOOKUP(Transaction[[#This Row],[Model No.]],$AV$2:$BD$100,2,TRUE)</f>
        <v>Label 5 Classic Black Blended Scotch Whisky</v>
      </c>
      <c r="AO904" s="21">
        <f>VLOOKUP(Transaction[[#This Row],[Model No.]],$AV$2:$BD$100,6,TRUE)</f>
        <v>15.99</v>
      </c>
      <c r="AP904" s="9">
        <v>4</v>
      </c>
      <c r="AQ904" s="5">
        <f>Transaction[[#This Row],[Price]]*Transaction[[#This Row],[Qty]]</f>
        <v>63.96</v>
      </c>
      <c r="AR904" s="5">
        <f>VLOOKUP(Transaction[[#This Row],[Model No.]],$AV$2:$BD$100,7,TRUE)*Transaction[[#This Row],[Qty]]</f>
        <v>12.792000000000002</v>
      </c>
      <c r="AS904">
        <v>1098</v>
      </c>
      <c r="AT904">
        <v>1019</v>
      </c>
    </row>
    <row r="905" spans="36:46" x14ac:dyDescent="0.3">
      <c r="AJ905">
        <v>24092</v>
      </c>
      <c r="AK905" s="30">
        <v>42760</v>
      </c>
      <c r="AL905" t="s">
        <v>332</v>
      </c>
      <c r="AM905">
        <v>3</v>
      </c>
      <c r="AN905" t="str">
        <f>VLOOKUP(Transaction[[#This Row],[Model No.]],$AV$2:$BD$100,2,TRUE)</f>
        <v>Compass Box Orangerie Scotch Whisky</v>
      </c>
      <c r="AO905" s="21">
        <f>VLOOKUP(Transaction[[#This Row],[Model No.]],$AV$2:$BD$100,6,TRUE)</f>
        <v>56.99</v>
      </c>
      <c r="AP905" s="9">
        <v>2</v>
      </c>
      <c r="AQ905" s="5">
        <f>Transaction[[#This Row],[Price]]*Transaction[[#This Row],[Qty]]</f>
        <v>113.98</v>
      </c>
      <c r="AR905" s="5">
        <f>VLOOKUP(Transaction[[#This Row],[Model No.]],$AV$2:$BD$100,7,TRUE)*Transaction[[#This Row],[Qty]]</f>
        <v>34.194000000000003</v>
      </c>
      <c r="AS905">
        <v>1102</v>
      </c>
      <c r="AT905">
        <v>1005</v>
      </c>
    </row>
    <row r="906" spans="36:46" x14ac:dyDescent="0.3">
      <c r="AJ906">
        <v>77856</v>
      </c>
      <c r="AK906" s="30">
        <v>42761</v>
      </c>
      <c r="AL906" t="s">
        <v>718</v>
      </c>
      <c r="AM906">
        <v>92</v>
      </c>
      <c r="AN906" t="str">
        <f>VLOOKUP(Transaction[[#This Row],[Model No.]],$AV$2:$BD$100,2,TRUE)</f>
        <v>Four Seasons Collection Late Harvest White Moscato Dessert Muscat</v>
      </c>
      <c r="AO906" s="21">
        <f>VLOOKUP(Transaction[[#This Row],[Model No.]],$AV$2:$BD$100,6,TRUE)</f>
        <v>7.69</v>
      </c>
      <c r="AP906" s="9">
        <v>2</v>
      </c>
      <c r="AQ906" s="5">
        <f>Transaction[[#This Row],[Price]]*Transaction[[#This Row],[Qty]]</f>
        <v>15.38</v>
      </c>
      <c r="AR906" s="5">
        <f>VLOOKUP(Transaction[[#This Row],[Model No.]],$AV$2:$BD$100,7,TRUE)*Transaction[[#This Row],[Qty]]</f>
        <v>1.5380000000000003</v>
      </c>
      <c r="AS906">
        <v>1103</v>
      </c>
      <c r="AT906">
        <v>1017</v>
      </c>
    </row>
    <row r="907" spans="36:46" x14ac:dyDescent="0.3">
      <c r="AJ907">
        <v>30865</v>
      </c>
      <c r="AK907" s="30">
        <v>42762</v>
      </c>
      <c r="AL907" t="s">
        <v>1102</v>
      </c>
      <c r="AM907">
        <v>90</v>
      </c>
      <c r="AN907" t="str">
        <f>VLOOKUP(Transaction[[#This Row],[Model No.]],$AV$2:$BD$100,2,TRUE)</f>
        <v>Carlo Rossi Moscato Sangria Muscat Blanc a Petits Grains</v>
      </c>
      <c r="AO907" s="21">
        <f>VLOOKUP(Transaction[[#This Row],[Model No.]],$AV$2:$BD$100,6,TRUE)</f>
        <v>7.99</v>
      </c>
      <c r="AP907" s="9">
        <v>4</v>
      </c>
      <c r="AQ907" s="5">
        <f>Transaction[[#This Row],[Price]]*Transaction[[#This Row],[Qty]]</f>
        <v>31.96</v>
      </c>
      <c r="AR907" s="5">
        <f>VLOOKUP(Transaction[[#This Row],[Model No.]],$AV$2:$BD$100,7,TRUE)*Transaction[[#This Row],[Qty]]</f>
        <v>6.3920000000000003</v>
      </c>
      <c r="AS907">
        <v>1106</v>
      </c>
      <c r="AT907">
        <v>1007</v>
      </c>
    </row>
    <row r="908" spans="36:46" x14ac:dyDescent="0.3">
      <c r="AJ908">
        <v>53392</v>
      </c>
      <c r="AK908" s="30">
        <v>42764</v>
      </c>
      <c r="AL908" t="s">
        <v>1344</v>
      </c>
      <c r="AM908">
        <v>25</v>
      </c>
      <c r="AN908" t="str">
        <f>VLOOKUP(Transaction[[#This Row],[Model No.]],$AV$2:$BD$100,2,TRUE)</f>
        <v>ICEHOUSE 4/6 LNNR - 24 Pack</v>
      </c>
      <c r="AO908" s="21">
        <f>VLOOKUP(Transaction[[#This Row],[Model No.]],$AV$2:$BD$100,6,TRUE)</f>
        <v>23.99</v>
      </c>
      <c r="AP908" s="9">
        <v>4</v>
      </c>
      <c r="AQ908" s="5">
        <f>Transaction[[#This Row],[Price]]*Transaction[[#This Row],[Qty]]</f>
        <v>95.96</v>
      </c>
      <c r="AR908" s="5">
        <f>VLOOKUP(Transaction[[#This Row],[Model No.]],$AV$2:$BD$100,7,TRUE)*Transaction[[#This Row],[Qty]]</f>
        <v>28.787999999999997</v>
      </c>
      <c r="AS908">
        <v>1108</v>
      </c>
      <c r="AT908">
        <v>1004</v>
      </c>
    </row>
    <row r="909" spans="36:46" x14ac:dyDescent="0.3">
      <c r="AJ909">
        <v>24219</v>
      </c>
      <c r="AK909" s="30">
        <v>42764</v>
      </c>
      <c r="AL909" t="s">
        <v>1000</v>
      </c>
      <c r="AM909">
        <v>25</v>
      </c>
      <c r="AN909" t="str">
        <f>VLOOKUP(Transaction[[#This Row],[Model No.]],$AV$2:$BD$100,2,TRUE)</f>
        <v>ICEHOUSE 4/6 LNNR - 24 Pack</v>
      </c>
      <c r="AO909" s="21">
        <f>VLOOKUP(Transaction[[#This Row],[Model No.]],$AV$2:$BD$100,6,TRUE)</f>
        <v>23.99</v>
      </c>
      <c r="AP909" s="9">
        <v>1</v>
      </c>
      <c r="AQ909" s="5">
        <f>Transaction[[#This Row],[Price]]*Transaction[[#This Row],[Qty]]</f>
        <v>23.99</v>
      </c>
      <c r="AR909" s="5">
        <f>VLOOKUP(Transaction[[#This Row],[Model No.]],$AV$2:$BD$100,7,TRUE)*Transaction[[#This Row],[Qty]]</f>
        <v>7.1969999999999992</v>
      </c>
      <c r="AS909">
        <v>1100</v>
      </c>
      <c r="AT909">
        <v>1020</v>
      </c>
    </row>
    <row r="910" spans="36:46" x14ac:dyDescent="0.3">
      <c r="AJ910">
        <v>82342</v>
      </c>
      <c r="AK910" s="30">
        <v>42764</v>
      </c>
      <c r="AL910" t="s">
        <v>904</v>
      </c>
      <c r="AM910">
        <v>63</v>
      </c>
      <c r="AN910" t="str">
        <f>VLOOKUP(Transaction[[#This Row],[Model No.]],$AV$2:$BD$100,2,TRUE)</f>
        <v>Troegs LaGrave - 4 Pack</v>
      </c>
      <c r="AO910" s="21">
        <f>VLOOKUP(Transaction[[#This Row],[Model No.]],$AV$2:$BD$100,6,TRUE)</f>
        <v>12.99</v>
      </c>
      <c r="AP910" s="9">
        <v>4</v>
      </c>
      <c r="AQ910" s="5">
        <f>Transaction[[#This Row],[Price]]*Transaction[[#This Row],[Qty]]</f>
        <v>51.96</v>
      </c>
      <c r="AR910" s="5">
        <f>VLOOKUP(Transaction[[#This Row],[Model No.]],$AV$2:$BD$100,7,TRUE)*Transaction[[#This Row],[Qty]]</f>
        <v>15.587999999999999</v>
      </c>
      <c r="AS910">
        <v>1100</v>
      </c>
      <c r="AT910">
        <v>1002</v>
      </c>
    </row>
    <row r="911" spans="36:46" x14ac:dyDescent="0.3">
      <c r="AJ911">
        <v>67879</v>
      </c>
      <c r="AK911" s="30">
        <v>42765</v>
      </c>
      <c r="AL911" t="s">
        <v>827</v>
      </c>
      <c r="AM911">
        <v>77</v>
      </c>
      <c r="AN911" t="str">
        <f>VLOOKUP(Transaction[[#This Row],[Model No.]],$AV$2:$BD$100,2,TRUE)</f>
        <v>LA CHASSE PRETIGE CDR</v>
      </c>
      <c r="AO911" s="21">
        <f>VLOOKUP(Transaction[[#This Row],[Model No.]],$AV$2:$BD$100,6,TRUE)</f>
        <v>11.99</v>
      </c>
      <c r="AP911" s="9">
        <v>1</v>
      </c>
      <c r="AQ911" s="5">
        <f>Transaction[[#This Row],[Price]]*Transaction[[#This Row],[Qty]]</f>
        <v>11.99</v>
      </c>
      <c r="AR911" s="5">
        <f>VLOOKUP(Transaction[[#This Row],[Model No.]],$AV$2:$BD$100,7,TRUE)*Transaction[[#This Row],[Qty]]</f>
        <v>4.7960000000000003</v>
      </c>
      <c r="AS911">
        <v>1101</v>
      </c>
      <c r="AT911">
        <v>1013</v>
      </c>
    </row>
    <row r="912" spans="36:46" x14ac:dyDescent="0.3">
      <c r="AJ912">
        <v>95961</v>
      </c>
      <c r="AK912" s="30">
        <v>42766</v>
      </c>
      <c r="AL912" t="s">
        <v>359</v>
      </c>
      <c r="AM912">
        <v>81</v>
      </c>
      <c r="AN912" t="str">
        <f>VLOOKUP(Transaction[[#This Row],[Model No.]],$AV$2:$BD$100,2,TRUE)</f>
        <v>TerraNoble Reserva La Higuera Vineyard Carmenere</v>
      </c>
      <c r="AO912" s="21">
        <f>VLOOKUP(Transaction[[#This Row],[Model No.]],$AV$2:$BD$100,6,TRUE)</f>
        <v>10.99</v>
      </c>
      <c r="AP912" s="9">
        <v>2</v>
      </c>
      <c r="AQ912" s="5">
        <f>Transaction[[#This Row],[Price]]*Transaction[[#This Row],[Qty]]</f>
        <v>21.98</v>
      </c>
      <c r="AR912" s="5">
        <f>VLOOKUP(Transaction[[#This Row],[Model No.]],$AV$2:$BD$100,7,TRUE)*Transaction[[#This Row],[Qty]]</f>
        <v>6.5940000000000003</v>
      </c>
      <c r="AS912">
        <v>1099</v>
      </c>
      <c r="AT912">
        <v>1004</v>
      </c>
    </row>
    <row r="913" spans="36:46" x14ac:dyDescent="0.3">
      <c r="AJ913">
        <v>57427</v>
      </c>
      <c r="AK913" s="30">
        <v>42766</v>
      </c>
      <c r="AL913" t="s">
        <v>1175</v>
      </c>
      <c r="AM913">
        <v>80</v>
      </c>
      <c r="AN913" t="str">
        <f>VLOOKUP(Transaction[[#This Row],[Model No.]],$AV$2:$BD$100,2,TRUE)</f>
        <v>Evolution Craft Stalker Hefeweizen - 6 Pack</v>
      </c>
      <c r="AO913" s="21">
        <f>VLOOKUP(Transaction[[#This Row],[Model No.]],$AV$2:$BD$100,6,TRUE)</f>
        <v>10.99</v>
      </c>
      <c r="AP913" s="9">
        <v>4</v>
      </c>
      <c r="AQ913" s="5">
        <f>Transaction[[#This Row],[Price]]*Transaction[[#This Row],[Qty]]</f>
        <v>43.96</v>
      </c>
      <c r="AR913" s="5">
        <f>VLOOKUP(Transaction[[#This Row],[Model No.]],$AV$2:$BD$100,7,TRUE)*Transaction[[#This Row],[Qty]]</f>
        <v>13.188000000000001</v>
      </c>
      <c r="AS913">
        <v>1106</v>
      </c>
      <c r="AT913">
        <v>1020</v>
      </c>
    </row>
    <row r="914" spans="36:46" x14ac:dyDescent="0.3">
      <c r="AJ914">
        <v>17033</v>
      </c>
      <c r="AK914" s="30">
        <v>42767</v>
      </c>
      <c r="AL914" t="s">
        <v>1520</v>
      </c>
      <c r="AM914">
        <v>29</v>
      </c>
      <c r="AN914" t="str">
        <f>VLOOKUP(Transaction[[#This Row],[Model No.]],$AV$2:$BD$100,2,TRUE)</f>
        <v>SCHLAFLY STOUT BOUT SAMPLER   2/12 - 12 Pack</v>
      </c>
      <c r="AO914" s="21">
        <f>VLOOKUP(Transaction[[#This Row],[Model No.]],$AV$2:$BD$100,6,TRUE)</f>
        <v>22.99</v>
      </c>
      <c r="AP914" s="9">
        <v>2</v>
      </c>
      <c r="AQ914" s="5">
        <f>Transaction[[#This Row],[Price]]*Transaction[[#This Row],[Qty]]</f>
        <v>45.98</v>
      </c>
      <c r="AR914" s="5">
        <f>VLOOKUP(Transaction[[#This Row],[Model No.]],$AV$2:$BD$100,7,TRUE)*Transaction[[#This Row],[Qty]]</f>
        <v>13.793999999999999</v>
      </c>
      <c r="AS914">
        <v>1103</v>
      </c>
      <c r="AT914">
        <v>1007</v>
      </c>
    </row>
    <row r="915" spans="36:46" x14ac:dyDescent="0.3">
      <c r="AJ915">
        <v>11445</v>
      </c>
      <c r="AK915" s="30">
        <v>42767</v>
      </c>
      <c r="AL915" t="s">
        <v>765</v>
      </c>
      <c r="AM915">
        <v>82</v>
      </c>
      <c r="AN915" t="str">
        <f>VLOOKUP(Transaction[[#This Row],[Model No.]],$AV$2:$BD$100,2,TRUE)</f>
        <v>PInnacle Chocolate Whipped Vodka</v>
      </c>
      <c r="AO915" s="21">
        <f>VLOOKUP(Transaction[[#This Row],[Model No.]],$AV$2:$BD$100,6,TRUE)</f>
        <v>10.99</v>
      </c>
      <c r="AP915" s="9">
        <v>4</v>
      </c>
      <c r="AQ915" s="5">
        <f>Transaction[[#This Row],[Price]]*Transaction[[#This Row],[Qty]]</f>
        <v>43.96</v>
      </c>
      <c r="AR915" s="5">
        <f>VLOOKUP(Transaction[[#This Row],[Model No.]],$AV$2:$BD$100,7,TRUE)*Transaction[[#This Row],[Qty]]</f>
        <v>13.188000000000001</v>
      </c>
      <c r="AS915">
        <v>1098</v>
      </c>
      <c r="AT915">
        <v>1001</v>
      </c>
    </row>
    <row r="916" spans="36:46" x14ac:dyDescent="0.3">
      <c r="AJ916">
        <v>51871</v>
      </c>
      <c r="AK916" s="30">
        <v>42770</v>
      </c>
      <c r="AL916" t="s">
        <v>1614</v>
      </c>
      <c r="AM916">
        <v>58</v>
      </c>
      <c r="AN916" t="str">
        <f>VLOOKUP(Transaction[[#This Row],[Model No.]],$AV$2:$BD$100,2,TRUE)</f>
        <v>Smirnoff Mango Vodka</v>
      </c>
      <c r="AO916" s="21">
        <f>VLOOKUP(Transaction[[#This Row],[Model No.]],$AV$2:$BD$100,6,TRUE)</f>
        <v>13.49</v>
      </c>
      <c r="AP916" s="9">
        <v>1</v>
      </c>
      <c r="AQ916" s="5">
        <f>Transaction[[#This Row],[Price]]*Transaction[[#This Row],[Qty]]</f>
        <v>13.49</v>
      </c>
      <c r="AR916" s="5">
        <f>VLOOKUP(Transaction[[#This Row],[Model No.]],$AV$2:$BD$100,7,TRUE)*Transaction[[#This Row],[Qty]]</f>
        <v>4.0469999999999997</v>
      </c>
      <c r="AS916">
        <v>1107</v>
      </c>
      <c r="AT916">
        <v>1020</v>
      </c>
    </row>
    <row r="917" spans="36:46" x14ac:dyDescent="0.3">
      <c r="AJ917">
        <v>20240</v>
      </c>
      <c r="AK917" s="30">
        <v>42771</v>
      </c>
      <c r="AL917" t="s">
        <v>1620</v>
      </c>
      <c r="AM917">
        <v>31</v>
      </c>
      <c r="AN917" t="str">
        <f>VLOOKUP(Transaction[[#This Row],[Model No.]],$AV$2:$BD$100,2,TRUE)</f>
        <v>Gulden Draak 9000 Quadruple - 4 Pack</v>
      </c>
      <c r="AO917" s="21">
        <f>VLOOKUP(Transaction[[#This Row],[Model No.]],$AV$2:$BD$100,6,TRUE)</f>
        <v>21.99</v>
      </c>
      <c r="AP917" s="9">
        <v>5</v>
      </c>
      <c r="AQ917" s="5">
        <f>Transaction[[#This Row],[Price]]*Transaction[[#This Row],[Qty]]</f>
        <v>109.94999999999999</v>
      </c>
      <c r="AR917" s="5">
        <f>VLOOKUP(Transaction[[#This Row],[Model No.]],$AV$2:$BD$100,7,TRUE)*Transaction[[#This Row],[Qty]]</f>
        <v>32.984999999999999</v>
      </c>
      <c r="AS917">
        <v>1099</v>
      </c>
      <c r="AT917">
        <v>1001</v>
      </c>
    </row>
    <row r="918" spans="36:46" x14ac:dyDescent="0.3">
      <c r="AJ918">
        <v>59871</v>
      </c>
      <c r="AK918" s="30">
        <v>42771</v>
      </c>
      <c r="AL918" t="s">
        <v>1201</v>
      </c>
      <c r="AM918">
        <v>38</v>
      </c>
      <c r="AN918" t="str">
        <f>VLOOKUP(Transaction[[#This Row],[Model No.]],$AV$2:$BD$100,2,TRUE)</f>
        <v>CiROC Red Berry Vodka</v>
      </c>
      <c r="AO918" s="21">
        <f>VLOOKUP(Transaction[[#This Row],[Model No.]],$AV$2:$BD$100,6,TRUE)</f>
        <v>19.989999999999998</v>
      </c>
      <c r="AP918" s="9">
        <v>3</v>
      </c>
      <c r="AQ918" s="5">
        <f>Transaction[[#This Row],[Price]]*Transaction[[#This Row],[Qty]]</f>
        <v>59.97</v>
      </c>
      <c r="AR918" s="5">
        <f>VLOOKUP(Transaction[[#This Row],[Model No.]],$AV$2:$BD$100,7,TRUE)*Transaction[[#This Row],[Qty]]</f>
        <v>17.990999999999996</v>
      </c>
      <c r="AS918">
        <v>1106</v>
      </c>
      <c r="AT918">
        <v>1017</v>
      </c>
    </row>
    <row r="919" spans="36:46" x14ac:dyDescent="0.3">
      <c r="AJ919">
        <v>35461</v>
      </c>
      <c r="AK919" s="30">
        <v>42773</v>
      </c>
      <c r="AL919" t="s">
        <v>1858</v>
      </c>
      <c r="AM919">
        <v>17</v>
      </c>
      <c r="AN919" t="str">
        <f>VLOOKUP(Transaction[[#This Row],[Model No.]],$AV$2:$BD$100,2,TRUE)</f>
        <v>Miller Lite Can - 24 Pack</v>
      </c>
      <c r="AO919" s="21">
        <f>VLOOKUP(Transaction[[#This Row],[Model No.]],$AV$2:$BD$100,6,TRUE)</f>
        <v>30.99</v>
      </c>
      <c r="AP919" s="9">
        <v>2</v>
      </c>
      <c r="AQ919" s="5">
        <f>Transaction[[#This Row],[Price]]*Transaction[[#This Row],[Qty]]</f>
        <v>61.98</v>
      </c>
      <c r="AR919" s="5">
        <f>VLOOKUP(Transaction[[#This Row],[Model No.]],$AV$2:$BD$100,7,TRUE)*Transaction[[#This Row],[Qty]]</f>
        <v>18.593999999999998</v>
      </c>
      <c r="AS919">
        <v>1102</v>
      </c>
      <c r="AT919">
        <v>1021</v>
      </c>
    </row>
    <row r="920" spans="36:46" x14ac:dyDescent="0.3">
      <c r="AJ920">
        <v>17616</v>
      </c>
      <c r="AK920" s="30">
        <v>42777</v>
      </c>
      <c r="AL920" t="s">
        <v>958</v>
      </c>
      <c r="AM920">
        <v>86</v>
      </c>
      <c r="AN920" t="str">
        <f>VLOOKUP(Transaction[[#This Row],[Model No.]],$AV$2:$BD$100,2,TRUE)</f>
        <v>Bully Hill Vineyards Love My Goat Baco Noir</v>
      </c>
      <c r="AO920" s="21">
        <f>VLOOKUP(Transaction[[#This Row],[Model No.]],$AV$2:$BD$100,6,TRUE)</f>
        <v>9.49</v>
      </c>
      <c r="AP920" s="9">
        <v>1</v>
      </c>
      <c r="AQ920" s="5">
        <f>Transaction[[#This Row],[Price]]*Transaction[[#This Row],[Qty]]</f>
        <v>9.49</v>
      </c>
      <c r="AR920" s="5">
        <f>VLOOKUP(Transaction[[#This Row],[Model No.]],$AV$2:$BD$100,7,TRUE)*Transaction[[#This Row],[Qty]]</f>
        <v>0.94900000000000007</v>
      </c>
      <c r="AS920">
        <v>1108</v>
      </c>
      <c r="AT920">
        <v>1005</v>
      </c>
    </row>
    <row r="921" spans="36:46" x14ac:dyDescent="0.3">
      <c r="AJ921">
        <v>33008</v>
      </c>
      <c r="AK921" s="30">
        <v>42778</v>
      </c>
      <c r="AL921" t="s">
        <v>568</v>
      </c>
      <c r="AM921">
        <v>18</v>
      </c>
      <c r="AN921" t="str">
        <f>VLOOKUP(Transaction[[#This Row],[Model No.]],$AV$2:$BD$100,2,TRUE)</f>
        <v>Twenty Grand Peach Vodka</v>
      </c>
      <c r="AO921" s="21">
        <f>VLOOKUP(Transaction[[#This Row],[Model No.]],$AV$2:$BD$100,6,TRUE)</f>
        <v>30.99</v>
      </c>
      <c r="AP921" s="9">
        <v>5</v>
      </c>
      <c r="AQ921" s="5">
        <f>Transaction[[#This Row],[Price]]*Transaction[[#This Row],[Qty]]</f>
        <v>154.94999999999999</v>
      </c>
      <c r="AR921" s="5">
        <f>VLOOKUP(Transaction[[#This Row],[Model No.]],$AV$2:$BD$100,7,TRUE)*Transaction[[#This Row],[Qty]]</f>
        <v>46.484999999999992</v>
      </c>
      <c r="AS921">
        <v>1108</v>
      </c>
      <c r="AT921">
        <v>1008</v>
      </c>
    </row>
    <row r="922" spans="36:46" x14ac:dyDescent="0.3">
      <c r="AJ922">
        <v>62491</v>
      </c>
      <c r="AK922" s="30">
        <v>42780</v>
      </c>
      <c r="AL922" t="s">
        <v>1855</v>
      </c>
      <c r="AM922">
        <v>59</v>
      </c>
      <c r="AN922" t="str">
        <f>VLOOKUP(Transaction[[#This Row],[Model No.]],$AV$2:$BD$100,2,TRUE)</f>
        <v>Smirnoff Kissed Caramel Vodka</v>
      </c>
      <c r="AO922" s="21">
        <f>VLOOKUP(Transaction[[#This Row],[Model No.]],$AV$2:$BD$100,6,TRUE)</f>
        <v>13.49</v>
      </c>
      <c r="AP922" s="9">
        <v>5</v>
      </c>
      <c r="AQ922" s="5">
        <f>Transaction[[#This Row],[Price]]*Transaction[[#This Row],[Qty]]</f>
        <v>67.45</v>
      </c>
      <c r="AR922" s="5">
        <f>VLOOKUP(Transaction[[#This Row],[Model No.]],$AV$2:$BD$100,7,TRUE)*Transaction[[#This Row],[Qty]]</f>
        <v>20.234999999999999</v>
      </c>
      <c r="AS922">
        <v>1103</v>
      </c>
      <c r="AT922">
        <v>1019</v>
      </c>
    </row>
    <row r="923" spans="36:46" x14ac:dyDescent="0.3">
      <c r="AJ923">
        <v>52603</v>
      </c>
      <c r="AK923" s="30">
        <v>42782</v>
      </c>
      <c r="AL923" t="s">
        <v>524</v>
      </c>
      <c r="AM923">
        <v>8</v>
      </c>
      <c r="AN923" t="str">
        <f>VLOOKUP(Transaction[[#This Row],[Model No.]],$AV$2:$BD$100,2,TRUE)</f>
        <v>Roco Marsh Estate Vineyard Pinot Noir</v>
      </c>
      <c r="AO923" s="21">
        <f>VLOOKUP(Transaction[[#This Row],[Model No.]],$AV$2:$BD$100,6,TRUE)</f>
        <v>44.99</v>
      </c>
      <c r="AP923" s="9">
        <v>4</v>
      </c>
      <c r="AQ923" s="5">
        <f>Transaction[[#This Row],[Price]]*Transaction[[#This Row],[Qty]]</f>
        <v>179.96</v>
      </c>
      <c r="AR923" s="5">
        <f>VLOOKUP(Transaction[[#This Row],[Model No.]],$AV$2:$BD$100,7,TRUE)*Transaction[[#This Row],[Qty]]</f>
        <v>17.996000000000002</v>
      </c>
      <c r="AS923">
        <v>1103</v>
      </c>
      <c r="AT923">
        <v>1009</v>
      </c>
    </row>
    <row r="924" spans="36:46" x14ac:dyDescent="0.3">
      <c r="AJ924">
        <v>67781</v>
      </c>
      <c r="AK924" s="30">
        <v>42782</v>
      </c>
      <c r="AL924" t="s">
        <v>875</v>
      </c>
      <c r="AM924">
        <v>22</v>
      </c>
      <c r="AN924" t="str">
        <f>VLOOKUP(Transaction[[#This Row],[Model No.]],$AV$2:$BD$100,2,TRUE)</f>
        <v>Efe Raki Black Triple Distilled Liqueur</v>
      </c>
      <c r="AO924" s="21">
        <f>VLOOKUP(Transaction[[#This Row],[Model No.]],$AV$2:$BD$100,6,TRUE)</f>
        <v>25.99</v>
      </c>
      <c r="AP924" s="9">
        <v>4</v>
      </c>
      <c r="AQ924" s="5">
        <f>Transaction[[#This Row],[Price]]*Transaction[[#This Row],[Qty]]</f>
        <v>103.96</v>
      </c>
      <c r="AR924" s="5">
        <f>VLOOKUP(Transaction[[#This Row],[Model No.]],$AV$2:$BD$100,7,TRUE)*Transaction[[#This Row],[Qty]]</f>
        <v>31.187999999999995</v>
      </c>
      <c r="AS924">
        <v>1106</v>
      </c>
      <c r="AT924">
        <v>1017</v>
      </c>
    </row>
    <row r="925" spans="36:46" x14ac:dyDescent="0.3">
      <c r="AJ925">
        <v>17424</v>
      </c>
      <c r="AK925" s="30">
        <v>42783</v>
      </c>
      <c r="AL925" t="s">
        <v>1336</v>
      </c>
      <c r="AM925">
        <v>13</v>
      </c>
      <c r="AN925" t="str">
        <f>VLOOKUP(Transaction[[#This Row],[Model No.]],$AV$2:$BD$100,2,TRUE)</f>
        <v>Luxardo Maraschino Liqueur</v>
      </c>
      <c r="AO925" s="21">
        <f>VLOOKUP(Transaction[[#This Row],[Model No.]],$AV$2:$BD$100,6,TRUE)</f>
        <v>36.99</v>
      </c>
      <c r="AP925" s="9">
        <v>1</v>
      </c>
      <c r="AQ925" s="5">
        <f>Transaction[[#This Row],[Price]]*Transaction[[#This Row],[Qty]]</f>
        <v>36.99</v>
      </c>
      <c r="AR925" s="5">
        <f>VLOOKUP(Transaction[[#This Row],[Model No.]],$AV$2:$BD$100,7,TRUE)*Transaction[[#This Row],[Qty]]</f>
        <v>11.097</v>
      </c>
      <c r="AS925">
        <v>1099</v>
      </c>
      <c r="AT925">
        <v>1007</v>
      </c>
    </row>
    <row r="926" spans="36:46" x14ac:dyDescent="0.3">
      <c r="AJ926">
        <v>29746</v>
      </c>
      <c r="AK926" s="30">
        <v>42783</v>
      </c>
      <c r="AL926" t="s">
        <v>841</v>
      </c>
      <c r="AM926">
        <v>87</v>
      </c>
      <c r="AN926" t="str">
        <f>VLOOKUP(Transaction[[#This Row],[Model No.]],$AV$2:$BD$100,2,TRUE)</f>
        <v>Cruzan 9 Spiced Rum</v>
      </c>
      <c r="AO926" s="21">
        <f>VLOOKUP(Transaction[[#This Row],[Model No.]],$AV$2:$BD$100,6,TRUE)</f>
        <v>9.49</v>
      </c>
      <c r="AP926" s="9">
        <v>5</v>
      </c>
      <c r="AQ926" s="5">
        <f>Transaction[[#This Row],[Price]]*Transaction[[#This Row],[Qty]]</f>
        <v>47.45</v>
      </c>
      <c r="AR926" s="5">
        <f>VLOOKUP(Transaction[[#This Row],[Model No.]],$AV$2:$BD$100,7,TRUE)*Transaction[[#This Row],[Qty]]</f>
        <v>9.49</v>
      </c>
      <c r="AS926">
        <v>1106</v>
      </c>
      <c r="AT926">
        <v>1019</v>
      </c>
    </row>
    <row r="927" spans="36:46" x14ac:dyDescent="0.3">
      <c r="AJ927">
        <v>97019</v>
      </c>
      <c r="AK927" s="30">
        <v>42784</v>
      </c>
      <c r="AL927" t="s">
        <v>775</v>
      </c>
      <c r="AM927">
        <v>17</v>
      </c>
      <c r="AN927" t="str">
        <f>VLOOKUP(Transaction[[#This Row],[Model No.]],$AV$2:$BD$100,2,TRUE)</f>
        <v>Miller Lite Can - 24 Pack</v>
      </c>
      <c r="AO927" s="21">
        <f>VLOOKUP(Transaction[[#This Row],[Model No.]],$AV$2:$BD$100,6,TRUE)</f>
        <v>30.99</v>
      </c>
      <c r="AP927" s="9">
        <v>1</v>
      </c>
      <c r="AQ927" s="5">
        <f>Transaction[[#This Row],[Price]]*Transaction[[#This Row],[Qty]]</f>
        <v>30.99</v>
      </c>
      <c r="AR927" s="5">
        <f>VLOOKUP(Transaction[[#This Row],[Model No.]],$AV$2:$BD$100,7,TRUE)*Transaction[[#This Row],[Qty]]</f>
        <v>9.2969999999999988</v>
      </c>
      <c r="AS927">
        <v>1104</v>
      </c>
      <c r="AT927">
        <v>1016</v>
      </c>
    </row>
    <row r="928" spans="36:46" x14ac:dyDescent="0.3">
      <c r="AJ928">
        <v>84227</v>
      </c>
      <c r="AK928" s="30">
        <v>42784</v>
      </c>
      <c r="AL928" t="s">
        <v>573</v>
      </c>
      <c r="AM928">
        <v>18</v>
      </c>
      <c r="AN928" t="str">
        <f>VLOOKUP(Transaction[[#This Row],[Model No.]],$AV$2:$BD$100,2,TRUE)</f>
        <v>Twenty Grand Peach Vodka</v>
      </c>
      <c r="AO928" s="21">
        <f>VLOOKUP(Transaction[[#This Row],[Model No.]],$AV$2:$BD$100,6,TRUE)</f>
        <v>30.99</v>
      </c>
      <c r="AP928" s="9">
        <v>1</v>
      </c>
      <c r="AQ928" s="5">
        <f>Transaction[[#This Row],[Price]]*Transaction[[#This Row],[Qty]]</f>
        <v>30.99</v>
      </c>
      <c r="AR928" s="5">
        <f>VLOOKUP(Transaction[[#This Row],[Model No.]],$AV$2:$BD$100,7,TRUE)*Transaction[[#This Row],[Qty]]</f>
        <v>9.2969999999999988</v>
      </c>
      <c r="AS928">
        <v>1098</v>
      </c>
      <c r="AT928">
        <v>1001</v>
      </c>
    </row>
    <row r="929" spans="36:46" x14ac:dyDescent="0.3">
      <c r="AJ929">
        <v>30041</v>
      </c>
      <c r="AK929" s="30">
        <v>42785</v>
      </c>
      <c r="AL929" t="s">
        <v>1158</v>
      </c>
      <c r="AM929">
        <v>90</v>
      </c>
      <c r="AN929" t="str">
        <f>VLOOKUP(Transaction[[#This Row],[Model No.]],$AV$2:$BD$100,2,TRUE)</f>
        <v>Carlo Rossi Moscato Sangria Muscat Blanc a Petits Grains</v>
      </c>
      <c r="AO929" s="21">
        <f>VLOOKUP(Transaction[[#This Row],[Model No.]],$AV$2:$BD$100,6,TRUE)</f>
        <v>7.99</v>
      </c>
      <c r="AP929" s="9">
        <v>5</v>
      </c>
      <c r="AQ929" s="5">
        <f>Transaction[[#This Row],[Price]]*Transaction[[#This Row],[Qty]]</f>
        <v>39.950000000000003</v>
      </c>
      <c r="AR929" s="5">
        <f>VLOOKUP(Transaction[[#This Row],[Model No.]],$AV$2:$BD$100,7,TRUE)*Transaction[[#This Row],[Qty]]</f>
        <v>7.99</v>
      </c>
      <c r="AS929">
        <v>1108</v>
      </c>
      <c r="AT929">
        <v>1001</v>
      </c>
    </row>
    <row r="930" spans="36:46" x14ac:dyDescent="0.3">
      <c r="AJ930">
        <v>12471</v>
      </c>
      <c r="AK930" s="30">
        <v>42786</v>
      </c>
      <c r="AL930" t="s">
        <v>1755</v>
      </c>
      <c r="AM930">
        <v>21</v>
      </c>
      <c r="AN930" t="str">
        <f>VLOOKUP(Transaction[[#This Row],[Model No.]],$AV$2:$BD$100,2,TRUE)</f>
        <v>Adelsheim Ribbon Springs Auxerrois</v>
      </c>
      <c r="AO930" s="21">
        <f>VLOOKUP(Transaction[[#This Row],[Model No.]],$AV$2:$BD$100,6,TRUE)</f>
        <v>25.99</v>
      </c>
      <c r="AP930" s="9">
        <v>2</v>
      </c>
      <c r="AQ930" s="5">
        <f>Transaction[[#This Row],[Price]]*Transaction[[#This Row],[Qty]]</f>
        <v>51.98</v>
      </c>
      <c r="AR930" s="5">
        <f>VLOOKUP(Transaction[[#This Row],[Model No.]],$AV$2:$BD$100,7,TRUE)*Transaction[[#This Row],[Qty]]</f>
        <v>5.1980000000000004</v>
      </c>
      <c r="AS930">
        <v>1105</v>
      </c>
      <c r="AT930">
        <v>1002</v>
      </c>
    </row>
    <row r="931" spans="36:46" x14ac:dyDescent="0.3">
      <c r="AJ931">
        <v>54044</v>
      </c>
      <c r="AK931" s="30">
        <v>42789</v>
      </c>
      <c r="AL931" t="s">
        <v>1242</v>
      </c>
      <c r="AM931">
        <v>14</v>
      </c>
      <c r="AN931" t="str">
        <f>VLOOKUP(Transaction[[#This Row],[Model No.]],$AV$2:$BD$100,2,TRUE)</f>
        <v>Walter Hansel Winery The Estate Vineyards Chardonnay</v>
      </c>
      <c r="AO931" s="21">
        <f>VLOOKUP(Transaction[[#This Row],[Model No.]],$AV$2:$BD$100,6,TRUE)</f>
        <v>34.99</v>
      </c>
      <c r="AP931" s="9">
        <v>4</v>
      </c>
      <c r="AQ931" s="5">
        <f>Transaction[[#This Row],[Price]]*Transaction[[#This Row],[Qty]]</f>
        <v>139.96</v>
      </c>
      <c r="AR931" s="5">
        <f>VLOOKUP(Transaction[[#This Row],[Model No.]],$AV$2:$BD$100,7,TRUE)*Transaction[[#This Row],[Qty]]</f>
        <v>27.992000000000004</v>
      </c>
      <c r="AS931">
        <v>1108</v>
      </c>
      <c r="AT931">
        <v>1020</v>
      </c>
    </row>
    <row r="932" spans="36:46" x14ac:dyDescent="0.3">
      <c r="AJ932">
        <v>97822</v>
      </c>
      <c r="AK932" s="30">
        <v>42789</v>
      </c>
      <c r="AL932" t="s">
        <v>463</v>
      </c>
      <c r="AM932">
        <v>83</v>
      </c>
      <c r="AN932" t="str">
        <f>VLOOKUP(Transaction[[#This Row],[Model No.]],$AV$2:$BD$100,2,TRUE)</f>
        <v>Pinnacle Cherry Whipped Vodka</v>
      </c>
      <c r="AO932" s="21">
        <f>VLOOKUP(Transaction[[#This Row],[Model No.]],$AV$2:$BD$100,6,TRUE)</f>
        <v>10.99</v>
      </c>
      <c r="AP932" s="9">
        <v>3</v>
      </c>
      <c r="AQ932" s="5">
        <f>Transaction[[#This Row],[Price]]*Transaction[[#This Row],[Qty]]</f>
        <v>32.97</v>
      </c>
      <c r="AR932" s="5">
        <f>VLOOKUP(Transaction[[#This Row],[Model No.]],$AV$2:$BD$100,7,TRUE)*Transaction[[#This Row],[Qty]]</f>
        <v>9.891</v>
      </c>
      <c r="AS932">
        <v>1101</v>
      </c>
      <c r="AT932">
        <v>1006</v>
      </c>
    </row>
    <row r="933" spans="36:46" x14ac:dyDescent="0.3">
      <c r="AJ933">
        <v>11313</v>
      </c>
      <c r="AK933" s="30">
        <v>42789</v>
      </c>
      <c r="AL933" t="s">
        <v>353</v>
      </c>
      <c r="AM933">
        <v>85</v>
      </c>
      <c r="AN933" t="str">
        <f>VLOOKUP(Transaction[[#This Row],[Model No.]],$AV$2:$BD$100,2,TRUE)</f>
        <v>Shiner Sea Salt &amp; Lime - 6 Pack</v>
      </c>
      <c r="AO933" s="21">
        <f>VLOOKUP(Transaction[[#This Row],[Model No.]],$AV$2:$BD$100,6,TRUE)</f>
        <v>9.99</v>
      </c>
      <c r="AP933" s="9">
        <v>4</v>
      </c>
      <c r="AQ933" s="5">
        <f>Transaction[[#This Row],[Price]]*Transaction[[#This Row],[Qty]]</f>
        <v>39.96</v>
      </c>
      <c r="AR933" s="5">
        <f>VLOOKUP(Transaction[[#This Row],[Model No.]],$AV$2:$BD$100,7,TRUE)*Transaction[[#This Row],[Qty]]</f>
        <v>11.988</v>
      </c>
      <c r="AS933">
        <v>1099</v>
      </c>
      <c r="AT933">
        <v>1010</v>
      </c>
    </row>
    <row r="934" spans="36:46" x14ac:dyDescent="0.3">
      <c r="AJ934">
        <v>25607</v>
      </c>
      <c r="AK934" s="30">
        <v>42790</v>
      </c>
      <c r="AL934" t="s">
        <v>320</v>
      </c>
      <c r="AM934">
        <v>27</v>
      </c>
      <c r="AN934" t="str">
        <f>VLOOKUP(Transaction[[#This Row],[Model No.]],$AV$2:$BD$100,2,TRUE)</f>
        <v>Prairie Organic Gin</v>
      </c>
      <c r="AO934" s="21">
        <f>VLOOKUP(Transaction[[#This Row],[Model No.]],$AV$2:$BD$100,6,TRUE)</f>
        <v>23.99</v>
      </c>
      <c r="AP934" s="9">
        <v>4</v>
      </c>
      <c r="AQ934" s="5">
        <f>Transaction[[#This Row],[Price]]*Transaction[[#This Row],[Qty]]</f>
        <v>95.96</v>
      </c>
      <c r="AR934" s="5">
        <f>VLOOKUP(Transaction[[#This Row],[Model No.]],$AV$2:$BD$100,7,TRUE)*Transaction[[#This Row],[Qty]]</f>
        <v>38.384</v>
      </c>
      <c r="AS934">
        <v>1099</v>
      </c>
      <c r="AT934">
        <v>1008</v>
      </c>
    </row>
    <row r="935" spans="36:46" x14ac:dyDescent="0.3">
      <c r="AJ935">
        <v>77451</v>
      </c>
      <c r="AK935" s="30">
        <v>42792</v>
      </c>
      <c r="AL935" t="s">
        <v>668</v>
      </c>
      <c r="AM935">
        <v>37</v>
      </c>
      <c r="AN935" t="str">
        <f>VLOOKUP(Transaction[[#This Row],[Model No.]],$AV$2:$BD$100,2,TRUE)</f>
        <v>Francis Ford Coppola Diamond Collection Black Label Pavilion Chardonnay</v>
      </c>
      <c r="AO935" s="21">
        <f>VLOOKUP(Transaction[[#This Row],[Model No.]],$AV$2:$BD$100,6,TRUE)</f>
        <v>19.989999999999998</v>
      </c>
      <c r="AP935" s="9">
        <v>5</v>
      </c>
      <c r="AQ935" s="5">
        <f>Transaction[[#This Row],[Price]]*Transaction[[#This Row],[Qty]]</f>
        <v>99.949999999999989</v>
      </c>
      <c r="AR935" s="5">
        <f>VLOOKUP(Transaction[[#This Row],[Model No.]],$AV$2:$BD$100,7,TRUE)*Transaction[[#This Row],[Qty]]</f>
        <v>9.9949999999999992</v>
      </c>
      <c r="AS935">
        <v>1106</v>
      </c>
      <c r="AT935">
        <v>1014</v>
      </c>
    </row>
    <row r="936" spans="36:46" x14ac:dyDescent="0.3">
      <c r="AJ936">
        <v>65468</v>
      </c>
      <c r="AK936" s="30">
        <v>42792</v>
      </c>
      <c r="AL936" t="s">
        <v>1026</v>
      </c>
      <c r="AM936">
        <v>92</v>
      </c>
      <c r="AN936" t="str">
        <f>VLOOKUP(Transaction[[#This Row],[Model No.]],$AV$2:$BD$100,2,TRUE)</f>
        <v>Four Seasons Collection Late Harvest White Moscato Dessert Muscat</v>
      </c>
      <c r="AO936" s="21">
        <f>VLOOKUP(Transaction[[#This Row],[Model No.]],$AV$2:$BD$100,6,TRUE)</f>
        <v>7.69</v>
      </c>
      <c r="AP936" s="9">
        <v>3</v>
      </c>
      <c r="AQ936" s="5">
        <f>Transaction[[#This Row],[Price]]*Transaction[[#This Row],[Qty]]</f>
        <v>23.07</v>
      </c>
      <c r="AR936" s="5">
        <f>VLOOKUP(Transaction[[#This Row],[Model No.]],$AV$2:$BD$100,7,TRUE)*Transaction[[#This Row],[Qty]]</f>
        <v>2.3070000000000004</v>
      </c>
      <c r="AS936">
        <v>1099</v>
      </c>
      <c r="AT936">
        <v>1010</v>
      </c>
    </row>
    <row r="937" spans="36:46" x14ac:dyDescent="0.3">
      <c r="AJ937">
        <v>20534</v>
      </c>
      <c r="AK937" s="30">
        <v>42793</v>
      </c>
      <c r="AL937" t="s">
        <v>1632</v>
      </c>
      <c r="AM937">
        <v>28</v>
      </c>
      <c r="AN937" t="str">
        <f>VLOOKUP(Transaction[[#This Row],[Model No.]],$AV$2:$BD$100,2,TRUE)</f>
        <v>Quinta de Soalheiro Soalheiro Alvarinho</v>
      </c>
      <c r="AO937" s="21">
        <f>VLOOKUP(Transaction[[#This Row],[Model No.]],$AV$2:$BD$100,6,TRUE)</f>
        <v>23.99</v>
      </c>
      <c r="AP937" s="9">
        <v>3</v>
      </c>
      <c r="AQ937" s="5">
        <f>Transaction[[#This Row],[Price]]*Transaction[[#This Row],[Qty]]</f>
        <v>71.97</v>
      </c>
      <c r="AR937" s="5">
        <f>VLOOKUP(Transaction[[#This Row],[Model No.]],$AV$2:$BD$100,7,TRUE)*Transaction[[#This Row],[Qty]]</f>
        <v>28.788</v>
      </c>
      <c r="AS937">
        <v>1106</v>
      </c>
      <c r="AT937">
        <v>1000</v>
      </c>
    </row>
    <row r="938" spans="36:46" x14ac:dyDescent="0.3">
      <c r="AJ938">
        <v>57951</v>
      </c>
      <c r="AK938" s="30">
        <v>42794</v>
      </c>
      <c r="AL938" t="s">
        <v>1787</v>
      </c>
      <c r="AM938">
        <v>44</v>
      </c>
      <c r="AN938" t="str">
        <f>VLOOKUP(Transaction[[#This Row],[Model No.]],$AV$2:$BD$100,2,TRUE)</f>
        <v>Brasserie de Silly Saison - 4 Pack</v>
      </c>
      <c r="AO938" s="21">
        <f>VLOOKUP(Transaction[[#This Row],[Model No.]],$AV$2:$BD$100,6,TRUE)</f>
        <v>16.989999999999998</v>
      </c>
      <c r="AP938" s="9">
        <v>1</v>
      </c>
      <c r="AQ938" s="5">
        <f>Transaction[[#This Row],[Price]]*Transaction[[#This Row],[Qty]]</f>
        <v>16.989999999999998</v>
      </c>
      <c r="AR938" s="5">
        <f>VLOOKUP(Transaction[[#This Row],[Model No.]],$AV$2:$BD$100,7,TRUE)*Transaction[[#This Row],[Qty]]</f>
        <v>5.0969999999999995</v>
      </c>
      <c r="AS938">
        <v>1103</v>
      </c>
      <c r="AT938">
        <v>1003</v>
      </c>
    </row>
    <row r="939" spans="36:46" x14ac:dyDescent="0.3">
      <c r="AJ939">
        <v>87785</v>
      </c>
      <c r="AK939" s="30">
        <v>42795</v>
      </c>
      <c r="AL939" t="s">
        <v>1580</v>
      </c>
      <c r="AM939">
        <v>89</v>
      </c>
      <c r="AN939" t="str">
        <f>VLOOKUP(Transaction[[#This Row],[Model No.]],$AV$2:$BD$100,2,TRUE)</f>
        <v>Piera Martellozzo Blu Giovello Moscato Puglia IGT Muscat</v>
      </c>
      <c r="AO939" s="21">
        <f>VLOOKUP(Transaction[[#This Row],[Model No.]],$AV$2:$BD$100,6,TRUE)</f>
        <v>8.49</v>
      </c>
      <c r="AP939" s="9">
        <v>2</v>
      </c>
      <c r="AQ939" s="5">
        <f>Transaction[[#This Row],[Price]]*Transaction[[#This Row],[Qty]]</f>
        <v>16.98</v>
      </c>
      <c r="AR939" s="5">
        <f>VLOOKUP(Transaction[[#This Row],[Model No.]],$AV$2:$BD$100,7,TRUE)*Transaction[[#This Row],[Qty]]</f>
        <v>1.6980000000000002</v>
      </c>
      <c r="AS939">
        <v>1105</v>
      </c>
      <c r="AT939">
        <v>1018</v>
      </c>
    </row>
    <row r="940" spans="36:46" x14ac:dyDescent="0.3">
      <c r="AJ940">
        <v>73984</v>
      </c>
      <c r="AK940" s="30">
        <v>42796</v>
      </c>
      <c r="AL940" t="s">
        <v>1179</v>
      </c>
      <c r="AM940">
        <v>15</v>
      </c>
      <c r="AN940" t="str">
        <f>VLOOKUP(Transaction[[#This Row],[Model No.]],$AV$2:$BD$100,2,TRUE)</f>
        <v>Wild Turkey 101 Kentucky Straight Bourbon Whiskey</v>
      </c>
      <c r="AO940" s="21">
        <f>VLOOKUP(Transaction[[#This Row],[Model No.]],$AV$2:$BD$100,6,TRUE)</f>
        <v>32.99</v>
      </c>
      <c r="AP940" s="9">
        <v>5</v>
      </c>
      <c r="AQ940" s="5">
        <f>Transaction[[#This Row],[Price]]*Transaction[[#This Row],[Qty]]</f>
        <v>164.95000000000002</v>
      </c>
      <c r="AR940" s="5">
        <f>VLOOKUP(Transaction[[#This Row],[Model No.]],$AV$2:$BD$100,7,TRUE)*Transaction[[#This Row],[Qty]]</f>
        <v>32.99</v>
      </c>
      <c r="AS940">
        <v>1101</v>
      </c>
      <c r="AT940">
        <v>1007</v>
      </c>
    </row>
    <row r="941" spans="36:46" x14ac:dyDescent="0.3">
      <c r="AJ941">
        <v>76788</v>
      </c>
      <c r="AK941" s="30">
        <v>42797</v>
      </c>
      <c r="AL941" t="s">
        <v>457</v>
      </c>
      <c r="AM941">
        <v>17</v>
      </c>
      <c r="AN941" t="str">
        <f>VLOOKUP(Transaction[[#This Row],[Model No.]],$AV$2:$BD$100,2,TRUE)</f>
        <v>Miller Lite Can - 24 Pack</v>
      </c>
      <c r="AO941" s="21">
        <f>VLOOKUP(Transaction[[#This Row],[Model No.]],$AV$2:$BD$100,6,TRUE)</f>
        <v>30.99</v>
      </c>
      <c r="AP941" s="9">
        <v>3</v>
      </c>
      <c r="AQ941" s="5">
        <f>Transaction[[#This Row],[Price]]*Transaction[[#This Row],[Qty]]</f>
        <v>92.97</v>
      </c>
      <c r="AR941" s="5">
        <f>VLOOKUP(Transaction[[#This Row],[Model No.]],$AV$2:$BD$100,7,TRUE)*Transaction[[#This Row],[Qty]]</f>
        <v>27.890999999999998</v>
      </c>
      <c r="AS941">
        <v>1100</v>
      </c>
      <c r="AT941">
        <v>1011</v>
      </c>
    </row>
    <row r="942" spans="36:46" x14ac:dyDescent="0.3">
      <c r="AJ942">
        <v>88360</v>
      </c>
      <c r="AK942" s="30">
        <v>42797</v>
      </c>
      <c r="AL942" t="s">
        <v>428</v>
      </c>
      <c r="AM942">
        <v>53</v>
      </c>
      <c r="AN942" t="str">
        <f>VLOOKUP(Transaction[[#This Row],[Model No.]],$AV$2:$BD$100,2,TRUE)</f>
        <v>Ommegang Hennepin - 4 Pack</v>
      </c>
      <c r="AO942" s="21">
        <f>VLOOKUP(Transaction[[#This Row],[Model No.]],$AV$2:$BD$100,6,TRUE)</f>
        <v>14.99</v>
      </c>
      <c r="AP942" s="9">
        <v>3</v>
      </c>
      <c r="AQ942" s="5">
        <f>Transaction[[#This Row],[Price]]*Transaction[[#This Row],[Qty]]</f>
        <v>44.97</v>
      </c>
      <c r="AR942" s="5">
        <f>VLOOKUP(Transaction[[#This Row],[Model No.]],$AV$2:$BD$100,7,TRUE)*Transaction[[#This Row],[Qty]]</f>
        <v>13.491</v>
      </c>
      <c r="AS942">
        <v>1101</v>
      </c>
      <c r="AT942">
        <v>1014</v>
      </c>
    </row>
    <row r="943" spans="36:46" x14ac:dyDescent="0.3">
      <c r="AJ943">
        <v>82334</v>
      </c>
      <c r="AK943" s="30">
        <v>42798</v>
      </c>
      <c r="AL943" t="s">
        <v>719</v>
      </c>
      <c r="AM943">
        <v>7</v>
      </c>
      <c r="AN943" t="str">
        <f>VLOOKUP(Transaction[[#This Row],[Model No.]],$AV$2:$BD$100,2,TRUE)</f>
        <v>Glenkinchie Distillers Edition Single Malt Scotch Whisky</v>
      </c>
      <c r="AO943" s="21">
        <f>VLOOKUP(Transaction[[#This Row],[Model No.]],$AV$2:$BD$100,6,TRUE)</f>
        <v>45.99</v>
      </c>
      <c r="AP943" s="9">
        <v>2</v>
      </c>
      <c r="AQ943" s="5">
        <f>Transaction[[#This Row],[Price]]*Transaction[[#This Row],[Qty]]</f>
        <v>91.98</v>
      </c>
      <c r="AR943" s="5">
        <f>VLOOKUP(Transaction[[#This Row],[Model No.]],$AV$2:$BD$100,7,TRUE)*Transaction[[#This Row],[Qty]]</f>
        <v>27.594000000000001</v>
      </c>
      <c r="AS943">
        <v>1107</v>
      </c>
      <c r="AT943">
        <v>1002</v>
      </c>
    </row>
    <row r="944" spans="36:46" x14ac:dyDescent="0.3">
      <c r="AJ944">
        <v>35253</v>
      </c>
      <c r="AK944" s="30">
        <v>42800</v>
      </c>
      <c r="AL944" t="s">
        <v>882</v>
      </c>
      <c r="AM944">
        <v>90</v>
      </c>
      <c r="AN944" t="str">
        <f>VLOOKUP(Transaction[[#This Row],[Model No.]],$AV$2:$BD$100,2,TRUE)</f>
        <v>Carlo Rossi Moscato Sangria Muscat Blanc a Petits Grains</v>
      </c>
      <c r="AO944" s="21">
        <f>VLOOKUP(Transaction[[#This Row],[Model No.]],$AV$2:$BD$100,6,TRUE)</f>
        <v>7.99</v>
      </c>
      <c r="AP944" s="9">
        <v>3</v>
      </c>
      <c r="AQ944" s="5">
        <f>Transaction[[#This Row],[Price]]*Transaction[[#This Row],[Qty]]</f>
        <v>23.97</v>
      </c>
      <c r="AR944" s="5">
        <f>VLOOKUP(Transaction[[#This Row],[Model No.]],$AV$2:$BD$100,7,TRUE)*Transaction[[#This Row],[Qty]]</f>
        <v>4.7940000000000005</v>
      </c>
      <c r="AS944">
        <v>1101</v>
      </c>
      <c r="AT944">
        <v>1000</v>
      </c>
    </row>
    <row r="945" spans="36:46" x14ac:dyDescent="0.3">
      <c r="AJ945">
        <v>31503</v>
      </c>
      <c r="AK945" s="30">
        <v>42801</v>
      </c>
      <c r="AL945" t="s">
        <v>1818</v>
      </c>
      <c r="AM945">
        <v>78</v>
      </c>
      <c r="AN945" t="str">
        <f>VLOOKUP(Transaction[[#This Row],[Model No.]],$AV$2:$BD$100,2,TRUE)</f>
        <v>Tomasello Winery Blueberry Wine Red Blend</v>
      </c>
      <c r="AO945" s="21">
        <f>VLOOKUP(Transaction[[#This Row],[Model No.]],$AV$2:$BD$100,6,TRUE)</f>
        <v>11.49</v>
      </c>
      <c r="AP945" s="9">
        <v>1</v>
      </c>
      <c r="AQ945" s="5">
        <f>Transaction[[#This Row],[Price]]*Transaction[[#This Row],[Qty]]</f>
        <v>11.49</v>
      </c>
      <c r="AR945" s="5">
        <f>VLOOKUP(Transaction[[#This Row],[Model No.]],$AV$2:$BD$100,7,TRUE)*Transaction[[#This Row],[Qty]]</f>
        <v>1.149</v>
      </c>
      <c r="AS945">
        <v>1106</v>
      </c>
      <c r="AT945">
        <v>1014</v>
      </c>
    </row>
    <row r="946" spans="36:46" x14ac:dyDescent="0.3">
      <c r="AJ946">
        <v>93220</v>
      </c>
      <c r="AK946" s="30">
        <v>42802</v>
      </c>
      <c r="AL946" t="s">
        <v>1183</v>
      </c>
      <c r="AM946">
        <v>48</v>
      </c>
      <c r="AN946" t="str">
        <f>VLOOKUP(Transaction[[#This Row],[Model No.]],$AV$2:$BD$100,2,TRUE)</f>
        <v>CH TOUR D'AURON</v>
      </c>
      <c r="AO946" s="21">
        <f>VLOOKUP(Transaction[[#This Row],[Model No.]],$AV$2:$BD$100,6,TRUE)</f>
        <v>15.99</v>
      </c>
      <c r="AP946" s="9">
        <v>1</v>
      </c>
      <c r="AQ946" s="5">
        <f>Transaction[[#This Row],[Price]]*Transaction[[#This Row],[Qty]]</f>
        <v>15.99</v>
      </c>
      <c r="AR946" s="5">
        <f>VLOOKUP(Transaction[[#This Row],[Model No.]],$AV$2:$BD$100,7,TRUE)*Transaction[[#This Row],[Qty]]</f>
        <v>6.3960000000000008</v>
      </c>
      <c r="AS946">
        <v>1106</v>
      </c>
      <c r="AT946">
        <v>1000</v>
      </c>
    </row>
    <row r="947" spans="36:46" x14ac:dyDescent="0.3">
      <c r="AJ947">
        <v>46618</v>
      </c>
      <c r="AK947" s="30">
        <v>42803</v>
      </c>
      <c r="AL947" t="s">
        <v>1579</v>
      </c>
      <c r="AM947">
        <v>5</v>
      </c>
      <c r="AN947" t="str">
        <f>VLOOKUP(Transaction[[#This Row],[Model No.]],$AV$2:$BD$100,2,TRUE)</f>
        <v>Old Forester 1897 Bottled in Bond Kentucky Straight Bourbon Whisky</v>
      </c>
      <c r="AO947" s="21">
        <f>VLOOKUP(Transaction[[#This Row],[Model No.]],$AV$2:$BD$100,6,TRUE)</f>
        <v>46.99</v>
      </c>
      <c r="AP947" s="9">
        <v>1</v>
      </c>
      <c r="AQ947" s="5">
        <f>Transaction[[#This Row],[Price]]*Transaction[[#This Row],[Qty]]</f>
        <v>46.99</v>
      </c>
      <c r="AR947" s="5">
        <f>VLOOKUP(Transaction[[#This Row],[Model No.]],$AV$2:$BD$100,7,TRUE)*Transaction[[#This Row],[Qty]]</f>
        <v>9.3980000000000015</v>
      </c>
      <c r="AS947">
        <v>1098</v>
      </c>
      <c r="AT947">
        <v>1011</v>
      </c>
    </row>
    <row r="948" spans="36:46" x14ac:dyDescent="0.3">
      <c r="AJ948">
        <v>54318</v>
      </c>
      <c r="AK948" s="30">
        <v>42806</v>
      </c>
      <c r="AL948" t="s">
        <v>1148</v>
      </c>
      <c r="AM948">
        <v>89</v>
      </c>
      <c r="AN948" t="str">
        <f>VLOOKUP(Transaction[[#This Row],[Model No.]],$AV$2:$BD$100,2,TRUE)</f>
        <v>Piera Martellozzo Blu Giovello Moscato Puglia IGT Muscat</v>
      </c>
      <c r="AO948" s="21">
        <f>VLOOKUP(Transaction[[#This Row],[Model No.]],$AV$2:$BD$100,6,TRUE)</f>
        <v>8.49</v>
      </c>
      <c r="AP948" s="9">
        <v>4</v>
      </c>
      <c r="AQ948" s="5">
        <f>Transaction[[#This Row],[Price]]*Transaction[[#This Row],[Qty]]</f>
        <v>33.96</v>
      </c>
      <c r="AR948" s="5">
        <f>VLOOKUP(Transaction[[#This Row],[Model No.]],$AV$2:$BD$100,7,TRUE)*Transaction[[#This Row],[Qty]]</f>
        <v>3.3960000000000004</v>
      </c>
      <c r="AS948">
        <v>1100</v>
      </c>
      <c r="AT948">
        <v>1010</v>
      </c>
    </row>
    <row r="949" spans="36:46" x14ac:dyDescent="0.3">
      <c r="AJ949">
        <v>70274</v>
      </c>
      <c r="AK949" s="30">
        <v>42807</v>
      </c>
      <c r="AL949" t="s">
        <v>1078</v>
      </c>
      <c r="AM949">
        <v>32</v>
      </c>
      <c r="AN949" t="str">
        <f>VLOOKUP(Transaction[[#This Row],[Model No.]],$AV$2:$BD$100,2,TRUE)</f>
        <v>Sugar Island Spiced Rum</v>
      </c>
      <c r="AO949" s="21">
        <f>VLOOKUP(Transaction[[#This Row],[Model No.]],$AV$2:$BD$100,6,TRUE)</f>
        <v>21.99</v>
      </c>
      <c r="AP949" s="9">
        <v>3</v>
      </c>
      <c r="AQ949" s="5">
        <f>Transaction[[#This Row],[Price]]*Transaction[[#This Row],[Qty]]</f>
        <v>65.97</v>
      </c>
      <c r="AR949" s="5">
        <f>VLOOKUP(Transaction[[#This Row],[Model No.]],$AV$2:$BD$100,7,TRUE)*Transaction[[#This Row],[Qty]]</f>
        <v>13.193999999999999</v>
      </c>
      <c r="AS949">
        <v>1108</v>
      </c>
      <c r="AT949">
        <v>1011</v>
      </c>
    </row>
    <row r="950" spans="36:46" x14ac:dyDescent="0.3">
      <c r="AJ950">
        <v>14298</v>
      </c>
      <c r="AK950" s="30">
        <v>42808</v>
      </c>
      <c r="AL950" t="s">
        <v>378</v>
      </c>
      <c r="AM950">
        <v>28</v>
      </c>
      <c r="AN950" t="str">
        <f>VLOOKUP(Transaction[[#This Row],[Model No.]],$AV$2:$BD$100,2,TRUE)</f>
        <v>Quinta de Soalheiro Soalheiro Alvarinho</v>
      </c>
      <c r="AO950" s="21">
        <f>VLOOKUP(Transaction[[#This Row],[Model No.]],$AV$2:$BD$100,6,TRUE)</f>
        <v>23.99</v>
      </c>
      <c r="AP950" s="9">
        <v>3</v>
      </c>
      <c r="AQ950" s="5">
        <f>Transaction[[#This Row],[Price]]*Transaction[[#This Row],[Qty]]</f>
        <v>71.97</v>
      </c>
      <c r="AR950" s="5">
        <f>VLOOKUP(Transaction[[#This Row],[Model No.]],$AV$2:$BD$100,7,TRUE)*Transaction[[#This Row],[Qty]]</f>
        <v>28.788</v>
      </c>
      <c r="AS950">
        <v>1101</v>
      </c>
      <c r="AT950">
        <v>1003</v>
      </c>
    </row>
    <row r="951" spans="36:46" x14ac:dyDescent="0.3">
      <c r="AJ951">
        <v>16469</v>
      </c>
      <c r="AK951" s="30">
        <v>42810</v>
      </c>
      <c r="AL951" t="s">
        <v>1392</v>
      </c>
      <c r="AM951">
        <v>63</v>
      </c>
      <c r="AN951" t="str">
        <f>VLOOKUP(Transaction[[#This Row],[Model No.]],$AV$2:$BD$100,2,TRUE)</f>
        <v>Troegs LaGrave - 4 Pack</v>
      </c>
      <c r="AO951" s="21">
        <f>VLOOKUP(Transaction[[#This Row],[Model No.]],$AV$2:$BD$100,6,TRUE)</f>
        <v>12.99</v>
      </c>
      <c r="AP951" s="9">
        <v>1</v>
      </c>
      <c r="AQ951" s="5">
        <f>Transaction[[#This Row],[Price]]*Transaction[[#This Row],[Qty]]</f>
        <v>12.99</v>
      </c>
      <c r="AR951" s="5">
        <f>VLOOKUP(Transaction[[#This Row],[Model No.]],$AV$2:$BD$100,7,TRUE)*Transaction[[#This Row],[Qty]]</f>
        <v>3.8969999999999998</v>
      </c>
      <c r="AS951">
        <v>1101</v>
      </c>
      <c r="AT951">
        <v>1010</v>
      </c>
    </row>
    <row r="952" spans="36:46" x14ac:dyDescent="0.3">
      <c r="AJ952">
        <v>69019</v>
      </c>
      <c r="AK952" s="30">
        <v>42811</v>
      </c>
      <c r="AL952" t="s">
        <v>632</v>
      </c>
      <c r="AM952">
        <v>12</v>
      </c>
      <c r="AN952" t="str">
        <f>VLOOKUP(Transaction[[#This Row],[Model No.]],$AV$2:$BD$100,2,TRUE)</f>
        <v>Cuvaison Pinot Noir</v>
      </c>
      <c r="AO952" s="21">
        <f>VLOOKUP(Transaction[[#This Row],[Model No.]],$AV$2:$BD$100,6,TRUE)</f>
        <v>36.99</v>
      </c>
      <c r="AP952" s="9">
        <v>2</v>
      </c>
      <c r="AQ952" s="5">
        <f>Transaction[[#This Row],[Price]]*Transaction[[#This Row],[Qty]]</f>
        <v>73.98</v>
      </c>
      <c r="AR952" s="5">
        <f>VLOOKUP(Transaction[[#This Row],[Model No.]],$AV$2:$BD$100,7,TRUE)*Transaction[[#This Row],[Qty]]</f>
        <v>7.3980000000000006</v>
      </c>
      <c r="AS952">
        <v>1106</v>
      </c>
      <c r="AT952">
        <v>1005</v>
      </c>
    </row>
    <row r="953" spans="36:46" x14ac:dyDescent="0.3">
      <c r="AJ953">
        <v>61093</v>
      </c>
      <c r="AK953" s="30">
        <v>42811</v>
      </c>
      <c r="AL953" t="s">
        <v>686</v>
      </c>
      <c r="AM953">
        <v>45</v>
      </c>
      <c r="AN953" t="str">
        <f>VLOOKUP(Transaction[[#This Row],[Model No.]],$AV$2:$BD$100,2,TRUE)</f>
        <v>Sixpoint Resin - 6 Pack</v>
      </c>
      <c r="AO953" s="21">
        <f>VLOOKUP(Transaction[[#This Row],[Model No.]],$AV$2:$BD$100,6,TRUE)</f>
        <v>15.99</v>
      </c>
      <c r="AP953" s="9">
        <v>2</v>
      </c>
      <c r="AQ953" s="5">
        <f>Transaction[[#This Row],[Price]]*Transaction[[#This Row],[Qty]]</f>
        <v>31.98</v>
      </c>
      <c r="AR953" s="5">
        <f>VLOOKUP(Transaction[[#This Row],[Model No.]],$AV$2:$BD$100,7,TRUE)*Transaction[[#This Row],[Qty]]</f>
        <v>9.5939999999999994</v>
      </c>
      <c r="AS953">
        <v>1100</v>
      </c>
      <c r="AT953">
        <v>1003</v>
      </c>
    </row>
    <row r="954" spans="36:46" x14ac:dyDescent="0.3">
      <c r="AJ954">
        <v>94226</v>
      </c>
      <c r="AK954" s="30">
        <v>42812</v>
      </c>
      <c r="AL954" t="s">
        <v>1567</v>
      </c>
      <c r="AM954">
        <v>47</v>
      </c>
      <c r="AN954" t="str">
        <f>VLOOKUP(Transaction[[#This Row],[Model No.]],$AV$2:$BD$100,2,TRUE)</f>
        <v>IL Tramonto Amaretto Liqueur</v>
      </c>
      <c r="AO954" s="21">
        <f>VLOOKUP(Transaction[[#This Row],[Model No.]],$AV$2:$BD$100,6,TRUE)</f>
        <v>15.99</v>
      </c>
      <c r="AP954" s="9">
        <v>1</v>
      </c>
      <c r="AQ954" s="5">
        <f>Transaction[[#This Row],[Price]]*Transaction[[#This Row],[Qty]]</f>
        <v>15.99</v>
      </c>
      <c r="AR954" s="5">
        <f>VLOOKUP(Transaction[[#This Row],[Model No.]],$AV$2:$BD$100,7,TRUE)*Transaction[[#This Row],[Qty]]</f>
        <v>4.7969999999999997</v>
      </c>
      <c r="AS954">
        <v>1106</v>
      </c>
      <c r="AT954">
        <v>1000</v>
      </c>
    </row>
    <row r="955" spans="36:46" x14ac:dyDescent="0.3">
      <c r="AJ955">
        <v>75802</v>
      </c>
      <c r="AK955" s="30">
        <v>42813</v>
      </c>
      <c r="AL955" t="s">
        <v>421</v>
      </c>
      <c r="AM955">
        <v>40</v>
      </c>
      <c r="AN955" t="str">
        <f>VLOOKUP(Transaction[[#This Row],[Model No.]],$AV$2:$BD$100,2,TRUE)</f>
        <v>Takara Can Chu Hi JPop Grapefruit - 6 Pack</v>
      </c>
      <c r="AO955" s="21">
        <f>VLOOKUP(Transaction[[#This Row],[Model No.]],$AV$2:$BD$100,6,TRUE)</f>
        <v>17.989999999999998</v>
      </c>
      <c r="AP955" s="9">
        <v>1</v>
      </c>
      <c r="AQ955" s="5">
        <f>Transaction[[#This Row],[Price]]*Transaction[[#This Row],[Qty]]</f>
        <v>17.989999999999998</v>
      </c>
      <c r="AR955" s="5">
        <f>VLOOKUP(Transaction[[#This Row],[Model No.]],$AV$2:$BD$100,7,TRUE)*Transaction[[#This Row],[Qty]]</f>
        <v>5.3969999999999994</v>
      </c>
      <c r="AS955">
        <v>1108</v>
      </c>
      <c r="AT955">
        <v>1002</v>
      </c>
    </row>
    <row r="956" spans="36:46" x14ac:dyDescent="0.3">
      <c r="AJ956">
        <v>20052</v>
      </c>
      <c r="AK956" s="30">
        <v>42813</v>
      </c>
      <c r="AL956" t="s">
        <v>1744</v>
      </c>
      <c r="AM956">
        <v>55</v>
      </c>
      <c r="AN956" t="str">
        <f>VLOOKUP(Transaction[[#This Row],[Model No.]],$AV$2:$BD$100,2,TRUE)</f>
        <v>Clos du Bois Hand Selected Lots Shiraz</v>
      </c>
      <c r="AO956" s="21">
        <f>VLOOKUP(Transaction[[#This Row],[Model No.]],$AV$2:$BD$100,6,TRUE)</f>
        <v>14.49</v>
      </c>
      <c r="AP956" s="9">
        <v>1</v>
      </c>
      <c r="AQ956" s="5">
        <f>Transaction[[#This Row],[Price]]*Transaction[[#This Row],[Qty]]</f>
        <v>14.49</v>
      </c>
      <c r="AR956" s="5">
        <f>VLOOKUP(Transaction[[#This Row],[Model No.]],$AV$2:$BD$100,7,TRUE)*Transaction[[#This Row],[Qty]]</f>
        <v>1.4490000000000001</v>
      </c>
      <c r="AS956">
        <v>1099</v>
      </c>
      <c r="AT956">
        <v>1004</v>
      </c>
    </row>
    <row r="957" spans="36:46" x14ac:dyDescent="0.3">
      <c r="AJ957">
        <v>46288</v>
      </c>
      <c r="AK957" s="30">
        <v>42814</v>
      </c>
      <c r="AL957" t="s">
        <v>1743</v>
      </c>
      <c r="AM957">
        <v>51</v>
      </c>
      <c r="AN957" t="str">
        <f>VLOOKUP(Transaction[[#This Row],[Model No.]],$AV$2:$BD$100,2,TRUE)</f>
        <v>Waterbrook Cabernet Sauvignon</v>
      </c>
      <c r="AO957" s="21">
        <f>VLOOKUP(Transaction[[#This Row],[Model No.]],$AV$2:$BD$100,6,TRUE)</f>
        <v>14.99</v>
      </c>
      <c r="AP957" s="9">
        <v>1</v>
      </c>
      <c r="AQ957" s="5">
        <f>Transaction[[#This Row],[Price]]*Transaction[[#This Row],[Qty]]</f>
        <v>14.99</v>
      </c>
      <c r="AR957" s="5">
        <f>VLOOKUP(Transaction[[#This Row],[Model No.]],$AV$2:$BD$100,7,TRUE)*Transaction[[#This Row],[Qty]]</f>
        <v>1.4990000000000001</v>
      </c>
      <c r="AS957">
        <v>1104</v>
      </c>
      <c r="AT957">
        <v>1010</v>
      </c>
    </row>
    <row r="958" spans="36:46" x14ac:dyDescent="0.3">
      <c r="AJ958">
        <v>22897</v>
      </c>
      <c r="AK958" s="30">
        <v>42815</v>
      </c>
      <c r="AL958" t="s">
        <v>436</v>
      </c>
      <c r="AM958">
        <v>73</v>
      </c>
      <c r="AN958" t="str">
        <f>VLOOKUP(Transaction[[#This Row],[Model No.]],$AV$2:$BD$100,2,TRUE)</f>
        <v>Schlafly Oktoberfest - 6 Pack</v>
      </c>
      <c r="AO958" s="21">
        <f>VLOOKUP(Transaction[[#This Row],[Model No.]],$AV$2:$BD$100,6,TRUE)</f>
        <v>11.99</v>
      </c>
      <c r="AP958" s="9">
        <v>3</v>
      </c>
      <c r="AQ958" s="5">
        <f>Transaction[[#This Row],[Price]]*Transaction[[#This Row],[Qty]]</f>
        <v>35.97</v>
      </c>
      <c r="AR958" s="5">
        <f>VLOOKUP(Transaction[[#This Row],[Model No.]],$AV$2:$BD$100,7,TRUE)*Transaction[[#This Row],[Qty]]</f>
        <v>10.791</v>
      </c>
      <c r="AS958">
        <v>1101</v>
      </c>
      <c r="AT958">
        <v>1014</v>
      </c>
    </row>
    <row r="959" spans="36:46" x14ac:dyDescent="0.3">
      <c r="AJ959">
        <v>54138</v>
      </c>
      <c r="AK959" s="30">
        <v>42816</v>
      </c>
      <c r="AL959" t="s">
        <v>1296</v>
      </c>
      <c r="AM959">
        <v>54</v>
      </c>
      <c r="AN959" t="str">
        <f>VLOOKUP(Transaction[[#This Row],[Model No.]],$AV$2:$BD$100,2,TRUE)</f>
        <v>Pucker Cherry Tease Vodka</v>
      </c>
      <c r="AO959" s="21">
        <f>VLOOKUP(Transaction[[#This Row],[Model No.]],$AV$2:$BD$100,6,TRUE)</f>
        <v>14.99</v>
      </c>
      <c r="AP959" s="9">
        <v>4</v>
      </c>
      <c r="AQ959" s="5">
        <f>Transaction[[#This Row],[Price]]*Transaction[[#This Row],[Qty]]</f>
        <v>59.96</v>
      </c>
      <c r="AR959" s="5">
        <f>VLOOKUP(Transaction[[#This Row],[Model No.]],$AV$2:$BD$100,7,TRUE)*Transaction[[#This Row],[Qty]]</f>
        <v>17.988</v>
      </c>
      <c r="AS959">
        <v>1105</v>
      </c>
      <c r="AT959">
        <v>1010</v>
      </c>
    </row>
    <row r="960" spans="36:46" x14ac:dyDescent="0.3">
      <c r="AJ960">
        <v>96661</v>
      </c>
      <c r="AK960" s="30">
        <v>42816</v>
      </c>
      <c r="AL960" t="s">
        <v>671</v>
      </c>
      <c r="AM960">
        <v>80</v>
      </c>
      <c r="AN960" t="str">
        <f>VLOOKUP(Transaction[[#This Row],[Model No.]],$AV$2:$BD$100,2,TRUE)</f>
        <v>Evolution Craft Stalker Hefeweizen - 6 Pack</v>
      </c>
      <c r="AO960" s="21">
        <f>VLOOKUP(Transaction[[#This Row],[Model No.]],$AV$2:$BD$100,6,TRUE)</f>
        <v>10.99</v>
      </c>
      <c r="AP960" s="9">
        <v>5</v>
      </c>
      <c r="AQ960" s="5">
        <f>Transaction[[#This Row],[Price]]*Transaction[[#This Row],[Qty]]</f>
        <v>54.95</v>
      </c>
      <c r="AR960" s="5">
        <f>VLOOKUP(Transaction[[#This Row],[Model No.]],$AV$2:$BD$100,7,TRUE)*Transaction[[#This Row],[Qty]]</f>
        <v>16.484999999999999</v>
      </c>
      <c r="AS960">
        <v>1106</v>
      </c>
      <c r="AT960">
        <v>1005</v>
      </c>
    </row>
    <row r="961" spans="36:46" x14ac:dyDescent="0.3">
      <c r="AJ961">
        <v>94923</v>
      </c>
      <c r="AK961" s="30">
        <v>42820</v>
      </c>
      <c r="AL961" t="s">
        <v>1525</v>
      </c>
      <c r="AM961">
        <v>53</v>
      </c>
      <c r="AN961" t="str">
        <f>VLOOKUP(Transaction[[#This Row],[Model No.]],$AV$2:$BD$100,2,TRUE)</f>
        <v>Ommegang Hennepin - 4 Pack</v>
      </c>
      <c r="AO961" s="21">
        <f>VLOOKUP(Transaction[[#This Row],[Model No.]],$AV$2:$BD$100,6,TRUE)</f>
        <v>14.99</v>
      </c>
      <c r="AP961" s="9">
        <v>5</v>
      </c>
      <c r="AQ961" s="5">
        <f>Transaction[[#This Row],[Price]]*Transaction[[#This Row],[Qty]]</f>
        <v>74.95</v>
      </c>
      <c r="AR961" s="5">
        <f>VLOOKUP(Transaction[[#This Row],[Model No.]],$AV$2:$BD$100,7,TRUE)*Transaction[[#This Row],[Qty]]</f>
        <v>22.484999999999999</v>
      </c>
      <c r="AS961">
        <v>1105</v>
      </c>
      <c r="AT961">
        <v>1018</v>
      </c>
    </row>
    <row r="962" spans="36:46" x14ac:dyDescent="0.3">
      <c r="AJ962">
        <v>15437</v>
      </c>
      <c r="AK962" s="30">
        <v>42820</v>
      </c>
      <c r="AL962" t="s">
        <v>845</v>
      </c>
      <c r="AM962">
        <v>77</v>
      </c>
      <c r="AN962" t="str">
        <f>VLOOKUP(Transaction[[#This Row],[Model No.]],$AV$2:$BD$100,2,TRUE)</f>
        <v>LA CHASSE PRETIGE CDR</v>
      </c>
      <c r="AO962" s="21">
        <f>VLOOKUP(Transaction[[#This Row],[Model No.]],$AV$2:$BD$100,6,TRUE)</f>
        <v>11.99</v>
      </c>
      <c r="AP962" s="9">
        <v>4</v>
      </c>
      <c r="AQ962" s="5">
        <f>Transaction[[#This Row],[Price]]*Transaction[[#This Row],[Qty]]</f>
        <v>47.96</v>
      </c>
      <c r="AR962" s="5">
        <f>VLOOKUP(Transaction[[#This Row],[Model No.]],$AV$2:$BD$100,7,TRUE)*Transaction[[#This Row],[Qty]]</f>
        <v>19.184000000000001</v>
      </c>
      <c r="AS962">
        <v>1105</v>
      </c>
      <c r="AT962">
        <v>1000</v>
      </c>
    </row>
    <row r="963" spans="36:46" x14ac:dyDescent="0.3">
      <c r="AJ963">
        <v>99929</v>
      </c>
      <c r="AK963" s="30">
        <v>42822</v>
      </c>
      <c r="AL963" t="s">
        <v>985</v>
      </c>
      <c r="AM963">
        <v>58</v>
      </c>
      <c r="AN963" t="str">
        <f>VLOOKUP(Transaction[[#This Row],[Model No.]],$AV$2:$BD$100,2,TRUE)</f>
        <v>Smirnoff Mango Vodka</v>
      </c>
      <c r="AO963" s="21">
        <f>VLOOKUP(Transaction[[#This Row],[Model No.]],$AV$2:$BD$100,6,TRUE)</f>
        <v>13.49</v>
      </c>
      <c r="AP963" s="9">
        <v>2</v>
      </c>
      <c r="AQ963" s="5">
        <f>Transaction[[#This Row],[Price]]*Transaction[[#This Row],[Qty]]</f>
        <v>26.98</v>
      </c>
      <c r="AR963" s="5">
        <f>VLOOKUP(Transaction[[#This Row],[Model No.]],$AV$2:$BD$100,7,TRUE)*Transaction[[#This Row],[Qty]]</f>
        <v>8.0939999999999994</v>
      </c>
      <c r="AS963">
        <v>1107</v>
      </c>
      <c r="AT963">
        <v>1015</v>
      </c>
    </row>
    <row r="964" spans="36:46" x14ac:dyDescent="0.3">
      <c r="AJ964">
        <v>19371</v>
      </c>
      <c r="AK964" s="30">
        <v>42823</v>
      </c>
      <c r="AL964" t="s">
        <v>1887</v>
      </c>
      <c r="AM964">
        <v>12</v>
      </c>
      <c r="AN964" t="str">
        <f>VLOOKUP(Transaction[[#This Row],[Model No.]],$AV$2:$BD$100,2,TRUE)</f>
        <v>Cuvaison Pinot Noir</v>
      </c>
      <c r="AO964" s="21">
        <f>VLOOKUP(Transaction[[#This Row],[Model No.]],$AV$2:$BD$100,6,TRUE)</f>
        <v>36.99</v>
      </c>
      <c r="AP964" s="9">
        <v>2</v>
      </c>
      <c r="AQ964" s="5">
        <f>Transaction[[#This Row],[Price]]*Transaction[[#This Row],[Qty]]</f>
        <v>73.98</v>
      </c>
      <c r="AR964" s="5">
        <f>VLOOKUP(Transaction[[#This Row],[Model No.]],$AV$2:$BD$100,7,TRUE)*Transaction[[#This Row],[Qty]]</f>
        <v>7.3980000000000006</v>
      </c>
      <c r="AS964">
        <v>1099</v>
      </c>
      <c r="AT964">
        <v>1002</v>
      </c>
    </row>
    <row r="965" spans="36:46" x14ac:dyDescent="0.3">
      <c r="AJ965">
        <v>82502</v>
      </c>
      <c r="AK965" s="30">
        <v>42825</v>
      </c>
      <c r="AL965" t="s">
        <v>1345</v>
      </c>
      <c r="AM965">
        <v>18</v>
      </c>
      <c r="AN965" t="str">
        <f>VLOOKUP(Transaction[[#This Row],[Model No.]],$AV$2:$BD$100,2,TRUE)</f>
        <v>Twenty Grand Peach Vodka</v>
      </c>
      <c r="AO965" s="21">
        <f>VLOOKUP(Transaction[[#This Row],[Model No.]],$AV$2:$BD$100,6,TRUE)</f>
        <v>30.99</v>
      </c>
      <c r="AP965" s="9">
        <v>5</v>
      </c>
      <c r="AQ965" s="5">
        <f>Transaction[[#This Row],[Price]]*Transaction[[#This Row],[Qty]]</f>
        <v>154.94999999999999</v>
      </c>
      <c r="AR965" s="5">
        <f>VLOOKUP(Transaction[[#This Row],[Model No.]],$AV$2:$BD$100,7,TRUE)*Transaction[[#This Row],[Qty]]</f>
        <v>46.484999999999992</v>
      </c>
      <c r="AS965">
        <v>1106</v>
      </c>
      <c r="AT965">
        <v>1005</v>
      </c>
    </row>
    <row r="966" spans="36:46" x14ac:dyDescent="0.3">
      <c r="AJ966">
        <v>74857</v>
      </c>
      <c r="AK966" s="30">
        <v>42826</v>
      </c>
      <c r="AL966" t="s">
        <v>902</v>
      </c>
      <c r="AM966">
        <v>39</v>
      </c>
      <c r="AN966" t="str">
        <f>VLOOKUP(Transaction[[#This Row],[Model No.]],$AV$2:$BD$100,2,TRUE)</f>
        <v>Moorhouse's English Owd Ale - 4 Pack</v>
      </c>
      <c r="AO966" s="21">
        <f>VLOOKUP(Transaction[[#This Row],[Model No.]],$AV$2:$BD$100,6,TRUE)</f>
        <v>18.989999999999998</v>
      </c>
      <c r="AP966" s="9">
        <v>4</v>
      </c>
      <c r="AQ966" s="5">
        <f>Transaction[[#This Row],[Price]]*Transaction[[#This Row],[Qty]]</f>
        <v>75.959999999999994</v>
      </c>
      <c r="AR966" s="5">
        <f>VLOOKUP(Transaction[[#This Row],[Model No.]],$AV$2:$BD$100,7,TRUE)*Transaction[[#This Row],[Qty]]</f>
        <v>22.787999999999997</v>
      </c>
      <c r="AS966">
        <v>1100</v>
      </c>
      <c r="AT966">
        <v>1013</v>
      </c>
    </row>
    <row r="967" spans="36:46" x14ac:dyDescent="0.3">
      <c r="AJ967">
        <v>18235</v>
      </c>
      <c r="AK967" s="30">
        <v>42826</v>
      </c>
      <c r="AL967" t="s">
        <v>489</v>
      </c>
      <c r="AM967">
        <v>78</v>
      </c>
      <c r="AN967" t="str">
        <f>VLOOKUP(Transaction[[#This Row],[Model No.]],$AV$2:$BD$100,2,TRUE)</f>
        <v>Tomasello Winery Blueberry Wine Red Blend</v>
      </c>
      <c r="AO967" s="21">
        <f>VLOOKUP(Transaction[[#This Row],[Model No.]],$AV$2:$BD$100,6,TRUE)</f>
        <v>11.49</v>
      </c>
      <c r="AP967" s="9">
        <v>5</v>
      </c>
      <c r="AQ967" s="5">
        <f>Transaction[[#This Row],[Price]]*Transaction[[#This Row],[Qty]]</f>
        <v>57.45</v>
      </c>
      <c r="AR967" s="5">
        <f>VLOOKUP(Transaction[[#This Row],[Model No.]],$AV$2:$BD$100,7,TRUE)*Transaction[[#This Row],[Qty]]</f>
        <v>5.7450000000000001</v>
      </c>
      <c r="AS967">
        <v>1099</v>
      </c>
      <c r="AT967">
        <v>1003</v>
      </c>
    </row>
    <row r="968" spans="36:46" x14ac:dyDescent="0.3">
      <c r="AJ968">
        <v>65044</v>
      </c>
      <c r="AK968" s="30">
        <v>42826</v>
      </c>
      <c r="AL968" t="s">
        <v>851</v>
      </c>
      <c r="AM968">
        <v>96</v>
      </c>
      <c r="AN968" t="str">
        <f>VLOOKUP(Transaction[[#This Row],[Model No.]],$AV$2:$BD$100,2,TRUE)</f>
        <v>Arbor Mist Blackberry Merlot</v>
      </c>
      <c r="AO968" s="21">
        <f>VLOOKUP(Transaction[[#This Row],[Model No.]],$AV$2:$BD$100,6,TRUE)</f>
        <v>6.19</v>
      </c>
      <c r="AP968" s="9">
        <v>3</v>
      </c>
      <c r="AQ968" s="5">
        <f>Transaction[[#This Row],[Price]]*Transaction[[#This Row],[Qty]]</f>
        <v>18.57</v>
      </c>
      <c r="AR968" s="5">
        <f>VLOOKUP(Transaction[[#This Row],[Model No.]],$AV$2:$BD$100,7,TRUE)*Transaction[[#This Row],[Qty]]</f>
        <v>1.8570000000000002</v>
      </c>
      <c r="AS968">
        <v>1102</v>
      </c>
      <c r="AT968">
        <v>1005</v>
      </c>
    </row>
    <row r="969" spans="36:46" x14ac:dyDescent="0.3">
      <c r="AJ969">
        <v>84581</v>
      </c>
      <c r="AK969" s="30">
        <v>42827</v>
      </c>
      <c r="AL969" t="s">
        <v>922</v>
      </c>
      <c r="AM969">
        <v>59</v>
      </c>
      <c r="AN969" t="str">
        <f>VLOOKUP(Transaction[[#This Row],[Model No.]],$AV$2:$BD$100,2,TRUE)</f>
        <v>Smirnoff Kissed Caramel Vodka</v>
      </c>
      <c r="AO969" s="21">
        <f>VLOOKUP(Transaction[[#This Row],[Model No.]],$AV$2:$BD$100,6,TRUE)</f>
        <v>13.49</v>
      </c>
      <c r="AP969" s="9">
        <v>4</v>
      </c>
      <c r="AQ969" s="5">
        <f>Transaction[[#This Row],[Price]]*Transaction[[#This Row],[Qty]]</f>
        <v>53.96</v>
      </c>
      <c r="AR969" s="5">
        <f>VLOOKUP(Transaction[[#This Row],[Model No.]],$AV$2:$BD$100,7,TRUE)*Transaction[[#This Row],[Qty]]</f>
        <v>16.187999999999999</v>
      </c>
      <c r="AS969">
        <v>1098</v>
      </c>
      <c r="AT969">
        <v>1000</v>
      </c>
    </row>
    <row r="970" spans="36:46" x14ac:dyDescent="0.3">
      <c r="AJ970">
        <v>21269</v>
      </c>
      <c r="AK970" s="30">
        <v>42828</v>
      </c>
      <c r="AL970" t="s">
        <v>1398</v>
      </c>
      <c r="AM970">
        <v>38</v>
      </c>
      <c r="AN970" t="str">
        <f>VLOOKUP(Transaction[[#This Row],[Model No.]],$AV$2:$BD$100,2,TRUE)</f>
        <v>CiROC Red Berry Vodka</v>
      </c>
      <c r="AO970" s="21">
        <f>VLOOKUP(Transaction[[#This Row],[Model No.]],$AV$2:$BD$100,6,TRUE)</f>
        <v>19.989999999999998</v>
      </c>
      <c r="AP970" s="9">
        <v>1</v>
      </c>
      <c r="AQ970" s="5">
        <f>Transaction[[#This Row],[Price]]*Transaction[[#This Row],[Qty]]</f>
        <v>19.989999999999998</v>
      </c>
      <c r="AR970" s="5">
        <f>VLOOKUP(Transaction[[#This Row],[Model No.]],$AV$2:$BD$100,7,TRUE)*Transaction[[#This Row],[Qty]]</f>
        <v>5.996999999999999</v>
      </c>
      <c r="AS970">
        <v>1105</v>
      </c>
      <c r="AT970">
        <v>1009</v>
      </c>
    </row>
    <row r="971" spans="36:46" x14ac:dyDescent="0.3">
      <c r="AJ971">
        <v>58960</v>
      </c>
      <c r="AK971" s="30">
        <v>42828</v>
      </c>
      <c r="AL971" t="s">
        <v>1320</v>
      </c>
      <c r="AM971">
        <v>58</v>
      </c>
      <c r="AN971" t="str">
        <f>VLOOKUP(Transaction[[#This Row],[Model No.]],$AV$2:$BD$100,2,TRUE)</f>
        <v>Smirnoff Mango Vodka</v>
      </c>
      <c r="AO971" s="21">
        <f>VLOOKUP(Transaction[[#This Row],[Model No.]],$AV$2:$BD$100,6,TRUE)</f>
        <v>13.49</v>
      </c>
      <c r="AP971" s="9">
        <v>2</v>
      </c>
      <c r="AQ971" s="5">
        <f>Transaction[[#This Row],[Price]]*Transaction[[#This Row],[Qty]]</f>
        <v>26.98</v>
      </c>
      <c r="AR971" s="5">
        <f>VLOOKUP(Transaction[[#This Row],[Model No.]],$AV$2:$BD$100,7,TRUE)*Transaction[[#This Row],[Qty]]</f>
        <v>8.0939999999999994</v>
      </c>
      <c r="AS971">
        <v>1107</v>
      </c>
      <c r="AT971">
        <v>1016</v>
      </c>
    </row>
    <row r="972" spans="36:46" x14ac:dyDescent="0.3">
      <c r="AJ972">
        <v>48525</v>
      </c>
      <c r="AK972" s="30">
        <v>42830</v>
      </c>
      <c r="AL972" t="s">
        <v>674</v>
      </c>
      <c r="AM972">
        <v>19</v>
      </c>
      <c r="AN972" t="str">
        <f>VLOOKUP(Transaction[[#This Row],[Model No.]],$AV$2:$BD$100,2,TRUE)</f>
        <v>District Made Vodka</v>
      </c>
      <c r="AO972" s="21">
        <f>VLOOKUP(Transaction[[#This Row],[Model No.]],$AV$2:$BD$100,6,TRUE)</f>
        <v>29.99</v>
      </c>
      <c r="AP972" s="9">
        <v>5</v>
      </c>
      <c r="AQ972" s="5">
        <f>Transaction[[#This Row],[Price]]*Transaction[[#This Row],[Qty]]</f>
        <v>149.94999999999999</v>
      </c>
      <c r="AR972" s="5">
        <f>VLOOKUP(Transaction[[#This Row],[Model No.]],$AV$2:$BD$100,7,TRUE)*Transaction[[#This Row],[Qty]]</f>
        <v>44.984999999999999</v>
      </c>
      <c r="AS972">
        <v>1108</v>
      </c>
      <c r="AT972">
        <v>1005</v>
      </c>
    </row>
    <row r="973" spans="36:46" x14ac:dyDescent="0.3">
      <c r="AJ973">
        <v>11771</v>
      </c>
      <c r="AK973" s="30">
        <v>42832</v>
      </c>
      <c r="AL973" t="s">
        <v>1221</v>
      </c>
      <c r="AM973">
        <v>35</v>
      </c>
      <c r="AN973" t="str">
        <f>VLOOKUP(Transaction[[#This Row],[Model No.]],$AV$2:$BD$100,2,TRUE)</f>
        <v>Troegenator Double Bock Can - 12 Pack</v>
      </c>
      <c r="AO973" s="21">
        <f>VLOOKUP(Transaction[[#This Row],[Model No.]],$AV$2:$BD$100,6,TRUE)</f>
        <v>20.99</v>
      </c>
      <c r="AP973" s="9">
        <v>4</v>
      </c>
      <c r="AQ973" s="5">
        <f>Transaction[[#This Row],[Price]]*Transaction[[#This Row],[Qty]]</f>
        <v>83.96</v>
      </c>
      <c r="AR973" s="5">
        <f>VLOOKUP(Transaction[[#This Row],[Model No.]],$AV$2:$BD$100,7,TRUE)*Transaction[[#This Row],[Qty]]</f>
        <v>25.187999999999999</v>
      </c>
      <c r="AS973">
        <v>1100</v>
      </c>
      <c r="AT973">
        <v>1005</v>
      </c>
    </row>
    <row r="974" spans="36:46" x14ac:dyDescent="0.3">
      <c r="AJ974">
        <v>20774</v>
      </c>
      <c r="AK974" s="30">
        <v>42833</v>
      </c>
      <c r="AL974" t="s">
        <v>355</v>
      </c>
      <c r="AM974">
        <v>61</v>
      </c>
      <c r="AN974" t="str">
        <f>VLOOKUP(Transaction[[#This Row],[Model No.]],$AV$2:$BD$100,2,TRUE)</f>
        <v>He'Brew Genesis Dry Hopped Session Ale - 6 Pack</v>
      </c>
      <c r="AO974" s="21">
        <f>VLOOKUP(Transaction[[#This Row],[Model No.]],$AV$2:$BD$100,6,TRUE)</f>
        <v>12.99</v>
      </c>
      <c r="AP974" s="9">
        <v>2</v>
      </c>
      <c r="AQ974" s="5">
        <f>Transaction[[#This Row],[Price]]*Transaction[[#This Row],[Qty]]</f>
        <v>25.98</v>
      </c>
      <c r="AR974" s="5">
        <f>VLOOKUP(Transaction[[#This Row],[Model No.]],$AV$2:$BD$100,7,TRUE)*Transaction[[#This Row],[Qty]]</f>
        <v>7.7939999999999996</v>
      </c>
      <c r="AS974">
        <v>1099</v>
      </c>
      <c r="AT974">
        <v>1016</v>
      </c>
    </row>
    <row r="975" spans="36:46" x14ac:dyDescent="0.3">
      <c r="AJ975">
        <v>44787</v>
      </c>
      <c r="AK975" s="30">
        <v>42835</v>
      </c>
      <c r="AL975" t="s">
        <v>870</v>
      </c>
      <c r="AM975">
        <v>55</v>
      </c>
      <c r="AN975" t="str">
        <f>VLOOKUP(Transaction[[#This Row],[Model No.]],$AV$2:$BD$100,2,TRUE)</f>
        <v>Clos du Bois Hand Selected Lots Shiraz</v>
      </c>
      <c r="AO975" s="21">
        <f>VLOOKUP(Transaction[[#This Row],[Model No.]],$AV$2:$BD$100,6,TRUE)</f>
        <v>14.49</v>
      </c>
      <c r="AP975" s="9">
        <v>3</v>
      </c>
      <c r="AQ975" s="5">
        <f>Transaction[[#This Row],[Price]]*Transaction[[#This Row],[Qty]]</f>
        <v>43.47</v>
      </c>
      <c r="AR975" s="5">
        <f>VLOOKUP(Transaction[[#This Row],[Model No.]],$AV$2:$BD$100,7,TRUE)*Transaction[[#This Row],[Qty]]</f>
        <v>4.3470000000000004</v>
      </c>
      <c r="AS975">
        <v>1104</v>
      </c>
      <c r="AT975">
        <v>1005</v>
      </c>
    </row>
    <row r="976" spans="36:46" x14ac:dyDescent="0.3">
      <c r="AJ976">
        <v>45091</v>
      </c>
      <c r="AK976" s="30">
        <v>42836</v>
      </c>
      <c r="AL976" t="s">
        <v>1748</v>
      </c>
      <c r="AM976">
        <v>4</v>
      </c>
      <c r="AN976" t="str">
        <f>VLOOKUP(Transaction[[#This Row],[Model No.]],$AV$2:$BD$100,2,TRUE)</f>
        <v>Stags' Leap Winery Cabernet Sauvignon</v>
      </c>
      <c r="AO976" s="21">
        <f>VLOOKUP(Transaction[[#This Row],[Model No.]],$AV$2:$BD$100,6,TRUE)</f>
        <v>54.99</v>
      </c>
      <c r="AP976" s="9">
        <v>1</v>
      </c>
      <c r="AQ976" s="5">
        <f>Transaction[[#This Row],[Price]]*Transaction[[#This Row],[Qty]]</f>
        <v>54.99</v>
      </c>
      <c r="AR976" s="5">
        <f>VLOOKUP(Transaction[[#This Row],[Model No.]],$AV$2:$BD$100,7,TRUE)*Transaction[[#This Row],[Qty]]</f>
        <v>5.4990000000000006</v>
      </c>
      <c r="AS976">
        <v>1103</v>
      </c>
      <c r="AT976">
        <v>1020</v>
      </c>
    </row>
    <row r="977" spans="36:46" x14ac:dyDescent="0.3">
      <c r="AJ977">
        <v>34093</v>
      </c>
      <c r="AK977" s="30">
        <v>42837</v>
      </c>
      <c r="AL977" t="s">
        <v>543</v>
      </c>
      <c r="AM977">
        <v>38</v>
      </c>
      <c r="AN977" t="str">
        <f>VLOOKUP(Transaction[[#This Row],[Model No.]],$AV$2:$BD$100,2,TRUE)</f>
        <v>CiROC Red Berry Vodka</v>
      </c>
      <c r="AO977" s="21">
        <f>VLOOKUP(Transaction[[#This Row],[Model No.]],$AV$2:$BD$100,6,TRUE)</f>
        <v>19.989999999999998</v>
      </c>
      <c r="AP977" s="9">
        <v>1</v>
      </c>
      <c r="AQ977" s="5">
        <f>Transaction[[#This Row],[Price]]*Transaction[[#This Row],[Qty]]</f>
        <v>19.989999999999998</v>
      </c>
      <c r="AR977" s="5">
        <f>VLOOKUP(Transaction[[#This Row],[Model No.]],$AV$2:$BD$100,7,TRUE)*Transaction[[#This Row],[Qty]]</f>
        <v>5.996999999999999</v>
      </c>
      <c r="AS977">
        <v>1106</v>
      </c>
      <c r="AT977">
        <v>1013</v>
      </c>
    </row>
    <row r="978" spans="36:46" x14ac:dyDescent="0.3">
      <c r="AJ978">
        <v>67566</v>
      </c>
      <c r="AK978" s="30">
        <v>42840</v>
      </c>
      <c r="AL978" t="s">
        <v>1154</v>
      </c>
      <c r="AM978">
        <v>26</v>
      </c>
      <c r="AN978" t="str">
        <f>VLOOKUP(Transaction[[#This Row],[Model No.]],$AV$2:$BD$100,2,TRUE)</f>
        <v>Belhaven Scottish Stout - 4 Pack</v>
      </c>
      <c r="AO978" s="21">
        <f>VLOOKUP(Transaction[[#This Row],[Model No.]],$AV$2:$BD$100,6,TRUE)</f>
        <v>23.99</v>
      </c>
      <c r="AP978" s="9">
        <v>2</v>
      </c>
      <c r="AQ978" s="5">
        <f>Transaction[[#This Row],[Price]]*Transaction[[#This Row],[Qty]]</f>
        <v>47.98</v>
      </c>
      <c r="AR978" s="5">
        <f>VLOOKUP(Transaction[[#This Row],[Model No.]],$AV$2:$BD$100,7,TRUE)*Transaction[[#This Row],[Qty]]</f>
        <v>14.393999999999998</v>
      </c>
      <c r="AS978">
        <v>1108</v>
      </c>
      <c r="AT978">
        <v>1014</v>
      </c>
    </row>
    <row r="979" spans="36:46" x14ac:dyDescent="0.3">
      <c r="AJ979">
        <v>54089</v>
      </c>
      <c r="AK979" s="30">
        <v>42841</v>
      </c>
      <c r="AL979" t="s">
        <v>1420</v>
      </c>
      <c r="AM979">
        <v>22</v>
      </c>
      <c r="AN979" t="str">
        <f>VLOOKUP(Transaction[[#This Row],[Model No.]],$AV$2:$BD$100,2,TRUE)</f>
        <v>Efe Raki Black Triple Distilled Liqueur</v>
      </c>
      <c r="AO979" s="21">
        <f>VLOOKUP(Transaction[[#This Row],[Model No.]],$AV$2:$BD$100,6,TRUE)</f>
        <v>25.99</v>
      </c>
      <c r="AP979" s="9">
        <v>5</v>
      </c>
      <c r="AQ979" s="5">
        <f>Transaction[[#This Row],[Price]]*Transaction[[#This Row],[Qty]]</f>
        <v>129.94999999999999</v>
      </c>
      <c r="AR979" s="5">
        <f>VLOOKUP(Transaction[[#This Row],[Model No.]],$AV$2:$BD$100,7,TRUE)*Transaction[[#This Row],[Qty]]</f>
        <v>38.984999999999992</v>
      </c>
      <c r="AS979">
        <v>1102</v>
      </c>
      <c r="AT979">
        <v>1002</v>
      </c>
    </row>
    <row r="980" spans="36:46" x14ac:dyDescent="0.3">
      <c r="AJ980">
        <v>25651</v>
      </c>
      <c r="AK980" s="30">
        <v>42841</v>
      </c>
      <c r="AL980" t="s">
        <v>319</v>
      </c>
      <c r="AM980">
        <v>49</v>
      </c>
      <c r="AN980" t="str">
        <f>VLOOKUP(Transaction[[#This Row],[Model No.]],$AV$2:$BD$100,2,TRUE)</f>
        <v>Marchesi di Barolo Ruvei Barbera d'Alba</v>
      </c>
      <c r="AO980" s="21">
        <f>VLOOKUP(Transaction[[#This Row],[Model No.]],$AV$2:$BD$100,6,TRUE)</f>
        <v>15.99</v>
      </c>
      <c r="AP980" s="9">
        <v>4</v>
      </c>
      <c r="AQ980" s="5">
        <f>Transaction[[#This Row],[Price]]*Transaction[[#This Row],[Qty]]</f>
        <v>63.96</v>
      </c>
      <c r="AR980" s="5">
        <f>VLOOKUP(Transaction[[#This Row],[Model No.]],$AV$2:$BD$100,7,TRUE)*Transaction[[#This Row],[Qty]]</f>
        <v>6.3960000000000008</v>
      </c>
      <c r="AS980">
        <v>1098</v>
      </c>
      <c r="AT980">
        <v>1002</v>
      </c>
    </row>
    <row r="981" spans="36:46" x14ac:dyDescent="0.3">
      <c r="AJ981">
        <v>95412</v>
      </c>
      <c r="AK981" s="30">
        <v>42841</v>
      </c>
      <c r="AL981" t="s">
        <v>1099</v>
      </c>
      <c r="AM981">
        <v>53</v>
      </c>
      <c r="AN981" t="str">
        <f>VLOOKUP(Transaction[[#This Row],[Model No.]],$AV$2:$BD$100,2,TRUE)</f>
        <v>Ommegang Hennepin - 4 Pack</v>
      </c>
      <c r="AO981" s="21">
        <f>VLOOKUP(Transaction[[#This Row],[Model No.]],$AV$2:$BD$100,6,TRUE)</f>
        <v>14.99</v>
      </c>
      <c r="AP981" s="9">
        <v>1</v>
      </c>
      <c r="AQ981" s="5">
        <f>Transaction[[#This Row],[Price]]*Transaction[[#This Row],[Qty]]</f>
        <v>14.99</v>
      </c>
      <c r="AR981" s="5">
        <f>VLOOKUP(Transaction[[#This Row],[Model No.]],$AV$2:$BD$100,7,TRUE)*Transaction[[#This Row],[Qty]]</f>
        <v>4.4969999999999999</v>
      </c>
      <c r="AS981">
        <v>1108</v>
      </c>
      <c r="AT981">
        <v>1019</v>
      </c>
    </row>
    <row r="982" spans="36:46" x14ac:dyDescent="0.3">
      <c r="AJ982">
        <v>57933</v>
      </c>
      <c r="AK982" s="30">
        <v>42842</v>
      </c>
      <c r="AL982" t="s">
        <v>1865</v>
      </c>
      <c r="AM982">
        <v>77</v>
      </c>
      <c r="AN982" t="str">
        <f>VLOOKUP(Transaction[[#This Row],[Model No.]],$AV$2:$BD$100,2,TRUE)</f>
        <v>LA CHASSE PRETIGE CDR</v>
      </c>
      <c r="AO982" s="21">
        <f>VLOOKUP(Transaction[[#This Row],[Model No.]],$AV$2:$BD$100,6,TRUE)</f>
        <v>11.99</v>
      </c>
      <c r="AP982" s="9">
        <v>4</v>
      </c>
      <c r="AQ982" s="5">
        <f>Transaction[[#This Row],[Price]]*Transaction[[#This Row],[Qty]]</f>
        <v>47.96</v>
      </c>
      <c r="AR982" s="5">
        <f>VLOOKUP(Transaction[[#This Row],[Model No.]],$AV$2:$BD$100,7,TRUE)*Transaction[[#This Row],[Qty]]</f>
        <v>19.184000000000001</v>
      </c>
      <c r="AS982">
        <v>1103</v>
      </c>
      <c r="AT982">
        <v>1003</v>
      </c>
    </row>
    <row r="983" spans="36:46" x14ac:dyDescent="0.3">
      <c r="AJ983">
        <v>29949</v>
      </c>
      <c r="AK983" s="30">
        <v>42845</v>
      </c>
      <c r="AL983" t="s">
        <v>1910</v>
      </c>
      <c r="AM983">
        <v>75</v>
      </c>
      <c r="AN983" t="str">
        <f>VLOOKUP(Transaction[[#This Row],[Model No.]],$AV$2:$BD$100,2,TRUE)</f>
        <v>Uinta Ready Set Gose - 6 Pack</v>
      </c>
      <c r="AO983" s="21">
        <f>VLOOKUP(Transaction[[#This Row],[Model No.]],$AV$2:$BD$100,6,TRUE)</f>
        <v>11.99</v>
      </c>
      <c r="AP983" s="9">
        <v>4</v>
      </c>
      <c r="AQ983" s="5">
        <f>Transaction[[#This Row],[Price]]*Transaction[[#This Row],[Qty]]</f>
        <v>47.96</v>
      </c>
      <c r="AR983" s="5">
        <f>VLOOKUP(Transaction[[#This Row],[Model No.]],$AV$2:$BD$100,7,TRUE)*Transaction[[#This Row],[Qty]]</f>
        <v>14.388</v>
      </c>
      <c r="AS983">
        <v>1104</v>
      </c>
      <c r="AT983">
        <v>1015</v>
      </c>
    </row>
    <row r="984" spans="36:46" x14ac:dyDescent="0.3">
      <c r="AJ984">
        <v>70201</v>
      </c>
      <c r="AK984" s="30">
        <v>42846</v>
      </c>
      <c r="AL984" t="s">
        <v>961</v>
      </c>
      <c r="AM984">
        <v>57</v>
      </c>
      <c r="AN984" t="str">
        <f>VLOOKUP(Transaction[[#This Row],[Model No.]],$AV$2:$BD$100,2,TRUE)</f>
        <v>Familia Dante Twelve Months Oak Aged Toscana IGT Sangiovese</v>
      </c>
      <c r="AO984" s="21">
        <f>VLOOKUP(Transaction[[#This Row],[Model No.]],$AV$2:$BD$100,6,TRUE)</f>
        <v>13.69</v>
      </c>
      <c r="AP984" s="9">
        <v>2</v>
      </c>
      <c r="AQ984" s="5">
        <f>Transaction[[#This Row],[Price]]*Transaction[[#This Row],[Qty]]</f>
        <v>27.38</v>
      </c>
      <c r="AR984" s="5">
        <f>VLOOKUP(Transaction[[#This Row],[Model No.]],$AV$2:$BD$100,7,TRUE)*Transaction[[#This Row],[Qty]]</f>
        <v>2.738</v>
      </c>
      <c r="AS984">
        <v>1108</v>
      </c>
      <c r="AT984">
        <v>1002</v>
      </c>
    </row>
    <row r="985" spans="36:46" x14ac:dyDescent="0.3">
      <c r="AJ985">
        <v>57317</v>
      </c>
      <c r="AK985" s="30">
        <v>42846</v>
      </c>
      <c r="AL985" t="s">
        <v>1299</v>
      </c>
      <c r="AM985">
        <v>90</v>
      </c>
      <c r="AN985" t="str">
        <f>VLOOKUP(Transaction[[#This Row],[Model No.]],$AV$2:$BD$100,2,TRUE)</f>
        <v>Carlo Rossi Moscato Sangria Muscat Blanc a Petits Grains</v>
      </c>
      <c r="AO985" s="21">
        <f>VLOOKUP(Transaction[[#This Row],[Model No.]],$AV$2:$BD$100,6,TRUE)</f>
        <v>7.99</v>
      </c>
      <c r="AP985" s="9">
        <v>4</v>
      </c>
      <c r="AQ985" s="5">
        <f>Transaction[[#This Row],[Price]]*Transaction[[#This Row],[Qty]]</f>
        <v>31.96</v>
      </c>
      <c r="AR985" s="5">
        <f>VLOOKUP(Transaction[[#This Row],[Model No.]],$AV$2:$BD$100,7,TRUE)*Transaction[[#This Row],[Qty]]</f>
        <v>6.3920000000000003</v>
      </c>
      <c r="AS985">
        <v>1105</v>
      </c>
      <c r="AT985">
        <v>1011</v>
      </c>
    </row>
    <row r="986" spans="36:46" x14ac:dyDescent="0.3">
      <c r="AJ986">
        <v>29391</v>
      </c>
      <c r="AK986" s="30">
        <v>42849</v>
      </c>
      <c r="AL986" t="s">
        <v>1007</v>
      </c>
      <c r="AM986">
        <v>69</v>
      </c>
      <c r="AN986" t="str">
        <f>VLOOKUP(Transaction[[#This Row],[Model No.]],$AV$2:$BD$100,2,TRUE)</f>
        <v>Castillo de Maluenda Vinas Viejas Punto y Coma Garnacha</v>
      </c>
      <c r="AO986" s="21">
        <f>VLOOKUP(Transaction[[#This Row],[Model No.]],$AV$2:$BD$100,6,TRUE)</f>
        <v>12.99</v>
      </c>
      <c r="AP986" s="9">
        <v>1</v>
      </c>
      <c r="AQ986" s="5">
        <f>Transaction[[#This Row],[Price]]*Transaction[[#This Row],[Qty]]</f>
        <v>12.99</v>
      </c>
      <c r="AR986" s="5">
        <f>VLOOKUP(Transaction[[#This Row],[Model No.]],$AV$2:$BD$100,7,TRUE)*Transaction[[#This Row],[Qty]]</f>
        <v>5.1960000000000006</v>
      </c>
      <c r="AS986">
        <v>1102</v>
      </c>
      <c r="AT986">
        <v>1019</v>
      </c>
    </row>
    <row r="987" spans="36:46" x14ac:dyDescent="0.3">
      <c r="AJ987">
        <v>49593</v>
      </c>
      <c r="AK987" s="30">
        <v>42849</v>
      </c>
      <c r="AL987" t="s">
        <v>1703</v>
      </c>
      <c r="AM987">
        <v>76</v>
      </c>
      <c r="AN987" t="str">
        <f>VLOOKUP(Transaction[[#This Row],[Model No.]],$AV$2:$BD$100,2,TRUE)</f>
        <v>Lagunitas Super Cluster Can - 6 Pack</v>
      </c>
      <c r="AO987" s="21">
        <f>VLOOKUP(Transaction[[#This Row],[Model No.]],$AV$2:$BD$100,6,TRUE)</f>
        <v>11.99</v>
      </c>
      <c r="AP987" s="9">
        <v>3</v>
      </c>
      <c r="AQ987" s="5">
        <f>Transaction[[#This Row],[Price]]*Transaction[[#This Row],[Qty]]</f>
        <v>35.97</v>
      </c>
      <c r="AR987" s="5">
        <f>VLOOKUP(Transaction[[#This Row],[Model No.]],$AV$2:$BD$100,7,TRUE)*Transaction[[#This Row],[Qty]]</f>
        <v>10.791</v>
      </c>
      <c r="AS987">
        <v>1098</v>
      </c>
      <c r="AT987">
        <v>1021</v>
      </c>
    </row>
    <row r="988" spans="36:46" x14ac:dyDescent="0.3">
      <c r="AJ988">
        <v>82022</v>
      </c>
      <c r="AK988" s="30">
        <v>42852</v>
      </c>
      <c r="AL988" t="s">
        <v>1291</v>
      </c>
      <c r="AM988">
        <v>66</v>
      </c>
      <c r="AN988" t="str">
        <f>VLOOKUP(Transaction[[#This Row],[Model No.]],$AV$2:$BD$100,2,TRUE)</f>
        <v>Red Horse Beer - 6 Pack</v>
      </c>
      <c r="AO988" s="21">
        <f>VLOOKUP(Transaction[[#This Row],[Model No.]],$AV$2:$BD$100,6,TRUE)</f>
        <v>12.99</v>
      </c>
      <c r="AP988" s="9">
        <v>5</v>
      </c>
      <c r="AQ988" s="5">
        <f>Transaction[[#This Row],[Price]]*Transaction[[#This Row],[Qty]]</f>
        <v>64.95</v>
      </c>
      <c r="AR988" s="5">
        <f>VLOOKUP(Transaction[[#This Row],[Model No.]],$AV$2:$BD$100,7,TRUE)*Transaction[[#This Row],[Qty]]</f>
        <v>19.484999999999999</v>
      </c>
      <c r="AS988">
        <v>1106</v>
      </c>
      <c r="AT988">
        <v>1021</v>
      </c>
    </row>
    <row r="989" spans="36:46" x14ac:dyDescent="0.3">
      <c r="AJ989">
        <v>81189</v>
      </c>
      <c r="AK989" s="30">
        <v>42852</v>
      </c>
      <c r="AL989" t="s">
        <v>1116</v>
      </c>
      <c r="AM989">
        <v>66</v>
      </c>
      <c r="AN989" t="str">
        <f>VLOOKUP(Transaction[[#This Row],[Model No.]],$AV$2:$BD$100,2,TRUE)</f>
        <v>Red Horse Beer - 6 Pack</v>
      </c>
      <c r="AO989" s="21">
        <f>VLOOKUP(Transaction[[#This Row],[Model No.]],$AV$2:$BD$100,6,TRUE)</f>
        <v>12.99</v>
      </c>
      <c r="AP989" s="9">
        <v>1</v>
      </c>
      <c r="AQ989" s="5">
        <f>Transaction[[#This Row],[Price]]*Transaction[[#This Row],[Qty]]</f>
        <v>12.99</v>
      </c>
      <c r="AR989" s="5">
        <f>VLOOKUP(Transaction[[#This Row],[Model No.]],$AV$2:$BD$100,7,TRUE)*Transaction[[#This Row],[Qty]]</f>
        <v>3.8969999999999998</v>
      </c>
      <c r="AS989">
        <v>1098</v>
      </c>
      <c r="AT989">
        <v>1009</v>
      </c>
    </row>
    <row r="990" spans="36:46" x14ac:dyDescent="0.3">
      <c r="AJ990">
        <v>71399</v>
      </c>
      <c r="AK990" s="30">
        <v>42853</v>
      </c>
      <c r="AL990" t="s">
        <v>1311</v>
      </c>
      <c r="AM990">
        <v>33</v>
      </c>
      <c r="AN990" t="str">
        <f>VLOOKUP(Transaction[[#This Row],[Model No.]],$AV$2:$BD$100,2,TRUE)</f>
        <v>Saracina Unoaked Chardonnay</v>
      </c>
      <c r="AO990" s="21">
        <f>VLOOKUP(Transaction[[#This Row],[Model No.]],$AV$2:$BD$100,6,TRUE)</f>
        <v>20.99</v>
      </c>
      <c r="AP990" s="9">
        <v>1</v>
      </c>
      <c r="AQ990" s="5">
        <f>Transaction[[#This Row],[Price]]*Transaction[[#This Row],[Qty]]</f>
        <v>20.99</v>
      </c>
      <c r="AR990" s="5">
        <f>VLOOKUP(Transaction[[#This Row],[Model No.]],$AV$2:$BD$100,7,TRUE)*Transaction[[#This Row],[Qty]]</f>
        <v>4.1979999999999995</v>
      </c>
      <c r="AS990">
        <v>1108</v>
      </c>
      <c r="AT990">
        <v>1000</v>
      </c>
    </row>
    <row r="991" spans="36:46" x14ac:dyDescent="0.3">
      <c r="AJ991">
        <v>21228</v>
      </c>
      <c r="AK991" s="30">
        <v>42854</v>
      </c>
      <c r="AL991" t="s">
        <v>491</v>
      </c>
      <c r="AM991">
        <v>50</v>
      </c>
      <c r="AN991" t="str">
        <f>VLOOKUP(Transaction[[#This Row],[Model No.]],$AV$2:$BD$100,2,TRUE)</f>
        <v>CLOS DU BOIS ROSE</v>
      </c>
      <c r="AO991" s="21">
        <f>VLOOKUP(Transaction[[#This Row],[Model No.]],$AV$2:$BD$100,6,TRUE)</f>
        <v>14.99</v>
      </c>
      <c r="AP991" s="9">
        <v>5</v>
      </c>
      <c r="AQ991" s="5">
        <f>Transaction[[#This Row],[Price]]*Transaction[[#This Row],[Qty]]</f>
        <v>74.95</v>
      </c>
      <c r="AR991" s="5">
        <f>VLOOKUP(Transaction[[#This Row],[Model No.]],$AV$2:$BD$100,7,TRUE)*Transaction[[#This Row],[Qty]]</f>
        <v>29.980000000000004</v>
      </c>
      <c r="AS991">
        <v>1107</v>
      </c>
      <c r="AT991">
        <v>1017</v>
      </c>
    </row>
    <row r="992" spans="36:46" x14ac:dyDescent="0.3">
      <c r="AJ992">
        <v>81275</v>
      </c>
      <c r="AK992" s="30">
        <v>42858</v>
      </c>
      <c r="AL992" t="s">
        <v>670</v>
      </c>
      <c r="AM992">
        <v>34</v>
      </c>
      <c r="AN992" t="str">
        <f>VLOOKUP(Transaction[[#This Row],[Model No.]],$AV$2:$BD$100,2,TRUE)</f>
        <v>The Eyrie Vineyards Pinot Gris</v>
      </c>
      <c r="AO992" s="21">
        <f>VLOOKUP(Transaction[[#This Row],[Model No.]],$AV$2:$BD$100,6,TRUE)</f>
        <v>20.99</v>
      </c>
      <c r="AP992" s="9">
        <v>5</v>
      </c>
      <c r="AQ992" s="5">
        <f>Transaction[[#This Row],[Price]]*Transaction[[#This Row],[Qty]]</f>
        <v>104.94999999999999</v>
      </c>
      <c r="AR992" s="5">
        <f>VLOOKUP(Transaction[[#This Row],[Model No.]],$AV$2:$BD$100,7,TRUE)*Transaction[[#This Row],[Qty]]</f>
        <v>20.99</v>
      </c>
      <c r="AS992">
        <v>1107</v>
      </c>
      <c r="AT992">
        <v>1019</v>
      </c>
    </row>
    <row r="993" spans="36:46" x14ac:dyDescent="0.3">
      <c r="AJ993">
        <v>82416</v>
      </c>
      <c r="AK993" s="30">
        <v>42859</v>
      </c>
      <c r="AL993" t="s">
        <v>492</v>
      </c>
      <c r="AM993">
        <v>58</v>
      </c>
      <c r="AN993" t="str">
        <f>VLOOKUP(Transaction[[#This Row],[Model No.]],$AV$2:$BD$100,2,TRUE)</f>
        <v>Smirnoff Mango Vodka</v>
      </c>
      <c r="AO993" s="21">
        <f>VLOOKUP(Transaction[[#This Row],[Model No.]],$AV$2:$BD$100,6,TRUE)</f>
        <v>13.49</v>
      </c>
      <c r="AP993" s="9">
        <v>4</v>
      </c>
      <c r="AQ993" s="5">
        <f>Transaction[[#This Row],[Price]]*Transaction[[#This Row],[Qty]]</f>
        <v>53.96</v>
      </c>
      <c r="AR993" s="5">
        <f>VLOOKUP(Transaction[[#This Row],[Model No.]],$AV$2:$BD$100,7,TRUE)*Transaction[[#This Row],[Qty]]</f>
        <v>16.187999999999999</v>
      </c>
      <c r="AS993">
        <v>1102</v>
      </c>
      <c r="AT993">
        <v>1007</v>
      </c>
    </row>
    <row r="994" spans="36:46" x14ac:dyDescent="0.3">
      <c r="AJ994">
        <v>53305</v>
      </c>
      <c r="AK994" s="30">
        <v>42859</v>
      </c>
      <c r="AL994" t="s">
        <v>448</v>
      </c>
      <c r="AM994">
        <v>93</v>
      </c>
      <c r="AN994" t="str">
        <f>VLOOKUP(Transaction[[#This Row],[Model No.]],$AV$2:$BD$100,2,TRUE)</f>
        <v>Beringer Vineyards Stone Cellars Shiraz</v>
      </c>
      <c r="AO994" s="21">
        <f>VLOOKUP(Transaction[[#This Row],[Model No.]],$AV$2:$BD$100,6,TRUE)</f>
        <v>7.49</v>
      </c>
      <c r="AP994" s="9">
        <v>4</v>
      </c>
      <c r="AQ994" s="5">
        <f>Transaction[[#This Row],[Price]]*Transaction[[#This Row],[Qty]]</f>
        <v>29.96</v>
      </c>
      <c r="AR994" s="5">
        <f>VLOOKUP(Transaction[[#This Row],[Model No.]],$AV$2:$BD$100,7,TRUE)*Transaction[[#This Row],[Qty]]</f>
        <v>2.9960000000000004</v>
      </c>
      <c r="AS994">
        <v>1105</v>
      </c>
      <c r="AT994">
        <v>1015</v>
      </c>
    </row>
    <row r="995" spans="36:46" x14ac:dyDescent="0.3">
      <c r="AJ995">
        <v>63576</v>
      </c>
      <c r="AK995" s="30">
        <v>42860</v>
      </c>
      <c r="AL995" t="s">
        <v>1622</v>
      </c>
      <c r="AM995">
        <v>36</v>
      </c>
      <c r="AN995" t="str">
        <f>VLOOKUP(Transaction[[#This Row],[Model No.]],$AV$2:$BD$100,2,TRUE)</f>
        <v>Patricius Reserve Dry Furmint</v>
      </c>
      <c r="AO995" s="21">
        <f>VLOOKUP(Transaction[[#This Row],[Model No.]],$AV$2:$BD$100,6,TRUE)</f>
        <v>20.99</v>
      </c>
      <c r="AP995" s="9">
        <v>4</v>
      </c>
      <c r="AQ995" s="5">
        <f>Transaction[[#This Row],[Price]]*Transaction[[#This Row],[Qty]]</f>
        <v>83.96</v>
      </c>
      <c r="AR995" s="5">
        <f>VLOOKUP(Transaction[[#This Row],[Model No.]],$AV$2:$BD$100,7,TRUE)*Transaction[[#This Row],[Qty]]</f>
        <v>8.395999999999999</v>
      </c>
      <c r="AS995">
        <v>1107</v>
      </c>
      <c r="AT995">
        <v>1020</v>
      </c>
    </row>
    <row r="996" spans="36:46" x14ac:dyDescent="0.3">
      <c r="AJ996">
        <v>47113</v>
      </c>
      <c r="AK996" s="30">
        <v>42861</v>
      </c>
      <c r="AL996" t="s">
        <v>644</v>
      </c>
      <c r="AM996">
        <v>63</v>
      </c>
      <c r="AN996" t="str">
        <f>VLOOKUP(Transaction[[#This Row],[Model No.]],$AV$2:$BD$100,2,TRUE)</f>
        <v>Troegs LaGrave - 4 Pack</v>
      </c>
      <c r="AO996" s="21">
        <f>VLOOKUP(Transaction[[#This Row],[Model No.]],$AV$2:$BD$100,6,TRUE)</f>
        <v>12.99</v>
      </c>
      <c r="AP996" s="9">
        <v>3</v>
      </c>
      <c r="AQ996" s="5">
        <f>Transaction[[#This Row],[Price]]*Transaction[[#This Row],[Qty]]</f>
        <v>38.97</v>
      </c>
      <c r="AR996" s="5">
        <f>VLOOKUP(Transaction[[#This Row],[Model No.]],$AV$2:$BD$100,7,TRUE)*Transaction[[#This Row],[Qty]]</f>
        <v>11.690999999999999</v>
      </c>
      <c r="AS996">
        <v>1099</v>
      </c>
      <c r="AT996">
        <v>1005</v>
      </c>
    </row>
    <row r="997" spans="36:46" x14ac:dyDescent="0.3">
      <c r="AJ997">
        <v>29478</v>
      </c>
      <c r="AK997" s="30">
        <v>42862</v>
      </c>
      <c r="AL997" t="s">
        <v>1825</v>
      </c>
      <c r="AM997">
        <v>49</v>
      </c>
      <c r="AN997" t="str">
        <f>VLOOKUP(Transaction[[#This Row],[Model No.]],$AV$2:$BD$100,2,TRUE)</f>
        <v>Marchesi di Barolo Ruvei Barbera d'Alba</v>
      </c>
      <c r="AO997" s="21">
        <f>VLOOKUP(Transaction[[#This Row],[Model No.]],$AV$2:$BD$100,6,TRUE)</f>
        <v>15.99</v>
      </c>
      <c r="AP997" s="9">
        <v>1</v>
      </c>
      <c r="AQ997" s="5">
        <f>Transaction[[#This Row],[Price]]*Transaction[[#This Row],[Qty]]</f>
        <v>15.99</v>
      </c>
      <c r="AR997" s="5">
        <f>VLOOKUP(Transaction[[#This Row],[Model No.]],$AV$2:$BD$100,7,TRUE)*Transaction[[#This Row],[Qty]]</f>
        <v>1.5990000000000002</v>
      </c>
      <c r="AS997">
        <v>1108</v>
      </c>
      <c r="AT997">
        <v>1018</v>
      </c>
    </row>
    <row r="998" spans="36:46" x14ac:dyDescent="0.3">
      <c r="AJ998">
        <v>44799</v>
      </c>
      <c r="AK998" s="30">
        <v>42862</v>
      </c>
      <c r="AL998" t="s">
        <v>1413</v>
      </c>
      <c r="AM998">
        <v>48</v>
      </c>
      <c r="AN998" t="str">
        <f>VLOOKUP(Transaction[[#This Row],[Model No.]],$AV$2:$BD$100,2,TRUE)</f>
        <v>CH TOUR D'AURON</v>
      </c>
      <c r="AO998" s="21">
        <f>VLOOKUP(Transaction[[#This Row],[Model No.]],$AV$2:$BD$100,6,TRUE)</f>
        <v>15.99</v>
      </c>
      <c r="AP998" s="9">
        <v>4</v>
      </c>
      <c r="AQ998" s="5">
        <f>Transaction[[#This Row],[Price]]*Transaction[[#This Row],[Qty]]</f>
        <v>63.96</v>
      </c>
      <c r="AR998" s="5">
        <f>VLOOKUP(Transaction[[#This Row],[Model No.]],$AV$2:$BD$100,7,TRUE)*Transaction[[#This Row],[Qty]]</f>
        <v>25.584000000000003</v>
      </c>
      <c r="AS998">
        <v>1099</v>
      </c>
      <c r="AT998">
        <v>1002</v>
      </c>
    </row>
    <row r="999" spans="36:46" x14ac:dyDescent="0.3">
      <c r="AJ999">
        <v>75536</v>
      </c>
      <c r="AK999" s="30">
        <v>42863</v>
      </c>
      <c r="AL999" t="s">
        <v>405</v>
      </c>
      <c r="AM999">
        <v>48</v>
      </c>
      <c r="AN999" t="str">
        <f>VLOOKUP(Transaction[[#This Row],[Model No.]],$AV$2:$BD$100,2,TRUE)</f>
        <v>CH TOUR D'AURON</v>
      </c>
      <c r="AO999" s="21">
        <f>VLOOKUP(Transaction[[#This Row],[Model No.]],$AV$2:$BD$100,6,TRUE)</f>
        <v>15.99</v>
      </c>
      <c r="AP999" s="9">
        <v>2</v>
      </c>
      <c r="AQ999" s="5">
        <f>Transaction[[#This Row],[Price]]*Transaction[[#This Row],[Qty]]</f>
        <v>31.98</v>
      </c>
      <c r="AR999" s="5">
        <f>VLOOKUP(Transaction[[#This Row],[Model No.]],$AV$2:$BD$100,7,TRUE)*Transaction[[#This Row],[Qty]]</f>
        <v>12.792000000000002</v>
      </c>
      <c r="AS999">
        <v>1101</v>
      </c>
      <c r="AT999">
        <v>1018</v>
      </c>
    </row>
    <row r="1000" spans="36:46" x14ac:dyDescent="0.3">
      <c r="AJ1000">
        <v>14313</v>
      </c>
      <c r="AK1000" s="30">
        <v>42863</v>
      </c>
      <c r="AL1000" t="s">
        <v>537</v>
      </c>
      <c r="AM1000">
        <v>79</v>
      </c>
      <c r="AN1000" t="str">
        <f>VLOOKUP(Transaction[[#This Row],[Model No.]],$AV$2:$BD$100,2,TRUE)</f>
        <v>Baron Herzog Jeunesse Chardonnay</v>
      </c>
      <c r="AO1000" s="21">
        <f>VLOOKUP(Transaction[[#This Row],[Model No.]],$AV$2:$BD$100,6,TRUE)</f>
        <v>11.49</v>
      </c>
      <c r="AP1000" s="9">
        <v>2</v>
      </c>
      <c r="AQ1000" s="5">
        <f>Transaction[[#This Row],[Price]]*Transaction[[#This Row],[Qty]]</f>
        <v>22.98</v>
      </c>
      <c r="AR1000" s="5">
        <f>VLOOKUP(Transaction[[#This Row],[Model No.]],$AV$2:$BD$100,7,TRUE)*Transaction[[#This Row],[Qty]]</f>
        <v>4.5960000000000001</v>
      </c>
      <c r="AS1000">
        <v>1103</v>
      </c>
      <c r="AT1000">
        <v>1008</v>
      </c>
    </row>
    <row r="1001" spans="36:46" x14ac:dyDescent="0.3">
      <c r="AJ1001">
        <v>89052</v>
      </c>
      <c r="AK1001" s="30">
        <v>42863</v>
      </c>
      <c r="AL1001" t="s">
        <v>1181</v>
      </c>
      <c r="AM1001">
        <v>93</v>
      </c>
      <c r="AN1001" t="str">
        <f>VLOOKUP(Transaction[[#This Row],[Model No.]],$AV$2:$BD$100,2,TRUE)</f>
        <v>Beringer Vineyards Stone Cellars Shiraz</v>
      </c>
      <c r="AO1001" s="21">
        <f>VLOOKUP(Transaction[[#This Row],[Model No.]],$AV$2:$BD$100,6,TRUE)</f>
        <v>7.49</v>
      </c>
      <c r="AP1001" s="9">
        <v>3</v>
      </c>
      <c r="AQ1001" s="5">
        <f>Transaction[[#This Row],[Price]]*Transaction[[#This Row],[Qty]]</f>
        <v>22.47</v>
      </c>
      <c r="AR1001" s="5">
        <f>VLOOKUP(Transaction[[#This Row],[Model No.]],$AV$2:$BD$100,7,TRUE)*Transaction[[#This Row],[Qty]]</f>
        <v>2.2470000000000003</v>
      </c>
      <c r="AS1001">
        <v>1105</v>
      </c>
      <c r="AT1001">
        <v>1016</v>
      </c>
    </row>
    <row r="1002" spans="36:46" x14ac:dyDescent="0.3">
      <c r="AJ1002">
        <v>84425</v>
      </c>
      <c r="AK1002" s="30">
        <v>42866</v>
      </c>
      <c r="AL1002" t="s">
        <v>1565</v>
      </c>
      <c r="AM1002">
        <v>25</v>
      </c>
      <c r="AN1002" t="str">
        <f>VLOOKUP(Transaction[[#This Row],[Model No.]],$AV$2:$BD$100,2,TRUE)</f>
        <v>ICEHOUSE 4/6 LNNR - 24 Pack</v>
      </c>
      <c r="AO1002" s="21">
        <f>VLOOKUP(Transaction[[#This Row],[Model No.]],$AV$2:$BD$100,6,TRUE)</f>
        <v>23.99</v>
      </c>
      <c r="AP1002" s="9">
        <v>3</v>
      </c>
      <c r="AQ1002" s="5">
        <f>Transaction[[#This Row],[Price]]*Transaction[[#This Row],[Qty]]</f>
        <v>71.97</v>
      </c>
      <c r="AR1002" s="5">
        <f>VLOOKUP(Transaction[[#This Row],[Model No.]],$AV$2:$BD$100,7,TRUE)*Transaction[[#This Row],[Qty]]</f>
        <v>21.590999999999998</v>
      </c>
      <c r="AS1002">
        <v>1098</v>
      </c>
      <c r="AT1002">
        <v>1019</v>
      </c>
    </row>
    <row r="1003" spans="36:46" x14ac:dyDescent="0.3">
      <c r="AJ1003">
        <v>31764</v>
      </c>
      <c r="AK1003" s="30">
        <v>42870</v>
      </c>
      <c r="AL1003" t="s">
        <v>1911</v>
      </c>
      <c r="AM1003">
        <v>77</v>
      </c>
      <c r="AN1003" t="str">
        <f>VLOOKUP(Transaction[[#This Row],[Model No.]],$AV$2:$BD$100,2,TRUE)</f>
        <v>LA CHASSE PRETIGE CDR</v>
      </c>
      <c r="AO1003" s="21">
        <f>VLOOKUP(Transaction[[#This Row],[Model No.]],$AV$2:$BD$100,6,TRUE)</f>
        <v>11.99</v>
      </c>
      <c r="AP1003" s="9">
        <v>2</v>
      </c>
      <c r="AQ1003" s="5">
        <f>Transaction[[#This Row],[Price]]*Transaction[[#This Row],[Qty]]</f>
        <v>23.98</v>
      </c>
      <c r="AR1003" s="5">
        <f>VLOOKUP(Transaction[[#This Row],[Model No.]],$AV$2:$BD$100,7,TRUE)*Transaction[[#This Row],[Qty]]</f>
        <v>9.5920000000000005</v>
      </c>
      <c r="AS1003">
        <v>1102</v>
      </c>
      <c r="AT1003">
        <v>1006</v>
      </c>
    </row>
    <row r="1004" spans="36:46" x14ac:dyDescent="0.3">
      <c r="AJ1004">
        <v>41952</v>
      </c>
      <c r="AK1004" s="30">
        <v>42871</v>
      </c>
      <c r="AL1004" t="s">
        <v>1033</v>
      </c>
      <c r="AM1004">
        <v>13</v>
      </c>
      <c r="AN1004" t="str">
        <f>VLOOKUP(Transaction[[#This Row],[Model No.]],$AV$2:$BD$100,2,TRUE)</f>
        <v>Luxardo Maraschino Liqueur</v>
      </c>
      <c r="AO1004" s="21">
        <f>VLOOKUP(Transaction[[#This Row],[Model No.]],$AV$2:$BD$100,6,TRUE)</f>
        <v>36.99</v>
      </c>
      <c r="AP1004" s="9">
        <v>3</v>
      </c>
      <c r="AQ1004" s="5">
        <f>Transaction[[#This Row],[Price]]*Transaction[[#This Row],[Qty]]</f>
        <v>110.97</v>
      </c>
      <c r="AR1004" s="5">
        <f>VLOOKUP(Transaction[[#This Row],[Model No.]],$AV$2:$BD$100,7,TRUE)*Transaction[[#This Row],[Qty]]</f>
        <v>33.290999999999997</v>
      </c>
      <c r="AS1004">
        <v>1104</v>
      </c>
      <c r="AT1004">
        <v>1020</v>
      </c>
    </row>
    <row r="1005" spans="36:46" x14ac:dyDescent="0.3">
      <c r="AJ1005">
        <v>97430</v>
      </c>
      <c r="AK1005" s="30">
        <v>42871</v>
      </c>
      <c r="AL1005" t="s">
        <v>1812</v>
      </c>
      <c r="AM1005">
        <v>19</v>
      </c>
      <c r="AN1005" t="str">
        <f>VLOOKUP(Transaction[[#This Row],[Model No.]],$AV$2:$BD$100,2,TRUE)</f>
        <v>District Made Vodka</v>
      </c>
      <c r="AO1005" s="21">
        <f>VLOOKUP(Transaction[[#This Row],[Model No.]],$AV$2:$BD$100,6,TRUE)</f>
        <v>29.99</v>
      </c>
      <c r="AP1005" s="9">
        <v>2</v>
      </c>
      <c r="AQ1005" s="5">
        <f>Transaction[[#This Row],[Price]]*Transaction[[#This Row],[Qty]]</f>
        <v>59.98</v>
      </c>
      <c r="AR1005" s="5">
        <f>VLOOKUP(Transaction[[#This Row],[Model No.]],$AV$2:$BD$100,7,TRUE)*Transaction[[#This Row],[Qty]]</f>
        <v>17.994</v>
      </c>
      <c r="AS1005">
        <v>1104</v>
      </c>
      <c r="AT1005">
        <v>1003</v>
      </c>
    </row>
    <row r="1006" spans="36:46" x14ac:dyDescent="0.3">
      <c r="AJ1006">
        <v>21442</v>
      </c>
      <c r="AK1006" s="30">
        <v>42871</v>
      </c>
      <c r="AL1006" t="s">
        <v>1016</v>
      </c>
      <c r="AM1006">
        <v>56</v>
      </c>
      <c r="AN1006" t="str">
        <f>VLOOKUP(Transaction[[#This Row],[Model No.]],$AV$2:$BD$100,2,TRUE)</f>
        <v>Roy Pitz Sour Hound - 6 Pack</v>
      </c>
      <c r="AO1006" s="21">
        <f>VLOOKUP(Transaction[[#This Row],[Model No.]],$AV$2:$BD$100,6,TRUE)</f>
        <v>13.99</v>
      </c>
      <c r="AP1006" s="9">
        <v>1</v>
      </c>
      <c r="AQ1006" s="5">
        <f>Transaction[[#This Row],[Price]]*Transaction[[#This Row],[Qty]]</f>
        <v>13.99</v>
      </c>
      <c r="AR1006" s="5">
        <f>VLOOKUP(Transaction[[#This Row],[Model No.]],$AV$2:$BD$100,7,TRUE)*Transaction[[#This Row],[Qty]]</f>
        <v>4.1970000000000001</v>
      </c>
      <c r="AS1006">
        <v>1107</v>
      </c>
      <c r="AT1006">
        <v>1014</v>
      </c>
    </row>
    <row r="1007" spans="36:46" x14ac:dyDescent="0.3">
      <c r="AJ1007">
        <v>97741</v>
      </c>
      <c r="AK1007" s="30">
        <v>42872</v>
      </c>
      <c r="AL1007" t="s">
        <v>507</v>
      </c>
      <c r="AM1007">
        <v>42</v>
      </c>
      <c r="AN1007" t="str">
        <f>VLOOKUP(Transaction[[#This Row],[Model No.]],$AV$2:$BD$100,2,TRUE)</f>
        <v>Francis Ford Coppola Sofia Brut Rose Pinot Noir</v>
      </c>
      <c r="AO1007" s="21">
        <f>VLOOKUP(Transaction[[#This Row],[Model No.]],$AV$2:$BD$100,6,TRUE)</f>
        <v>16.989999999999998</v>
      </c>
      <c r="AP1007" s="9">
        <v>2</v>
      </c>
      <c r="AQ1007" s="5">
        <f>Transaction[[#This Row],[Price]]*Transaction[[#This Row],[Qty]]</f>
        <v>33.979999999999997</v>
      </c>
      <c r="AR1007" s="5">
        <f>VLOOKUP(Transaction[[#This Row],[Model No.]],$AV$2:$BD$100,7,TRUE)*Transaction[[#This Row],[Qty]]</f>
        <v>13.591999999999999</v>
      </c>
      <c r="AS1007">
        <v>1100</v>
      </c>
      <c r="AT1007">
        <v>1001</v>
      </c>
    </row>
    <row r="1008" spans="36:46" x14ac:dyDescent="0.3">
      <c r="AJ1008">
        <v>36421</v>
      </c>
      <c r="AK1008" s="30">
        <v>42872</v>
      </c>
      <c r="AL1008" t="s">
        <v>1277</v>
      </c>
      <c r="AM1008">
        <v>54</v>
      </c>
      <c r="AN1008" t="str">
        <f>VLOOKUP(Transaction[[#This Row],[Model No.]],$AV$2:$BD$100,2,TRUE)</f>
        <v>Pucker Cherry Tease Vodka</v>
      </c>
      <c r="AO1008" s="21">
        <f>VLOOKUP(Transaction[[#This Row],[Model No.]],$AV$2:$BD$100,6,TRUE)</f>
        <v>14.99</v>
      </c>
      <c r="AP1008" s="9">
        <v>4</v>
      </c>
      <c r="AQ1008" s="5">
        <f>Transaction[[#This Row],[Price]]*Transaction[[#This Row],[Qty]]</f>
        <v>59.96</v>
      </c>
      <c r="AR1008" s="5">
        <f>VLOOKUP(Transaction[[#This Row],[Model No.]],$AV$2:$BD$100,7,TRUE)*Transaction[[#This Row],[Qty]]</f>
        <v>17.988</v>
      </c>
      <c r="AS1008">
        <v>1098</v>
      </c>
      <c r="AT1008">
        <v>1020</v>
      </c>
    </row>
    <row r="1009" spans="36:46" x14ac:dyDescent="0.3">
      <c r="AJ1009">
        <v>78333</v>
      </c>
      <c r="AK1009" s="30">
        <v>42875</v>
      </c>
      <c r="AL1009" t="s">
        <v>945</v>
      </c>
      <c r="AM1009">
        <v>54</v>
      </c>
      <c r="AN1009" t="str">
        <f>VLOOKUP(Transaction[[#This Row],[Model No.]],$AV$2:$BD$100,2,TRUE)</f>
        <v>Pucker Cherry Tease Vodka</v>
      </c>
      <c r="AO1009" s="21">
        <f>VLOOKUP(Transaction[[#This Row],[Model No.]],$AV$2:$BD$100,6,TRUE)</f>
        <v>14.99</v>
      </c>
      <c r="AP1009" s="9">
        <v>3</v>
      </c>
      <c r="AQ1009" s="5">
        <f>Transaction[[#This Row],[Price]]*Transaction[[#This Row],[Qty]]</f>
        <v>44.97</v>
      </c>
      <c r="AR1009" s="5">
        <f>VLOOKUP(Transaction[[#This Row],[Model No.]],$AV$2:$BD$100,7,TRUE)*Transaction[[#This Row],[Qty]]</f>
        <v>13.491</v>
      </c>
      <c r="AS1009">
        <v>1103</v>
      </c>
      <c r="AT1009">
        <v>1000</v>
      </c>
    </row>
    <row r="1010" spans="36:46" x14ac:dyDescent="0.3">
      <c r="AJ1010">
        <v>23533</v>
      </c>
      <c r="AK1010" s="30">
        <v>42876</v>
      </c>
      <c r="AL1010" t="s">
        <v>1214</v>
      </c>
      <c r="AM1010">
        <v>30</v>
      </c>
      <c r="AN1010" t="str">
        <f>VLOOKUP(Transaction[[#This Row],[Model No.]],$AV$2:$BD$100,2,TRUE)</f>
        <v>Kahlua Cinnamon Spice Liqueur</v>
      </c>
      <c r="AO1010" s="21">
        <f>VLOOKUP(Transaction[[#This Row],[Model No.]],$AV$2:$BD$100,6,TRUE)</f>
        <v>22.99</v>
      </c>
      <c r="AP1010" s="9">
        <v>2</v>
      </c>
      <c r="AQ1010" s="5">
        <f>Transaction[[#This Row],[Price]]*Transaction[[#This Row],[Qty]]</f>
        <v>45.98</v>
      </c>
      <c r="AR1010" s="5">
        <f>VLOOKUP(Transaction[[#This Row],[Model No.]],$AV$2:$BD$100,7,TRUE)*Transaction[[#This Row],[Qty]]</f>
        <v>13.793999999999999</v>
      </c>
      <c r="AS1010">
        <v>1104</v>
      </c>
      <c r="AT1010">
        <v>1007</v>
      </c>
    </row>
    <row r="1011" spans="36:46" x14ac:dyDescent="0.3">
      <c r="AJ1011">
        <v>58987</v>
      </c>
      <c r="AK1011" s="30">
        <v>42876</v>
      </c>
      <c r="AL1011" t="s">
        <v>623</v>
      </c>
      <c r="AM1011">
        <v>74</v>
      </c>
      <c r="AN1011" t="str">
        <f>VLOOKUP(Transaction[[#This Row],[Model No.]],$AV$2:$BD$100,2,TRUE)</f>
        <v>UINTA PALE ALE NR - 6 Pack</v>
      </c>
      <c r="AO1011" s="21">
        <f>VLOOKUP(Transaction[[#This Row],[Model No.]],$AV$2:$BD$100,6,TRUE)</f>
        <v>11.99</v>
      </c>
      <c r="AP1011" s="9">
        <v>1</v>
      </c>
      <c r="AQ1011" s="5">
        <f>Transaction[[#This Row],[Price]]*Transaction[[#This Row],[Qty]]</f>
        <v>11.99</v>
      </c>
      <c r="AR1011" s="5">
        <f>VLOOKUP(Transaction[[#This Row],[Model No.]],$AV$2:$BD$100,7,TRUE)*Transaction[[#This Row],[Qty]]</f>
        <v>3.597</v>
      </c>
      <c r="AS1011">
        <v>1103</v>
      </c>
      <c r="AT1011">
        <v>1019</v>
      </c>
    </row>
    <row r="1012" spans="36:46" x14ac:dyDescent="0.3">
      <c r="AJ1012">
        <v>71221</v>
      </c>
      <c r="AK1012" s="30">
        <v>42877</v>
      </c>
      <c r="AL1012" t="s">
        <v>1167</v>
      </c>
      <c r="AM1012">
        <v>11</v>
      </c>
      <c r="AN1012" t="str">
        <f>VLOOKUP(Transaction[[#This Row],[Model No.]],$AV$2:$BD$100,2,TRUE)</f>
        <v>Kurant 1852 Crystal Limited Edition Vodka</v>
      </c>
      <c r="AO1012" s="21">
        <f>VLOOKUP(Transaction[[#This Row],[Model No.]],$AV$2:$BD$100,6,TRUE)</f>
        <v>40.99</v>
      </c>
      <c r="AP1012" s="9">
        <v>2</v>
      </c>
      <c r="AQ1012" s="5">
        <f>Transaction[[#This Row],[Price]]*Transaction[[#This Row],[Qty]]</f>
        <v>81.98</v>
      </c>
      <c r="AR1012" s="5">
        <f>VLOOKUP(Transaction[[#This Row],[Model No.]],$AV$2:$BD$100,7,TRUE)*Transaction[[#This Row],[Qty]]</f>
        <v>24.594000000000001</v>
      </c>
      <c r="AS1012">
        <v>1098</v>
      </c>
      <c r="AT1012">
        <v>1008</v>
      </c>
    </row>
    <row r="1013" spans="36:46" x14ac:dyDescent="0.3">
      <c r="AJ1013">
        <v>70002</v>
      </c>
      <c r="AK1013" s="30">
        <v>42877</v>
      </c>
      <c r="AL1013" t="s">
        <v>645</v>
      </c>
      <c r="AM1013">
        <v>24</v>
      </c>
      <c r="AN1013" t="str">
        <f>VLOOKUP(Transaction[[#This Row],[Model No.]],$AV$2:$BD$100,2,TRUE)</f>
        <v>Matchbook The Arsonist Bordeaux Blend</v>
      </c>
      <c r="AO1013" s="21">
        <f>VLOOKUP(Transaction[[#This Row],[Model No.]],$AV$2:$BD$100,6,TRUE)</f>
        <v>24.99</v>
      </c>
      <c r="AP1013" s="9">
        <v>2</v>
      </c>
      <c r="AQ1013" s="5">
        <f>Transaction[[#This Row],[Price]]*Transaction[[#This Row],[Qty]]</f>
        <v>49.98</v>
      </c>
      <c r="AR1013" s="5">
        <f>VLOOKUP(Transaction[[#This Row],[Model No.]],$AV$2:$BD$100,7,TRUE)*Transaction[[#This Row],[Qty]]</f>
        <v>4.9980000000000002</v>
      </c>
      <c r="AS1013">
        <v>1098</v>
      </c>
      <c r="AT1013">
        <v>1015</v>
      </c>
    </row>
    <row r="1014" spans="36:46" x14ac:dyDescent="0.3">
      <c r="AJ1014">
        <v>10779</v>
      </c>
      <c r="AK1014" s="30">
        <v>42877</v>
      </c>
      <c r="AL1014" t="s">
        <v>1332</v>
      </c>
      <c r="AM1014">
        <v>49</v>
      </c>
      <c r="AN1014" t="str">
        <f>VLOOKUP(Transaction[[#This Row],[Model No.]],$AV$2:$BD$100,2,TRUE)</f>
        <v>Marchesi di Barolo Ruvei Barbera d'Alba</v>
      </c>
      <c r="AO1014" s="21">
        <f>VLOOKUP(Transaction[[#This Row],[Model No.]],$AV$2:$BD$100,6,TRUE)</f>
        <v>15.99</v>
      </c>
      <c r="AP1014" s="9">
        <v>4</v>
      </c>
      <c r="AQ1014" s="5">
        <f>Transaction[[#This Row],[Price]]*Transaction[[#This Row],[Qty]]</f>
        <v>63.96</v>
      </c>
      <c r="AR1014" s="5">
        <f>VLOOKUP(Transaction[[#This Row],[Model No.]],$AV$2:$BD$100,7,TRUE)*Transaction[[#This Row],[Qty]]</f>
        <v>6.3960000000000008</v>
      </c>
      <c r="AS1014">
        <v>1101</v>
      </c>
      <c r="AT1014">
        <v>1021</v>
      </c>
    </row>
    <row r="1015" spans="36:46" x14ac:dyDescent="0.3">
      <c r="AJ1015">
        <v>15104</v>
      </c>
      <c r="AK1015" s="30">
        <v>42877</v>
      </c>
      <c r="AL1015" t="s">
        <v>1449</v>
      </c>
      <c r="AM1015">
        <v>96</v>
      </c>
      <c r="AN1015" t="str">
        <f>VLOOKUP(Transaction[[#This Row],[Model No.]],$AV$2:$BD$100,2,TRUE)</f>
        <v>Arbor Mist Blackberry Merlot</v>
      </c>
      <c r="AO1015" s="21">
        <f>VLOOKUP(Transaction[[#This Row],[Model No.]],$AV$2:$BD$100,6,TRUE)</f>
        <v>6.19</v>
      </c>
      <c r="AP1015" s="9">
        <v>5</v>
      </c>
      <c r="AQ1015" s="5">
        <f>Transaction[[#This Row],[Price]]*Transaction[[#This Row],[Qty]]</f>
        <v>30.950000000000003</v>
      </c>
      <c r="AR1015" s="5">
        <f>VLOOKUP(Transaction[[#This Row],[Model No.]],$AV$2:$BD$100,7,TRUE)*Transaction[[#This Row],[Qty]]</f>
        <v>3.0950000000000006</v>
      </c>
      <c r="AS1015">
        <v>1101</v>
      </c>
      <c r="AT1015">
        <v>1001</v>
      </c>
    </row>
    <row r="1016" spans="36:46" x14ac:dyDescent="0.3">
      <c r="AJ1016">
        <v>67086</v>
      </c>
      <c r="AK1016" s="30">
        <v>42878</v>
      </c>
      <c r="AL1016" t="s">
        <v>1070</v>
      </c>
      <c r="AM1016">
        <v>1</v>
      </c>
      <c r="AN1016" t="str">
        <f>VLOOKUP(Transaction[[#This Row],[Model No.]],$AV$2:$BD$100,2,TRUE)</f>
        <v>Forager's Keep 26 Year Old Single Malt Scotch Whisky</v>
      </c>
      <c r="AO1016" s="21">
        <f>VLOOKUP(Transaction[[#This Row],[Model No.]],$AV$2:$BD$100,6,TRUE)</f>
        <v>325.99</v>
      </c>
      <c r="AP1016" s="9">
        <v>1</v>
      </c>
      <c r="AQ1016" s="5">
        <f>Transaction[[#This Row],[Price]]*Transaction[[#This Row],[Qty]]</f>
        <v>325.99</v>
      </c>
      <c r="AR1016" s="5">
        <f>VLOOKUP(Transaction[[#This Row],[Model No.]],$AV$2:$BD$100,7,TRUE)*Transaction[[#This Row],[Qty]]</f>
        <v>97.796999999999997</v>
      </c>
      <c r="AS1016">
        <v>1102</v>
      </c>
      <c r="AT1016">
        <v>1004</v>
      </c>
    </row>
    <row r="1017" spans="36:46" x14ac:dyDescent="0.3">
      <c r="AJ1017">
        <v>29595</v>
      </c>
      <c r="AK1017" s="30">
        <v>42879</v>
      </c>
      <c r="AL1017" t="s">
        <v>1466</v>
      </c>
      <c r="AM1017">
        <v>45</v>
      </c>
      <c r="AN1017" t="str">
        <f>VLOOKUP(Transaction[[#This Row],[Model No.]],$AV$2:$BD$100,2,TRUE)</f>
        <v>Sixpoint Resin - 6 Pack</v>
      </c>
      <c r="AO1017" s="21">
        <f>VLOOKUP(Transaction[[#This Row],[Model No.]],$AV$2:$BD$100,6,TRUE)</f>
        <v>15.99</v>
      </c>
      <c r="AP1017" s="9">
        <v>1</v>
      </c>
      <c r="AQ1017" s="5">
        <f>Transaction[[#This Row],[Price]]*Transaction[[#This Row],[Qty]]</f>
        <v>15.99</v>
      </c>
      <c r="AR1017" s="5">
        <f>VLOOKUP(Transaction[[#This Row],[Model No.]],$AV$2:$BD$100,7,TRUE)*Transaction[[#This Row],[Qty]]</f>
        <v>4.7969999999999997</v>
      </c>
      <c r="AS1017">
        <v>1102</v>
      </c>
      <c r="AT1017">
        <v>1020</v>
      </c>
    </row>
    <row r="1018" spans="36:46" x14ac:dyDescent="0.3">
      <c r="AJ1018">
        <v>65100</v>
      </c>
      <c r="AK1018" s="30">
        <v>42879</v>
      </c>
      <c r="AL1018" t="s">
        <v>512</v>
      </c>
      <c r="AM1018">
        <v>56</v>
      </c>
      <c r="AN1018" t="str">
        <f>VLOOKUP(Transaction[[#This Row],[Model No.]],$AV$2:$BD$100,2,TRUE)</f>
        <v>Roy Pitz Sour Hound - 6 Pack</v>
      </c>
      <c r="AO1018" s="21">
        <f>VLOOKUP(Transaction[[#This Row],[Model No.]],$AV$2:$BD$100,6,TRUE)</f>
        <v>13.99</v>
      </c>
      <c r="AP1018" s="9">
        <v>4</v>
      </c>
      <c r="AQ1018" s="5">
        <f>Transaction[[#This Row],[Price]]*Transaction[[#This Row],[Qty]]</f>
        <v>55.96</v>
      </c>
      <c r="AR1018" s="5">
        <f>VLOOKUP(Transaction[[#This Row],[Model No.]],$AV$2:$BD$100,7,TRUE)*Transaction[[#This Row],[Qty]]</f>
        <v>16.788</v>
      </c>
      <c r="AS1018">
        <v>1101</v>
      </c>
      <c r="AT1018">
        <v>1011</v>
      </c>
    </row>
    <row r="1019" spans="36:46" x14ac:dyDescent="0.3">
      <c r="AJ1019">
        <v>40644</v>
      </c>
      <c r="AK1019" s="30">
        <v>42879</v>
      </c>
      <c r="AL1019" t="s">
        <v>1022</v>
      </c>
      <c r="AM1019">
        <v>57</v>
      </c>
      <c r="AN1019" t="str">
        <f>VLOOKUP(Transaction[[#This Row],[Model No.]],$AV$2:$BD$100,2,TRUE)</f>
        <v>Familia Dante Twelve Months Oak Aged Toscana IGT Sangiovese</v>
      </c>
      <c r="AO1019" s="21">
        <f>VLOOKUP(Transaction[[#This Row],[Model No.]],$AV$2:$BD$100,6,TRUE)</f>
        <v>13.69</v>
      </c>
      <c r="AP1019" s="9">
        <v>2</v>
      </c>
      <c r="AQ1019" s="5">
        <f>Transaction[[#This Row],[Price]]*Transaction[[#This Row],[Qty]]</f>
        <v>27.38</v>
      </c>
      <c r="AR1019" s="5">
        <f>VLOOKUP(Transaction[[#This Row],[Model No.]],$AV$2:$BD$100,7,TRUE)*Transaction[[#This Row],[Qty]]</f>
        <v>2.738</v>
      </c>
      <c r="AS1019">
        <v>1106</v>
      </c>
      <c r="AT1019">
        <v>1015</v>
      </c>
    </row>
    <row r="1020" spans="36:46" x14ac:dyDescent="0.3">
      <c r="AJ1020">
        <v>92118</v>
      </c>
      <c r="AK1020" s="30">
        <v>42880</v>
      </c>
      <c r="AL1020" t="s">
        <v>456</v>
      </c>
      <c r="AM1020">
        <v>77</v>
      </c>
      <c r="AN1020" t="str">
        <f>VLOOKUP(Transaction[[#This Row],[Model No.]],$AV$2:$BD$100,2,TRUE)</f>
        <v>LA CHASSE PRETIGE CDR</v>
      </c>
      <c r="AO1020" s="21">
        <f>VLOOKUP(Transaction[[#This Row],[Model No.]],$AV$2:$BD$100,6,TRUE)</f>
        <v>11.99</v>
      </c>
      <c r="AP1020" s="9">
        <v>3</v>
      </c>
      <c r="AQ1020" s="5">
        <f>Transaction[[#This Row],[Price]]*Transaction[[#This Row],[Qty]]</f>
        <v>35.97</v>
      </c>
      <c r="AR1020" s="5">
        <f>VLOOKUP(Transaction[[#This Row],[Model No.]],$AV$2:$BD$100,7,TRUE)*Transaction[[#This Row],[Qty]]</f>
        <v>14.388000000000002</v>
      </c>
      <c r="AS1020">
        <v>1101</v>
      </c>
      <c r="AT1020">
        <v>1014</v>
      </c>
    </row>
    <row r="1021" spans="36:46" x14ac:dyDescent="0.3">
      <c r="AJ1021">
        <v>30628</v>
      </c>
      <c r="AK1021" s="30">
        <v>42880</v>
      </c>
      <c r="AL1021" t="s">
        <v>1339</v>
      </c>
      <c r="AM1021">
        <v>93</v>
      </c>
      <c r="AN1021" t="str">
        <f>VLOOKUP(Transaction[[#This Row],[Model No.]],$AV$2:$BD$100,2,TRUE)</f>
        <v>Beringer Vineyards Stone Cellars Shiraz</v>
      </c>
      <c r="AO1021" s="21">
        <f>VLOOKUP(Transaction[[#This Row],[Model No.]],$AV$2:$BD$100,6,TRUE)</f>
        <v>7.49</v>
      </c>
      <c r="AP1021" s="9">
        <v>4</v>
      </c>
      <c r="AQ1021" s="5">
        <f>Transaction[[#This Row],[Price]]*Transaction[[#This Row],[Qty]]</f>
        <v>29.96</v>
      </c>
      <c r="AR1021" s="5">
        <f>VLOOKUP(Transaction[[#This Row],[Model No.]],$AV$2:$BD$100,7,TRUE)*Transaction[[#This Row],[Qty]]</f>
        <v>2.9960000000000004</v>
      </c>
      <c r="AS1021">
        <v>1099</v>
      </c>
      <c r="AT1021">
        <v>1020</v>
      </c>
    </row>
    <row r="1022" spans="36:46" x14ac:dyDescent="0.3">
      <c r="AJ1022">
        <v>73776</v>
      </c>
      <c r="AK1022" s="30">
        <v>42881</v>
      </c>
      <c r="AL1022" t="s">
        <v>1605</v>
      </c>
      <c r="AM1022">
        <v>36</v>
      </c>
      <c r="AN1022" t="str">
        <f>VLOOKUP(Transaction[[#This Row],[Model No.]],$AV$2:$BD$100,2,TRUE)</f>
        <v>Patricius Reserve Dry Furmint</v>
      </c>
      <c r="AO1022" s="21">
        <f>VLOOKUP(Transaction[[#This Row],[Model No.]],$AV$2:$BD$100,6,TRUE)</f>
        <v>20.99</v>
      </c>
      <c r="AP1022" s="9">
        <v>1</v>
      </c>
      <c r="AQ1022" s="5">
        <f>Transaction[[#This Row],[Price]]*Transaction[[#This Row],[Qty]]</f>
        <v>20.99</v>
      </c>
      <c r="AR1022" s="5">
        <f>VLOOKUP(Transaction[[#This Row],[Model No.]],$AV$2:$BD$100,7,TRUE)*Transaction[[#This Row],[Qty]]</f>
        <v>2.0989999999999998</v>
      </c>
      <c r="AS1022">
        <v>1107</v>
      </c>
      <c r="AT1022">
        <v>1021</v>
      </c>
    </row>
    <row r="1023" spans="36:46" x14ac:dyDescent="0.3">
      <c r="AJ1023">
        <v>96619</v>
      </c>
      <c r="AK1023" s="30">
        <v>42881</v>
      </c>
      <c r="AL1023" t="s">
        <v>1447</v>
      </c>
      <c r="AM1023">
        <v>72</v>
      </c>
      <c r="AN1023" t="str">
        <f>VLOOKUP(Transaction[[#This Row],[Model No.]],$AV$2:$BD$100,2,TRUE)</f>
        <v>Pearl Wedding Cake Vodka</v>
      </c>
      <c r="AO1023" s="21">
        <f>VLOOKUP(Transaction[[#This Row],[Model No.]],$AV$2:$BD$100,6,TRUE)</f>
        <v>12.49</v>
      </c>
      <c r="AP1023" s="9">
        <v>3</v>
      </c>
      <c r="AQ1023" s="5">
        <f>Transaction[[#This Row],[Price]]*Transaction[[#This Row],[Qty]]</f>
        <v>37.47</v>
      </c>
      <c r="AR1023" s="5">
        <f>VLOOKUP(Transaction[[#This Row],[Model No.]],$AV$2:$BD$100,7,TRUE)*Transaction[[#This Row],[Qty]]</f>
        <v>11.241</v>
      </c>
      <c r="AS1023">
        <v>1103</v>
      </c>
      <c r="AT1023">
        <v>1021</v>
      </c>
    </row>
    <row r="1024" spans="36:46" x14ac:dyDescent="0.3">
      <c r="AJ1024">
        <v>96017</v>
      </c>
      <c r="AK1024" s="30">
        <v>42882</v>
      </c>
      <c r="AL1024" t="s">
        <v>1452</v>
      </c>
      <c r="AM1024">
        <v>36</v>
      </c>
      <c r="AN1024" t="str">
        <f>VLOOKUP(Transaction[[#This Row],[Model No.]],$AV$2:$BD$100,2,TRUE)</f>
        <v>Patricius Reserve Dry Furmint</v>
      </c>
      <c r="AO1024" s="21">
        <f>VLOOKUP(Transaction[[#This Row],[Model No.]],$AV$2:$BD$100,6,TRUE)</f>
        <v>20.99</v>
      </c>
      <c r="AP1024" s="9">
        <v>2</v>
      </c>
      <c r="AQ1024" s="5">
        <f>Transaction[[#This Row],[Price]]*Transaction[[#This Row],[Qty]]</f>
        <v>41.98</v>
      </c>
      <c r="AR1024" s="5">
        <f>VLOOKUP(Transaction[[#This Row],[Model No.]],$AV$2:$BD$100,7,TRUE)*Transaction[[#This Row],[Qty]]</f>
        <v>4.1979999999999995</v>
      </c>
      <c r="AS1024">
        <v>1105</v>
      </c>
      <c r="AT1024">
        <v>1019</v>
      </c>
    </row>
    <row r="1025" spans="36:46" x14ac:dyDescent="0.3">
      <c r="AJ1025">
        <v>75958</v>
      </c>
      <c r="AK1025" s="30">
        <v>42884</v>
      </c>
      <c r="AL1025" t="s">
        <v>1599</v>
      </c>
      <c r="AM1025">
        <v>7</v>
      </c>
      <c r="AN1025" t="str">
        <f>VLOOKUP(Transaction[[#This Row],[Model No.]],$AV$2:$BD$100,2,TRUE)</f>
        <v>Glenkinchie Distillers Edition Single Malt Scotch Whisky</v>
      </c>
      <c r="AO1025" s="21">
        <f>VLOOKUP(Transaction[[#This Row],[Model No.]],$AV$2:$BD$100,6,TRUE)</f>
        <v>45.99</v>
      </c>
      <c r="AP1025" s="9">
        <v>5</v>
      </c>
      <c r="AQ1025" s="5">
        <f>Transaction[[#This Row],[Price]]*Transaction[[#This Row],[Qty]]</f>
        <v>229.95000000000002</v>
      </c>
      <c r="AR1025" s="5">
        <f>VLOOKUP(Transaction[[#This Row],[Model No.]],$AV$2:$BD$100,7,TRUE)*Transaction[[#This Row],[Qty]]</f>
        <v>68.984999999999999</v>
      </c>
      <c r="AS1025">
        <v>1101</v>
      </c>
      <c r="AT1025">
        <v>1013</v>
      </c>
    </row>
    <row r="1026" spans="36:46" x14ac:dyDescent="0.3">
      <c r="AJ1026">
        <v>25983</v>
      </c>
      <c r="AK1026" s="30">
        <v>42884</v>
      </c>
      <c r="AL1026" t="s">
        <v>1742</v>
      </c>
      <c r="AM1026">
        <v>13</v>
      </c>
      <c r="AN1026" t="str">
        <f>VLOOKUP(Transaction[[#This Row],[Model No.]],$AV$2:$BD$100,2,TRUE)</f>
        <v>Luxardo Maraschino Liqueur</v>
      </c>
      <c r="AO1026" s="21">
        <f>VLOOKUP(Transaction[[#This Row],[Model No.]],$AV$2:$BD$100,6,TRUE)</f>
        <v>36.99</v>
      </c>
      <c r="AP1026" s="9">
        <v>3</v>
      </c>
      <c r="AQ1026" s="5">
        <f>Transaction[[#This Row],[Price]]*Transaction[[#This Row],[Qty]]</f>
        <v>110.97</v>
      </c>
      <c r="AR1026" s="5">
        <f>VLOOKUP(Transaction[[#This Row],[Model No.]],$AV$2:$BD$100,7,TRUE)*Transaction[[#This Row],[Qty]]</f>
        <v>33.290999999999997</v>
      </c>
      <c r="AS1026">
        <v>1105</v>
      </c>
      <c r="AT1026">
        <v>1014</v>
      </c>
    </row>
    <row r="1027" spans="36:46" x14ac:dyDescent="0.3">
      <c r="AJ1027">
        <v>69220</v>
      </c>
      <c r="AK1027" s="30">
        <v>42884</v>
      </c>
      <c r="AL1027" t="s">
        <v>1672</v>
      </c>
      <c r="AM1027">
        <v>95</v>
      </c>
      <c r="AN1027" t="str">
        <f>VLOOKUP(Transaction[[#This Row],[Model No.]],$AV$2:$BD$100,2,TRUE)</f>
        <v>Kuromatsu Hakushika Chokara Extra Dry Sake</v>
      </c>
      <c r="AO1027" s="21">
        <f>VLOOKUP(Transaction[[#This Row],[Model No.]],$AV$2:$BD$100,6,TRUE)</f>
        <v>7.49</v>
      </c>
      <c r="AP1027" s="9">
        <v>5</v>
      </c>
      <c r="AQ1027" s="5">
        <f>Transaction[[#This Row],[Price]]*Transaction[[#This Row],[Qty]]</f>
        <v>37.450000000000003</v>
      </c>
      <c r="AR1027" s="5">
        <f>VLOOKUP(Transaction[[#This Row],[Model No.]],$AV$2:$BD$100,7,TRUE)*Transaction[[#This Row],[Qty]]</f>
        <v>3.7450000000000006</v>
      </c>
      <c r="AS1027">
        <v>1108</v>
      </c>
      <c r="AT1027">
        <v>1009</v>
      </c>
    </row>
    <row r="1028" spans="36:46" x14ac:dyDescent="0.3">
      <c r="AJ1028">
        <v>83135</v>
      </c>
      <c r="AK1028" s="30">
        <v>42885</v>
      </c>
      <c r="AL1028" t="s">
        <v>1376</v>
      </c>
      <c r="AM1028">
        <v>50</v>
      </c>
      <c r="AN1028" t="str">
        <f>VLOOKUP(Transaction[[#This Row],[Model No.]],$AV$2:$BD$100,2,TRUE)</f>
        <v>CLOS DU BOIS ROSE</v>
      </c>
      <c r="AO1028" s="21">
        <f>VLOOKUP(Transaction[[#This Row],[Model No.]],$AV$2:$BD$100,6,TRUE)</f>
        <v>14.99</v>
      </c>
      <c r="AP1028" s="9">
        <v>4</v>
      </c>
      <c r="AQ1028" s="5">
        <f>Transaction[[#This Row],[Price]]*Transaction[[#This Row],[Qty]]</f>
        <v>59.96</v>
      </c>
      <c r="AR1028" s="5">
        <f>VLOOKUP(Transaction[[#This Row],[Model No.]],$AV$2:$BD$100,7,TRUE)*Transaction[[#This Row],[Qty]]</f>
        <v>23.984000000000002</v>
      </c>
      <c r="AS1028">
        <v>1107</v>
      </c>
      <c r="AT1028">
        <v>1020</v>
      </c>
    </row>
    <row r="1029" spans="36:46" x14ac:dyDescent="0.3">
      <c r="AJ1029">
        <v>70387</v>
      </c>
      <c r="AK1029" s="30">
        <v>42885</v>
      </c>
      <c r="AL1029" t="s">
        <v>1151</v>
      </c>
      <c r="AM1029">
        <v>64</v>
      </c>
      <c r="AN1029" t="str">
        <f>VLOOKUP(Transaction[[#This Row],[Model No.]],$AV$2:$BD$100,2,TRUE)</f>
        <v>Maui Brewing Big Swell IPA - 6 Pack</v>
      </c>
      <c r="AO1029" s="21">
        <f>VLOOKUP(Transaction[[#This Row],[Model No.]],$AV$2:$BD$100,6,TRUE)</f>
        <v>12.99</v>
      </c>
      <c r="AP1029" s="9">
        <v>3</v>
      </c>
      <c r="AQ1029" s="5">
        <f>Transaction[[#This Row],[Price]]*Transaction[[#This Row],[Qty]]</f>
        <v>38.97</v>
      </c>
      <c r="AR1029" s="5">
        <f>VLOOKUP(Transaction[[#This Row],[Model No.]],$AV$2:$BD$100,7,TRUE)*Transaction[[#This Row],[Qty]]</f>
        <v>11.690999999999999</v>
      </c>
      <c r="AS1029">
        <v>1102</v>
      </c>
      <c r="AT1029">
        <v>1003</v>
      </c>
    </row>
    <row r="1030" spans="36:46" x14ac:dyDescent="0.3">
      <c r="AJ1030">
        <v>80435</v>
      </c>
      <c r="AK1030" s="30">
        <v>42885</v>
      </c>
      <c r="AL1030" t="s">
        <v>574</v>
      </c>
      <c r="AM1030">
        <v>96</v>
      </c>
      <c r="AN1030" t="str">
        <f>VLOOKUP(Transaction[[#This Row],[Model No.]],$AV$2:$BD$100,2,TRUE)</f>
        <v>Arbor Mist Blackberry Merlot</v>
      </c>
      <c r="AO1030" s="21">
        <f>VLOOKUP(Transaction[[#This Row],[Model No.]],$AV$2:$BD$100,6,TRUE)</f>
        <v>6.19</v>
      </c>
      <c r="AP1030" s="9">
        <v>3</v>
      </c>
      <c r="AQ1030" s="5">
        <f>Transaction[[#This Row],[Price]]*Transaction[[#This Row],[Qty]]</f>
        <v>18.57</v>
      </c>
      <c r="AR1030" s="5">
        <f>VLOOKUP(Transaction[[#This Row],[Model No.]],$AV$2:$BD$100,7,TRUE)*Transaction[[#This Row],[Qty]]</f>
        <v>1.8570000000000002</v>
      </c>
      <c r="AS1030">
        <v>1108</v>
      </c>
      <c r="AT1030">
        <v>1000</v>
      </c>
    </row>
    <row r="1031" spans="36:46" x14ac:dyDescent="0.3">
      <c r="AJ1031">
        <v>77818</v>
      </c>
      <c r="AK1031" s="30">
        <v>42886</v>
      </c>
      <c r="AL1031" t="s">
        <v>601</v>
      </c>
      <c r="AM1031">
        <v>7</v>
      </c>
      <c r="AN1031" t="str">
        <f>VLOOKUP(Transaction[[#This Row],[Model No.]],$AV$2:$BD$100,2,TRUE)</f>
        <v>Glenkinchie Distillers Edition Single Malt Scotch Whisky</v>
      </c>
      <c r="AO1031" s="21">
        <f>VLOOKUP(Transaction[[#This Row],[Model No.]],$AV$2:$BD$100,6,TRUE)</f>
        <v>45.99</v>
      </c>
      <c r="AP1031" s="9">
        <v>1</v>
      </c>
      <c r="AQ1031" s="5">
        <f>Transaction[[#This Row],[Price]]*Transaction[[#This Row],[Qty]]</f>
        <v>45.99</v>
      </c>
      <c r="AR1031" s="5">
        <f>VLOOKUP(Transaction[[#This Row],[Model No.]],$AV$2:$BD$100,7,TRUE)*Transaction[[#This Row],[Qty]]</f>
        <v>13.797000000000001</v>
      </c>
      <c r="AS1031">
        <v>1099</v>
      </c>
      <c r="AT1031">
        <v>1002</v>
      </c>
    </row>
    <row r="1032" spans="36:46" x14ac:dyDescent="0.3">
      <c r="AJ1032">
        <v>86956</v>
      </c>
      <c r="AK1032" s="30">
        <v>42886</v>
      </c>
      <c r="AL1032" t="s">
        <v>872</v>
      </c>
      <c r="AM1032">
        <v>82</v>
      </c>
      <c r="AN1032" t="str">
        <f>VLOOKUP(Transaction[[#This Row],[Model No.]],$AV$2:$BD$100,2,TRUE)</f>
        <v>PInnacle Chocolate Whipped Vodka</v>
      </c>
      <c r="AO1032" s="21">
        <f>VLOOKUP(Transaction[[#This Row],[Model No.]],$AV$2:$BD$100,6,TRUE)</f>
        <v>10.99</v>
      </c>
      <c r="AP1032" s="9">
        <v>2</v>
      </c>
      <c r="AQ1032" s="5">
        <f>Transaction[[#This Row],[Price]]*Transaction[[#This Row],[Qty]]</f>
        <v>21.98</v>
      </c>
      <c r="AR1032" s="5">
        <f>VLOOKUP(Transaction[[#This Row],[Model No.]],$AV$2:$BD$100,7,TRUE)*Transaction[[#This Row],[Qty]]</f>
        <v>6.5940000000000003</v>
      </c>
      <c r="AS1032">
        <v>1102</v>
      </c>
      <c r="AT1032">
        <v>1004</v>
      </c>
    </row>
    <row r="1033" spans="36:46" x14ac:dyDescent="0.3">
      <c r="AJ1033">
        <v>11221</v>
      </c>
      <c r="AK1033" s="30">
        <v>42889</v>
      </c>
      <c r="AL1033" t="s">
        <v>1209</v>
      </c>
      <c r="AM1033">
        <v>54</v>
      </c>
      <c r="AN1033" t="str">
        <f>VLOOKUP(Transaction[[#This Row],[Model No.]],$AV$2:$BD$100,2,TRUE)</f>
        <v>Pucker Cherry Tease Vodka</v>
      </c>
      <c r="AO1033" s="21">
        <f>VLOOKUP(Transaction[[#This Row],[Model No.]],$AV$2:$BD$100,6,TRUE)</f>
        <v>14.99</v>
      </c>
      <c r="AP1033" s="9">
        <v>4</v>
      </c>
      <c r="AQ1033" s="5">
        <f>Transaction[[#This Row],[Price]]*Transaction[[#This Row],[Qty]]</f>
        <v>59.96</v>
      </c>
      <c r="AR1033" s="5">
        <f>VLOOKUP(Transaction[[#This Row],[Model No.]],$AV$2:$BD$100,7,TRUE)*Transaction[[#This Row],[Qty]]</f>
        <v>17.988</v>
      </c>
      <c r="AS1033">
        <v>1103</v>
      </c>
      <c r="AT1033">
        <v>1001</v>
      </c>
    </row>
    <row r="1034" spans="36:46" x14ac:dyDescent="0.3">
      <c r="AJ1034">
        <v>92944</v>
      </c>
      <c r="AK1034" s="30">
        <v>42891</v>
      </c>
      <c r="AL1034" t="s">
        <v>360</v>
      </c>
      <c r="AM1034">
        <v>13</v>
      </c>
      <c r="AN1034" t="str">
        <f>VLOOKUP(Transaction[[#This Row],[Model No.]],$AV$2:$BD$100,2,TRUE)</f>
        <v>Luxardo Maraschino Liqueur</v>
      </c>
      <c r="AO1034" s="21">
        <f>VLOOKUP(Transaction[[#This Row],[Model No.]],$AV$2:$BD$100,6,TRUE)</f>
        <v>36.99</v>
      </c>
      <c r="AP1034" s="9">
        <v>5</v>
      </c>
      <c r="AQ1034" s="5">
        <f>Transaction[[#This Row],[Price]]*Transaction[[#This Row],[Qty]]</f>
        <v>184.95000000000002</v>
      </c>
      <c r="AR1034" s="5">
        <f>VLOOKUP(Transaction[[#This Row],[Model No.]],$AV$2:$BD$100,7,TRUE)*Transaction[[#This Row],[Qty]]</f>
        <v>55.484999999999999</v>
      </c>
      <c r="AS1034">
        <v>1108</v>
      </c>
      <c r="AT1034">
        <v>1013</v>
      </c>
    </row>
    <row r="1035" spans="36:46" x14ac:dyDescent="0.3">
      <c r="AJ1035">
        <v>92103</v>
      </c>
      <c r="AK1035" s="30">
        <v>42891</v>
      </c>
      <c r="AL1035" t="s">
        <v>1503</v>
      </c>
      <c r="AM1035">
        <v>66</v>
      </c>
      <c r="AN1035" t="str">
        <f>VLOOKUP(Transaction[[#This Row],[Model No.]],$AV$2:$BD$100,2,TRUE)</f>
        <v>Red Horse Beer - 6 Pack</v>
      </c>
      <c r="AO1035" s="21">
        <f>VLOOKUP(Transaction[[#This Row],[Model No.]],$AV$2:$BD$100,6,TRUE)</f>
        <v>12.99</v>
      </c>
      <c r="AP1035" s="9">
        <v>1</v>
      </c>
      <c r="AQ1035" s="5">
        <f>Transaction[[#This Row],[Price]]*Transaction[[#This Row],[Qty]]</f>
        <v>12.99</v>
      </c>
      <c r="AR1035" s="5">
        <f>VLOOKUP(Transaction[[#This Row],[Model No.]],$AV$2:$BD$100,7,TRUE)*Transaction[[#This Row],[Qty]]</f>
        <v>3.8969999999999998</v>
      </c>
      <c r="AS1035">
        <v>1105</v>
      </c>
      <c r="AT1035">
        <v>1007</v>
      </c>
    </row>
    <row r="1036" spans="36:46" x14ac:dyDescent="0.3">
      <c r="AJ1036">
        <v>93225</v>
      </c>
      <c r="AK1036" s="30">
        <v>42893</v>
      </c>
      <c r="AL1036" t="s">
        <v>1708</v>
      </c>
      <c r="AM1036">
        <v>9</v>
      </c>
      <c r="AN1036" t="str">
        <f>VLOOKUP(Transaction[[#This Row],[Model No.]],$AV$2:$BD$100,2,TRUE)</f>
        <v>Ass Kisser Double IPA - 12 Pack</v>
      </c>
      <c r="AO1036" s="21">
        <f>VLOOKUP(Transaction[[#This Row],[Model No.]],$AV$2:$BD$100,6,TRUE)</f>
        <v>43.99</v>
      </c>
      <c r="AP1036" s="9">
        <v>3</v>
      </c>
      <c r="AQ1036" s="5">
        <f>Transaction[[#This Row],[Price]]*Transaction[[#This Row],[Qty]]</f>
        <v>131.97</v>
      </c>
      <c r="AR1036" s="5">
        <f>VLOOKUP(Transaction[[#This Row],[Model No.]],$AV$2:$BD$100,7,TRUE)*Transaction[[#This Row],[Qty]]</f>
        <v>39.591000000000001</v>
      </c>
      <c r="AS1036">
        <v>1101</v>
      </c>
      <c r="AT1036">
        <v>1003</v>
      </c>
    </row>
    <row r="1037" spans="36:46" x14ac:dyDescent="0.3">
      <c r="AJ1037">
        <v>26486</v>
      </c>
      <c r="AK1037" s="30">
        <v>42893</v>
      </c>
      <c r="AL1037" t="s">
        <v>1767</v>
      </c>
      <c r="AM1037">
        <v>59</v>
      </c>
      <c r="AN1037" t="str">
        <f>VLOOKUP(Transaction[[#This Row],[Model No.]],$AV$2:$BD$100,2,TRUE)</f>
        <v>Smirnoff Kissed Caramel Vodka</v>
      </c>
      <c r="AO1037" s="21">
        <f>VLOOKUP(Transaction[[#This Row],[Model No.]],$AV$2:$BD$100,6,TRUE)</f>
        <v>13.49</v>
      </c>
      <c r="AP1037" s="9">
        <v>1</v>
      </c>
      <c r="AQ1037" s="5">
        <f>Transaction[[#This Row],[Price]]*Transaction[[#This Row],[Qty]]</f>
        <v>13.49</v>
      </c>
      <c r="AR1037" s="5">
        <f>VLOOKUP(Transaction[[#This Row],[Model No.]],$AV$2:$BD$100,7,TRUE)*Transaction[[#This Row],[Qty]]</f>
        <v>4.0469999999999997</v>
      </c>
      <c r="AS1037">
        <v>1098</v>
      </c>
      <c r="AT1037">
        <v>1007</v>
      </c>
    </row>
    <row r="1038" spans="36:46" x14ac:dyDescent="0.3">
      <c r="AJ1038">
        <v>53417</v>
      </c>
      <c r="AK1038" s="30">
        <v>42893</v>
      </c>
      <c r="AL1038" t="s">
        <v>1587</v>
      </c>
      <c r="AM1038">
        <v>66</v>
      </c>
      <c r="AN1038" t="str">
        <f>VLOOKUP(Transaction[[#This Row],[Model No.]],$AV$2:$BD$100,2,TRUE)</f>
        <v>Red Horse Beer - 6 Pack</v>
      </c>
      <c r="AO1038" s="21">
        <f>VLOOKUP(Transaction[[#This Row],[Model No.]],$AV$2:$BD$100,6,TRUE)</f>
        <v>12.99</v>
      </c>
      <c r="AP1038" s="9">
        <v>1</v>
      </c>
      <c r="AQ1038" s="5">
        <f>Transaction[[#This Row],[Price]]*Transaction[[#This Row],[Qty]]</f>
        <v>12.99</v>
      </c>
      <c r="AR1038" s="5">
        <f>VLOOKUP(Transaction[[#This Row],[Model No.]],$AV$2:$BD$100,7,TRUE)*Transaction[[#This Row],[Qty]]</f>
        <v>3.8969999999999998</v>
      </c>
      <c r="AS1038">
        <v>1100</v>
      </c>
      <c r="AT1038">
        <v>1020</v>
      </c>
    </row>
    <row r="1039" spans="36:46" x14ac:dyDescent="0.3">
      <c r="AJ1039">
        <v>12187</v>
      </c>
      <c r="AK1039" s="30">
        <v>42894</v>
      </c>
      <c r="AL1039" t="s">
        <v>826</v>
      </c>
      <c r="AM1039">
        <v>16</v>
      </c>
      <c r="AN1039" t="str">
        <f>VLOOKUP(Transaction[[#This Row],[Model No.]],$AV$2:$BD$100,2,TRUE)</f>
        <v>Hitachino Nest Red Rice Ale - 6 Pack</v>
      </c>
      <c r="AO1039" s="21">
        <f>VLOOKUP(Transaction[[#This Row],[Model No.]],$AV$2:$BD$100,6,TRUE)</f>
        <v>31.99</v>
      </c>
      <c r="AP1039" s="9">
        <v>2</v>
      </c>
      <c r="AQ1039" s="5">
        <f>Transaction[[#This Row],[Price]]*Transaction[[#This Row],[Qty]]</f>
        <v>63.98</v>
      </c>
      <c r="AR1039" s="5">
        <f>VLOOKUP(Transaction[[#This Row],[Model No.]],$AV$2:$BD$100,7,TRUE)*Transaction[[#This Row],[Qty]]</f>
        <v>19.193999999999999</v>
      </c>
      <c r="AS1039">
        <v>1098</v>
      </c>
      <c r="AT1039">
        <v>1004</v>
      </c>
    </row>
    <row r="1040" spans="36:46" x14ac:dyDescent="0.3">
      <c r="AJ1040">
        <v>63871</v>
      </c>
      <c r="AK1040" s="30">
        <v>42897</v>
      </c>
      <c r="AL1040" t="s">
        <v>1157</v>
      </c>
      <c r="AM1040">
        <v>57</v>
      </c>
      <c r="AN1040" t="str">
        <f>VLOOKUP(Transaction[[#This Row],[Model No.]],$AV$2:$BD$100,2,TRUE)</f>
        <v>Familia Dante Twelve Months Oak Aged Toscana IGT Sangiovese</v>
      </c>
      <c r="AO1040" s="21">
        <f>VLOOKUP(Transaction[[#This Row],[Model No.]],$AV$2:$BD$100,6,TRUE)</f>
        <v>13.69</v>
      </c>
      <c r="AP1040" s="9">
        <v>5</v>
      </c>
      <c r="AQ1040" s="5">
        <f>Transaction[[#This Row],[Price]]*Transaction[[#This Row],[Qty]]</f>
        <v>68.45</v>
      </c>
      <c r="AR1040" s="5">
        <f>VLOOKUP(Transaction[[#This Row],[Model No.]],$AV$2:$BD$100,7,TRUE)*Transaction[[#This Row],[Qty]]</f>
        <v>6.8449999999999998</v>
      </c>
      <c r="AS1040">
        <v>1106</v>
      </c>
      <c r="AT1040">
        <v>1013</v>
      </c>
    </row>
    <row r="1041" spans="36:46" x14ac:dyDescent="0.3">
      <c r="AJ1041">
        <v>13034</v>
      </c>
      <c r="AK1041" s="30">
        <v>42898</v>
      </c>
      <c r="AL1041" t="s">
        <v>981</v>
      </c>
      <c r="AM1041">
        <v>30</v>
      </c>
      <c r="AN1041" t="str">
        <f>VLOOKUP(Transaction[[#This Row],[Model No.]],$AV$2:$BD$100,2,TRUE)</f>
        <v>Kahlua Cinnamon Spice Liqueur</v>
      </c>
      <c r="AO1041" s="21">
        <f>VLOOKUP(Transaction[[#This Row],[Model No.]],$AV$2:$BD$100,6,TRUE)</f>
        <v>22.99</v>
      </c>
      <c r="AP1041" s="9">
        <v>4</v>
      </c>
      <c r="AQ1041" s="5">
        <f>Transaction[[#This Row],[Price]]*Transaction[[#This Row],[Qty]]</f>
        <v>91.96</v>
      </c>
      <c r="AR1041" s="5">
        <f>VLOOKUP(Transaction[[#This Row],[Model No.]],$AV$2:$BD$100,7,TRUE)*Transaction[[#This Row],[Qty]]</f>
        <v>27.587999999999997</v>
      </c>
      <c r="AS1041">
        <v>1100</v>
      </c>
      <c r="AT1041">
        <v>1012</v>
      </c>
    </row>
    <row r="1042" spans="36:46" x14ac:dyDescent="0.3">
      <c r="AJ1042">
        <v>24647</v>
      </c>
      <c r="AK1042" s="30">
        <v>42899</v>
      </c>
      <c r="AL1042" t="s">
        <v>605</v>
      </c>
      <c r="AM1042">
        <v>13</v>
      </c>
      <c r="AN1042" t="str">
        <f>VLOOKUP(Transaction[[#This Row],[Model No.]],$AV$2:$BD$100,2,TRUE)</f>
        <v>Luxardo Maraschino Liqueur</v>
      </c>
      <c r="AO1042" s="21">
        <f>VLOOKUP(Transaction[[#This Row],[Model No.]],$AV$2:$BD$100,6,TRUE)</f>
        <v>36.99</v>
      </c>
      <c r="AP1042" s="9">
        <v>2</v>
      </c>
      <c r="AQ1042" s="5">
        <f>Transaction[[#This Row],[Price]]*Transaction[[#This Row],[Qty]]</f>
        <v>73.98</v>
      </c>
      <c r="AR1042" s="5">
        <f>VLOOKUP(Transaction[[#This Row],[Model No.]],$AV$2:$BD$100,7,TRUE)*Transaction[[#This Row],[Qty]]</f>
        <v>22.193999999999999</v>
      </c>
      <c r="AS1042">
        <v>1107</v>
      </c>
      <c r="AT1042">
        <v>1003</v>
      </c>
    </row>
    <row r="1043" spans="36:46" x14ac:dyDescent="0.3">
      <c r="AJ1043">
        <v>25612</v>
      </c>
      <c r="AK1043" s="30">
        <v>42901</v>
      </c>
      <c r="AL1043" t="s">
        <v>1271</v>
      </c>
      <c r="AM1043">
        <v>17</v>
      </c>
      <c r="AN1043" t="str">
        <f>VLOOKUP(Transaction[[#This Row],[Model No.]],$AV$2:$BD$100,2,TRUE)</f>
        <v>Miller Lite Can - 24 Pack</v>
      </c>
      <c r="AO1043" s="21">
        <f>VLOOKUP(Transaction[[#This Row],[Model No.]],$AV$2:$BD$100,6,TRUE)</f>
        <v>30.99</v>
      </c>
      <c r="AP1043" s="9">
        <v>1</v>
      </c>
      <c r="AQ1043" s="5">
        <f>Transaction[[#This Row],[Price]]*Transaction[[#This Row],[Qty]]</f>
        <v>30.99</v>
      </c>
      <c r="AR1043" s="5">
        <f>VLOOKUP(Transaction[[#This Row],[Model No.]],$AV$2:$BD$100,7,TRUE)*Transaction[[#This Row],[Qty]]</f>
        <v>9.2969999999999988</v>
      </c>
      <c r="AS1043">
        <v>1104</v>
      </c>
      <c r="AT1043">
        <v>1010</v>
      </c>
    </row>
    <row r="1044" spans="36:46" x14ac:dyDescent="0.3">
      <c r="AJ1044">
        <v>44180</v>
      </c>
      <c r="AK1044" s="30">
        <v>42901</v>
      </c>
      <c r="AL1044" t="s">
        <v>733</v>
      </c>
      <c r="AM1044">
        <v>57</v>
      </c>
      <c r="AN1044" t="str">
        <f>VLOOKUP(Transaction[[#This Row],[Model No.]],$AV$2:$BD$100,2,TRUE)</f>
        <v>Familia Dante Twelve Months Oak Aged Toscana IGT Sangiovese</v>
      </c>
      <c r="AO1044" s="21">
        <f>VLOOKUP(Transaction[[#This Row],[Model No.]],$AV$2:$BD$100,6,TRUE)</f>
        <v>13.69</v>
      </c>
      <c r="AP1044" s="9">
        <v>5</v>
      </c>
      <c r="AQ1044" s="5">
        <f>Transaction[[#This Row],[Price]]*Transaction[[#This Row],[Qty]]</f>
        <v>68.45</v>
      </c>
      <c r="AR1044" s="5">
        <f>VLOOKUP(Transaction[[#This Row],[Model No.]],$AV$2:$BD$100,7,TRUE)*Transaction[[#This Row],[Qty]]</f>
        <v>6.8449999999999998</v>
      </c>
      <c r="AS1044">
        <v>1098</v>
      </c>
      <c r="AT1044">
        <v>1010</v>
      </c>
    </row>
    <row r="1045" spans="36:46" x14ac:dyDescent="0.3">
      <c r="AJ1045">
        <v>93144</v>
      </c>
      <c r="AK1045" s="30">
        <v>42902</v>
      </c>
      <c r="AL1045" t="s">
        <v>1666</v>
      </c>
      <c r="AM1045">
        <v>16</v>
      </c>
      <c r="AN1045" t="str">
        <f>VLOOKUP(Transaction[[#This Row],[Model No.]],$AV$2:$BD$100,2,TRUE)</f>
        <v>Hitachino Nest Red Rice Ale - 6 Pack</v>
      </c>
      <c r="AO1045" s="21">
        <f>VLOOKUP(Transaction[[#This Row],[Model No.]],$AV$2:$BD$100,6,TRUE)</f>
        <v>31.99</v>
      </c>
      <c r="AP1045" s="9">
        <v>4</v>
      </c>
      <c r="AQ1045" s="5">
        <f>Transaction[[#This Row],[Price]]*Transaction[[#This Row],[Qty]]</f>
        <v>127.96</v>
      </c>
      <c r="AR1045" s="5">
        <f>VLOOKUP(Transaction[[#This Row],[Model No.]],$AV$2:$BD$100,7,TRUE)*Transaction[[#This Row],[Qty]]</f>
        <v>38.387999999999998</v>
      </c>
      <c r="AS1045">
        <v>1103</v>
      </c>
      <c r="AT1045">
        <v>1016</v>
      </c>
    </row>
    <row r="1046" spans="36:46" x14ac:dyDescent="0.3">
      <c r="AJ1046">
        <v>75289</v>
      </c>
      <c r="AK1046" s="30">
        <v>42902</v>
      </c>
      <c r="AL1046" t="s">
        <v>1384</v>
      </c>
      <c r="AM1046">
        <v>27</v>
      </c>
      <c r="AN1046" t="str">
        <f>VLOOKUP(Transaction[[#This Row],[Model No.]],$AV$2:$BD$100,2,TRUE)</f>
        <v>Prairie Organic Gin</v>
      </c>
      <c r="AO1046" s="21">
        <f>VLOOKUP(Transaction[[#This Row],[Model No.]],$AV$2:$BD$100,6,TRUE)</f>
        <v>23.99</v>
      </c>
      <c r="AP1046" s="9">
        <v>4</v>
      </c>
      <c r="AQ1046" s="5">
        <f>Transaction[[#This Row],[Price]]*Transaction[[#This Row],[Qty]]</f>
        <v>95.96</v>
      </c>
      <c r="AR1046" s="5">
        <f>VLOOKUP(Transaction[[#This Row],[Model No.]],$AV$2:$BD$100,7,TRUE)*Transaction[[#This Row],[Qty]]</f>
        <v>38.384</v>
      </c>
      <c r="AS1046">
        <v>1107</v>
      </c>
      <c r="AT1046">
        <v>1003</v>
      </c>
    </row>
    <row r="1047" spans="36:46" x14ac:dyDescent="0.3">
      <c r="AJ1047">
        <v>48503</v>
      </c>
      <c r="AK1047" s="30">
        <v>42903</v>
      </c>
      <c r="AL1047" t="s">
        <v>1020</v>
      </c>
      <c r="AM1047">
        <v>17</v>
      </c>
      <c r="AN1047" t="str">
        <f>VLOOKUP(Transaction[[#This Row],[Model No.]],$AV$2:$BD$100,2,TRUE)</f>
        <v>Miller Lite Can - 24 Pack</v>
      </c>
      <c r="AO1047" s="21">
        <f>VLOOKUP(Transaction[[#This Row],[Model No.]],$AV$2:$BD$100,6,TRUE)</f>
        <v>30.99</v>
      </c>
      <c r="AP1047" s="9">
        <v>5</v>
      </c>
      <c r="AQ1047" s="5">
        <f>Transaction[[#This Row],[Price]]*Transaction[[#This Row],[Qty]]</f>
        <v>154.94999999999999</v>
      </c>
      <c r="AR1047" s="5">
        <f>VLOOKUP(Transaction[[#This Row],[Model No.]],$AV$2:$BD$100,7,TRUE)*Transaction[[#This Row],[Qty]]</f>
        <v>46.484999999999992</v>
      </c>
      <c r="AS1047">
        <v>1105</v>
      </c>
      <c r="AT1047">
        <v>1010</v>
      </c>
    </row>
    <row r="1048" spans="36:46" x14ac:dyDescent="0.3">
      <c r="AJ1048">
        <v>87248</v>
      </c>
      <c r="AK1048" s="30">
        <v>42903</v>
      </c>
      <c r="AL1048" t="s">
        <v>1186</v>
      </c>
      <c r="AM1048">
        <v>59</v>
      </c>
      <c r="AN1048" t="str">
        <f>VLOOKUP(Transaction[[#This Row],[Model No.]],$AV$2:$BD$100,2,TRUE)</f>
        <v>Smirnoff Kissed Caramel Vodka</v>
      </c>
      <c r="AO1048" s="21">
        <f>VLOOKUP(Transaction[[#This Row],[Model No.]],$AV$2:$BD$100,6,TRUE)</f>
        <v>13.49</v>
      </c>
      <c r="AP1048" s="9">
        <v>1</v>
      </c>
      <c r="AQ1048" s="5">
        <f>Transaction[[#This Row],[Price]]*Transaction[[#This Row],[Qty]]</f>
        <v>13.49</v>
      </c>
      <c r="AR1048" s="5">
        <f>VLOOKUP(Transaction[[#This Row],[Model No.]],$AV$2:$BD$100,7,TRUE)*Transaction[[#This Row],[Qty]]</f>
        <v>4.0469999999999997</v>
      </c>
      <c r="AS1048">
        <v>1100</v>
      </c>
      <c r="AT1048">
        <v>1010</v>
      </c>
    </row>
    <row r="1049" spans="36:46" x14ac:dyDescent="0.3">
      <c r="AJ1049">
        <v>76829</v>
      </c>
      <c r="AK1049" s="30">
        <v>42904</v>
      </c>
      <c r="AL1049" t="s">
        <v>928</v>
      </c>
      <c r="AM1049">
        <v>74</v>
      </c>
      <c r="AN1049" t="str">
        <f>VLOOKUP(Transaction[[#This Row],[Model No.]],$AV$2:$BD$100,2,TRUE)</f>
        <v>UINTA PALE ALE NR - 6 Pack</v>
      </c>
      <c r="AO1049" s="21">
        <f>VLOOKUP(Transaction[[#This Row],[Model No.]],$AV$2:$BD$100,6,TRUE)</f>
        <v>11.99</v>
      </c>
      <c r="AP1049" s="9">
        <v>4</v>
      </c>
      <c r="AQ1049" s="5">
        <f>Transaction[[#This Row],[Price]]*Transaction[[#This Row],[Qty]]</f>
        <v>47.96</v>
      </c>
      <c r="AR1049" s="5">
        <f>VLOOKUP(Transaction[[#This Row],[Model No.]],$AV$2:$BD$100,7,TRUE)*Transaction[[#This Row],[Qty]]</f>
        <v>14.388</v>
      </c>
      <c r="AS1049">
        <v>1106</v>
      </c>
      <c r="AT1049">
        <v>1001</v>
      </c>
    </row>
    <row r="1050" spans="36:46" x14ac:dyDescent="0.3">
      <c r="AJ1050">
        <v>36483</v>
      </c>
      <c r="AK1050" s="30">
        <v>42905</v>
      </c>
      <c r="AL1050" t="s">
        <v>1082</v>
      </c>
      <c r="AM1050">
        <v>5</v>
      </c>
      <c r="AN1050" t="str">
        <f>VLOOKUP(Transaction[[#This Row],[Model No.]],$AV$2:$BD$100,2,TRUE)</f>
        <v>Old Forester 1897 Bottled in Bond Kentucky Straight Bourbon Whisky</v>
      </c>
      <c r="AO1050" s="21">
        <f>VLOOKUP(Transaction[[#This Row],[Model No.]],$AV$2:$BD$100,6,TRUE)</f>
        <v>46.99</v>
      </c>
      <c r="AP1050" s="9">
        <v>3</v>
      </c>
      <c r="AQ1050" s="5">
        <f>Transaction[[#This Row],[Price]]*Transaction[[#This Row],[Qty]]</f>
        <v>140.97</v>
      </c>
      <c r="AR1050" s="5">
        <f>VLOOKUP(Transaction[[#This Row],[Model No.]],$AV$2:$BD$100,7,TRUE)*Transaction[[#This Row],[Qty]]</f>
        <v>28.194000000000003</v>
      </c>
      <c r="AS1050">
        <v>1104</v>
      </c>
      <c r="AT1050">
        <v>1003</v>
      </c>
    </row>
    <row r="1051" spans="36:46" x14ac:dyDescent="0.3">
      <c r="AJ1051">
        <v>36170</v>
      </c>
      <c r="AK1051" s="30">
        <v>42906</v>
      </c>
      <c r="AL1051" t="s">
        <v>1319</v>
      </c>
      <c r="AM1051">
        <v>19</v>
      </c>
      <c r="AN1051" t="str">
        <f>VLOOKUP(Transaction[[#This Row],[Model No.]],$AV$2:$BD$100,2,TRUE)</f>
        <v>District Made Vodka</v>
      </c>
      <c r="AO1051" s="21">
        <f>VLOOKUP(Transaction[[#This Row],[Model No.]],$AV$2:$BD$100,6,TRUE)</f>
        <v>29.99</v>
      </c>
      <c r="AP1051" s="9">
        <v>3</v>
      </c>
      <c r="AQ1051" s="5">
        <f>Transaction[[#This Row],[Price]]*Transaction[[#This Row],[Qty]]</f>
        <v>89.97</v>
      </c>
      <c r="AR1051" s="5">
        <f>VLOOKUP(Transaction[[#This Row],[Model No.]],$AV$2:$BD$100,7,TRUE)*Transaction[[#This Row],[Qty]]</f>
        <v>26.991</v>
      </c>
      <c r="AS1051">
        <v>1107</v>
      </c>
      <c r="AT1051">
        <v>1013</v>
      </c>
    </row>
    <row r="1052" spans="36:46" x14ac:dyDescent="0.3">
      <c r="AJ1052">
        <v>97064</v>
      </c>
      <c r="AK1052" s="30">
        <v>42914</v>
      </c>
      <c r="AL1052" t="s">
        <v>595</v>
      </c>
      <c r="AM1052">
        <v>82</v>
      </c>
      <c r="AN1052" t="str">
        <f>VLOOKUP(Transaction[[#This Row],[Model No.]],$AV$2:$BD$100,2,TRUE)</f>
        <v>PInnacle Chocolate Whipped Vodka</v>
      </c>
      <c r="AO1052" s="21">
        <f>VLOOKUP(Transaction[[#This Row],[Model No.]],$AV$2:$BD$100,6,TRUE)</f>
        <v>10.99</v>
      </c>
      <c r="AP1052" s="9">
        <v>3</v>
      </c>
      <c r="AQ1052" s="5">
        <f>Transaction[[#This Row],[Price]]*Transaction[[#This Row],[Qty]]</f>
        <v>32.97</v>
      </c>
      <c r="AR1052" s="5">
        <f>VLOOKUP(Transaction[[#This Row],[Model No.]],$AV$2:$BD$100,7,TRUE)*Transaction[[#This Row],[Qty]]</f>
        <v>9.891</v>
      </c>
      <c r="AS1052">
        <v>1103</v>
      </c>
      <c r="AT1052">
        <v>1013</v>
      </c>
    </row>
    <row r="1053" spans="36:46" x14ac:dyDescent="0.3">
      <c r="AJ1053">
        <v>29553</v>
      </c>
      <c r="AK1053" s="30">
        <v>42916</v>
      </c>
      <c r="AL1053" t="s">
        <v>1404</v>
      </c>
      <c r="AM1053">
        <v>33</v>
      </c>
      <c r="AN1053" t="str">
        <f>VLOOKUP(Transaction[[#This Row],[Model No.]],$AV$2:$BD$100,2,TRUE)</f>
        <v>Saracina Unoaked Chardonnay</v>
      </c>
      <c r="AO1053" s="21">
        <f>VLOOKUP(Transaction[[#This Row],[Model No.]],$AV$2:$BD$100,6,TRUE)</f>
        <v>20.99</v>
      </c>
      <c r="AP1053" s="9">
        <v>2</v>
      </c>
      <c r="AQ1053" s="5">
        <f>Transaction[[#This Row],[Price]]*Transaction[[#This Row],[Qty]]</f>
        <v>41.98</v>
      </c>
      <c r="AR1053" s="5">
        <f>VLOOKUP(Transaction[[#This Row],[Model No.]],$AV$2:$BD$100,7,TRUE)*Transaction[[#This Row],[Qty]]</f>
        <v>8.395999999999999</v>
      </c>
      <c r="AS1053">
        <v>1099</v>
      </c>
      <c r="AT1053">
        <v>1007</v>
      </c>
    </row>
    <row r="1054" spans="36:46" x14ac:dyDescent="0.3">
      <c r="AJ1054">
        <v>83047</v>
      </c>
      <c r="AK1054" s="30">
        <v>42916</v>
      </c>
      <c r="AL1054" t="s">
        <v>1798</v>
      </c>
      <c r="AM1054">
        <v>37</v>
      </c>
      <c r="AN1054" t="str">
        <f>VLOOKUP(Transaction[[#This Row],[Model No.]],$AV$2:$BD$100,2,TRUE)</f>
        <v>Francis Ford Coppola Diamond Collection Black Label Pavilion Chardonnay</v>
      </c>
      <c r="AO1054" s="21">
        <f>VLOOKUP(Transaction[[#This Row],[Model No.]],$AV$2:$BD$100,6,TRUE)</f>
        <v>19.989999999999998</v>
      </c>
      <c r="AP1054" s="9">
        <v>3</v>
      </c>
      <c r="AQ1054" s="5">
        <f>Transaction[[#This Row],[Price]]*Transaction[[#This Row],[Qty]]</f>
        <v>59.97</v>
      </c>
      <c r="AR1054" s="5">
        <f>VLOOKUP(Transaction[[#This Row],[Model No.]],$AV$2:$BD$100,7,TRUE)*Transaction[[#This Row],[Qty]]</f>
        <v>5.9969999999999999</v>
      </c>
      <c r="AS1054">
        <v>1102</v>
      </c>
      <c r="AT1054">
        <v>1016</v>
      </c>
    </row>
    <row r="1055" spans="36:46" x14ac:dyDescent="0.3">
      <c r="AJ1055">
        <v>64126</v>
      </c>
      <c r="AK1055" s="30">
        <v>42916</v>
      </c>
      <c r="AL1055" t="s">
        <v>1847</v>
      </c>
      <c r="AM1055">
        <v>97</v>
      </c>
      <c r="AN1055" t="str">
        <f>VLOOKUP(Transaction[[#This Row],[Model No.]],$AV$2:$BD$100,2,TRUE)</f>
        <v>Sea Ridge Cabernet Sauvignon</v>
      </c>
      <c r="AO1055" s="21">
        <f>VLOOKUP(Transaction[[#This Row],[Model No.]],$AV$2:$BD$100,6,TRUE)</f>
        <v>5.99</v>
      </c>
      <c r="AP1055" s="9">
        <v>5</v>
      </c>
      <c r="AQ1055" s="5">
        <f>Transaction[[#This Row],[Price]]*Transaction[[#This Row],[Qty]]</f>
        <v>29.950000000000003</v>
      </c>
      <c r="AR1055" s="5">
        <f>VLOOKUP(Transaction[[#This Row],[Model No.]],$AV$2:$BD$100,7,TRUE)*Transaction[[#This Row],[Qty]]</f>
        <v>2.9950000000000006</v>
      </c>
      <c r="AS1055">
        <v>1106</v>
      </c>
      <c r="AT1055">
        <v>1010</v>
      </c>
    </row>
    <row r="1056" spans="36:46" x14ac:dyDescent="0.3">
      <c r="AJ1056">
        <v>17010</v>
      </c>
      <c r="AK1056" s="30">
        <v>42918</v>
      </c>
      <c r="AL1056" t="s">
        <v>364</v>
      </c>
      <c r="AM1056">
        <v>52</v>
      </c>
      <c r="AN1056" t="str">
        <f>VLOOKUP(Transaction[[#This Row],[Model No.]],$AV$2:$BD$100,2,TRUE)</f>
        <v>Finca Las Moras Barrel Select Cabernet Sauvignon</v>
      </c>
      <c r="AO1056" s="21">
        <f>VLOOKUP(Transaction[[#This Row],[Model No.]],$AV$2:$BD$100,6,TRUE)</f>
        <v>14.99</v>
      </c>
      <c r="AP1056" s="9">
        <v>1</v>
      </c>
      <c r="AQ1056" s="5">
        <f>Transaction[[#This Row],[Price]]*Transaction[[#This Row],[Qty]]</f>
        <v>14.99</v>
      </c>
      <c r="AR1056" s="5">
        <f>VLOOKUP(Transaction[[#This Row],[Model No.]],$AV$2:$BD$100,7,TRUE)*Transaction[[#This Row],[Qty]]</f>
        <v>1.4990000000000001</v>
      </c>
      <c r="AS1056">
        <v>1100</v>
      </c>
      <c r="AT1056">
        <v>1009</v>
      </c>
    </row>
    <row r="1057" spans="36:46" x14ac:dyDescent="0.3">
      <c r="AJ1057">
        <v>86735</v>
      </c>
      <c r="AK1057" s="30">
        <v>42919</v>
      </c>
      <c r="AL1057" t="s">
        <v>1105</v>
      </c>
      <c r="AM1057">
        <v>29</v>
      </c>
      <c r="AN1057" t="str">
        <f>VLOOKUP(Transaction[[#This Row],[Model No.]],$AV$2:$BD$100,2,TRUE)</f>
        <v>SCHLAFLY STOUT BOUT SAMPLER   2/12 - 12 Pack</v>
      </c>
      <c r="AO1057" s="21">
        <f>VLOOKUP(Transaction[[#This Row],[Model No.]],$AV$2:$BD$100,6,TRUE)</f>
        <v>22.99</v>
      </c>
      <c r="AP1057" s="9">
        <v>2</v>
      </c>
      <c r="AQ1057" s="5">
        <f>Transaction[[#This Row],[Price]]*Transaction[[#This Row],[Qty]]</f>
        <v>45.98</v>
      </c>
      <c r="AR1057" s="5">
        <f>VLOOKUP(Transaction[[#This Row],[Model No.]],$AV$2:$BD$100,7,TRUE)*Transaction[[#This Row],[Qty]]</f>
        <v>13.793999999999999</v>
      </c>
      <c r="AS1057">
        <v>1104</v>
      </c>
      <c r="AT1057">
        <v>1010</v>
      </c>
    </row>
    <row r="1058" spans="36:46" x14ac:dyDescent="0.3">
      <c r="AJ1058">
        <v>65537</v>
      </c>
      <c r="AK1058" s="30">
        <v>42920</v>
      </c>
      <c r="AL1058" t="s">
        <v>1612</v>
      </c>
      <c r="AM1058">
        <v>72</v>
      </c>
      <c r="AN1058" t="str">
        <f>VLOOKUP(Transaction[[#This Row],[Model No.]],$AV$2:$BD$100,2,TRUE)</f>
        <v>Pearl Wedding Cake Vodka</v>
      </c>
      <c r="AO1058" s="21">
        <f>VLOOKUP(Transaction[[#This Row],[Model No.]],$AV$2:$BD$100,6,TRUE)</f>
        <v>12.49</v>
      </c>
      <c r="AP1058" s="9">
        <v>1</v>
      </c>
      <c r="AQ1058" s="5">
        <f>Transaction[[#This Row],[Price]]*Transaction[[#This Row],[Qty]]</f>
        <v>12.49</v>
      </c>
      <c r="AR1058" s="5">
        <f>VLOOKUP(Transaction[[#This Row],[Model No.]],$AV$2:$BD$100,7,TRUE)*Transaction[[#This Row],[Qty]]</f>
        <v>3.7469999999999999</v>
      </c>
      <c r="AS1058">
        <v>1100</v>
      </c>
      <c r="AT1058">
        <v>1000</v>
      </c>
    </row>
    <row r="1059" spans="36:46" x14ac:dyDescent="0.3">
      <c r="AJ1059">
        <v>79059</v>
      </c>
      <c r="AK1059" s="30">
        <v>42920</v>
      </c>
      <c r="AL1059" t="s">
        <v>1300</v>
      </c>
      <c r="AM1059">
        <v>80</v>
      </c>
      <c r="AN1059" t="str">
        <f>VLOOKUP(Transaction[[#This Row],[Model No.]],$AV$2:$BD$100,2,TRUE)</f>
        <v>Evolution Craft Stalker Hefeweizen - 6 Pack</v>
      </c>
      <c r="AO1059" s="21">
        <f>VLOOKUP(Transaction[[#This Row],[Model No.]],$AV$2:$BD$100,6,TRUE)</f>
        <v>10.99</v>
      </c>
      <c r="AP1059" s="9">
        <v>3</v>
      </c>
      <c r="AQ1059" s="5">
        <f>Transaction[[#This Row],[Price]]*Transaction[[#This Row],[Qty]]</f>
        <v>32.97</v>
      </c>
      <c r="AR1059" s="5">
        <f>VLOOKUP(Transaction[[#This Row],[Model No.]],$AV$2:$BD$100,7,TRUE)*Transaction[[#This Row],[Qty]]</f>
        <v>9.891</v>
      </c>
      <c r="AS1059">
        <v>1107</v>
      </c>
      <c r="AT1059">
        <v>1019</v>
      </c>
    </row>
    <row r="1060" spans="36:46" x14ac:dyDescent="0.3">
      <c r="AJ1060">
        <v>89745</v>
      </c>
      <c r="AK1060" s="30">
        <v>42922</v>
      </c>
      <c r="AL1060" t="s">
        <v>1287</v>
      </c>
      <c r="AM1060">
        <v>87</v>
      </c>
      <c r="AN1060" t="str">
        <f>VLOOKUP(Transaction[[#This Row],[Model No.]],$AV$2:$BD$100,2,TRUE)</f>
        <v>Cruzan 9 Spiced Rum</v>
      </c>
      <c r="AO1060" s="21">
        <f>VLOOKUP(Transaction[[#This Row],[Model No.]],$AV$2:$BD$100,6,TRUE)</f>
        <v>9.49</v>
      </c>
      <c r="AP1060" s="9">
        <v>4</v>
      </c>
      <c r="AQ1060" s="5">
        <f>Transaction[[#This Row],[Price]]*Transaction[[#This Row],[Qty]]</f>
        <v>37.96</v>
      </c>
      <c r="AR1060" s="5">
        <f>VLOOKUP(Transaction[[#This Row],[Model No.]],$AV$2:$BD$100,7,TRUE)*Transaction[[#This Row],[Qty]]</f>
        <v>7.5920000000000005</v>
      </c>
      <c r="AS1060">
        <v>1101</v>
      </c>
      <c r="AT1060">
        <v>1008</v>
      </c>
    </row>
    <row r="1061" spans="36:46" x14ac:dyDescent="0.3">
      <c r="AJ1061">
        <v>67153</v>
      </c>
      <c r="AK1061" s="30">
        <v>42923</v>
      </c>
      <c r="AL1061" t="s">
        <v>780</v>
      </c>
      <c r="AM1061">
        <v>94</v>
      </c>
      <c r="AN1061" t="str">
        <f>VLOOKUP(Transaction[[#This Row],[Model No.]],$AV$2:$BD$100,2,TRUE)</f>
        <v>Freixenet Blanc de Blancs Brut Cava Blend</v>
      </c>
      <c r="AO1061" s="21">
        <f>VLOOKUP(Transaction[[#This Row],[Model No.]],$AV$2:$BD$100,6,TRUE)</f>
        <v>7.49</v>
      </c>
      <c r="AP1061" s="9">
        <v>4</v>
      </c>
      <c r="AQ1061" s="5">
        <f>Transaction[[#This Row],[Price]]*Transaction[[#This Row],[Qty]]</f>
        <v>29.96</v>
      </c>
      <c r="AR1061" s="5">
        <f>VLOOKUP(Transaction[[#This Row],[Model No.]],$AV$2:$BD$100,7,TRUE)*Transaction[[#This Row],[Qty]]</f>
        <v>2.9960000000000004</v>
      </c>
      <c r="AS1061">
        <v>1104</v>
      </c>
      <c r="AT1061">
        <v>1013</v>
      </c>
    </row>
    <row r="1062" spans="36:46" x14ac:dyDescent="0.3">
      <c r="AJ1062">
        <v>90262</v>
      </c>
      <c r="AK1062" s="30">
        <v>42924</v>
      </c>
      <c r="AL1062" t="s">
        <v>631</v>
      </c>
      <c r="AM1062">
        <v>21</v>
      </c>
      <c r="AN1062" t="str">
        <f>VLOOKUP(Transaction[[#This Row],[Model No.]],$AV$2:$BD$100,2,TRUE)</f>
        <v>Adelsheim Ribbon Springs Auxerrois</v>
      </c>
      <c r="AO1062" s="21">
        <f>VLOOKUP(Transaction[[#This Row],[Model No.]],$AV$2:$BD$100,6,TRUE)</f>
        <v>25.99</v>
      </c>
      <c r="AP1062" s="9">
        <v>5</v>
      </c>
      <c r="AQ1062" s="5">
        <f>Transaction[[#This Row],[Price]]*Transaction[[#This Row],[Qty]]</f>
        <v>129.94999999999999</v>
      </c>
      <c r="AR1062" s="5">
        <f>VLOOKUP(Transaction[[#This Row],[Model No.]],$AV$2:$BD$100,7,TRUE)*Transaction[[#This Row],[Qty]]</f>
        <v>12.995000000000001</v>
      </c>
      <c r="AS1062">
        <v>1105</v>
      </c>
      <c r="AT1062">
        <v>1006</v>
      </c>
    </row>
    <row r="1063" spans="36:46" x14ac:dyDescent="0.3">
      <c r="AJ1063">
        <v>96561</v>
      </c>
      <c r="AK1063" s="30">
        <v>42925</v>
      </c>
      <c r="AL1063" t="s">
        <v>464</v>
      </c>
      <c r="AM1063">
        <v>31</v>
      </c>
      <c r="AN1063" t="str">
        <f>VLOOKUP(Transaction[[#This Row],[Model No.]],$AV$2:$BD$100,2,TRUE)</f>
        <v>Gulden Draak 9000 Quadruple - 4 Pack</v>
      </c>
      <c r="AO1063" s="21">
        <f>VLOOKUP(Transaction[[#This Row],[Model No.]],$AV$2:$BD$100,6,TRUE)</f>
        <v>21.99</v>
      </c>
      <c r="AP1063" s="9">
        <v>3</v>
      </c>
      <c r="AQ1063" s="5">
        <f>Transaction[[#This Row],[Price]]*Transaction[[#This Row],[Qty]]</f>
        <v>65.97</v>
      </c>
      <c r="AR1063" s="5">
        <f>VLOOKUP(Transaction[[#This Row],[Model No.]],$AV$2:$BD$100,7,TRUE)*Transaction[[#This Row],[Qty]]</f>
        <v>19.790999999999997</v>
      </c>
      <c r="AS1063">
        <v>1099</v>
      </c>
      <c r="AT1063">
        <v>1006</v>
      </c>
    </row>
    <row r="1064" spans="36:46" x14ac:dyDescent="0.3">
      <c r="AJ1064">
        <v>13435</v>
      </c>
      <c r="AK1064" s="30">
        <v>42927</v>
      </c>
      <c r="AL1064" t="s">
        <v>652</v>
      </c>
      <c r="AM1064">
        <v>28</v>
      </c>
      <c r="AN1064" t="str">
        <f>VLOOKUP(Transaction[[#This Row],[Model No.]],$AV$2:$BD$100,2,TRUE)</f>
        <v>Quinta de Soalheiro Soalheiro Alvarinho</v>
      </c>
      <c r="AO1064" s="21">
        <f>VLOOKUP(Transaction[[#This Row],[Model No.]],$AV$2:$BD$100,6,TRUE)</f>
        <v>23.99</v>
      </c>
      <c r="AP1064" s="9">
        <v>3</v>
      </c>
      <c r="AQ1064" s="5">
        <f>Transaction[[#This Row],[Price]]*Transaction[[#This Row],[Qty]]</f>
        <v>71.97</v>
      </c>
      <c r="AR1064" s="5">
        <f>VLOOKUP(Transaction[[#This Row],[Model No.]],$AV$2:$BD$100,7,TRUE)*Transaction[[#This Row],[Qty]]</f>
        <v>28.788</v>
      </c>
      <c r="AS1064">
        <v>1102</v>
      </c>
      <c r="AT1064">
        <v>1015</v>
      </c>
    </row>
    <row r="1065" spans="36:46" x14ac:dyDescent="0.3">
      <c r="AJ1065">
        <v>96999</v>
      </c>
      <c r="AK1065" s="30">
        <v>42932</v>
      </c>
      <c r="AL1065" t="s">
        <v>735</v>
      </c>
      <c r="AM1065">
        <v>76</v>
      </c>
      <c r="AN1065" t="str">
        <f>VLOOKUP(Transaction[[#This Row],[Model No.]],$AV$2:$BD$100,2,TRUE)</f>
        <v>Lagunitas Super Cluster Can - 6 Pack</v>
      </c>
      <c r="AO1065" s="21">
        <f>VLOOKUP(Transaction[[#This Row],[Model No.]],$AV$2:$BD$100,6,TRUE)</f>
        <v>11.99</v>
      </c>
      <c r="AP1065" s="9">
        <v>5</v>
      </c>
      <c r="AQ1065" s="5">
        <f>Transaction[[#This Row],[Price]]*Transaction[[#This Row],[Qty]]</f>
        <v>59.95</v>
      </c>
      <c r="AR1065" s="5">
        <f>VLOOKUP(Transaction[[#This Row],[Model No.]],$AV$2:$BD$100,7,TRUE)*Transaction[[#This Row],[Qty]]</f>
        <v>17.984999999999999</v>
      </c>
      <c r="AS1065">
        <v>1103</v>
      </c>
      <c r="AT1065">
        <v>1004</v>
      </c>
    </row>
    <row r="1066" spans="36:46" x14ac:dyDescent="0.3">
      <c r="AJ1066">
        <v>59906</v>
      </c>
      <c r="AK1066" s="30">
        <v>42933</v>
      </c>
      <c r="AL1066" t="s">
        <v>1739</v>
      </c>
      <c r="AM1066">
        <v>62</v>
      </c>
      <c r="AN1066" t="str">
        <f>VLOOKUP(Transaction[[#This Row],[Model No.]],$AV$2:$BD$100,2,TRUE)</f>
        <v>Beerlao Dark Lager - 6 Pack</v>
      </c>
      <c r="AO1066" s="21">
        <f>VLOOKUP(Transaction[[#This Row],[Model No.]],$AV$2:$BD$100,6,TRUE)</f>
        <v>12.99</v>
      </c>
      <c r="AP1066" s="9">
        <v>5</v>
      </c>
      <c r="AQ1066" s="5">
        <f>Transaction[[#This Row],[Price]]*Transaction[[#This Row],[Qty]]</f>
        <v>64.95</v>
      </c>
      <c r="AR1066" s="5">
        <f>VLOOKUP(Transaction[[#This Row],[Model No.]],$AV$2:$BD$100,7,TRUE)*Transaction[[#This Row],[Qty]]</f>
        <v>19.484999999999999</v>
      </c>
      <c r="AS1066">
        <v>1107</v>
      </c>
      <c r="AT1066">
        <v>1020</v>
      </c>
    </row>
    <row r="1067" spans="36:46" x14ac:dyDescent="0.3">
      <c r="AJ1067">
        <v>97757</v>
      </c>
      <c r="AK1067" s="30">
        <v>42936</v>
      </c>
      <c r="AL1067" t="s">
        <v>888</v>
      </c>
      <c r="AM1067">
        <v>1</v>
      </c>
      <c r="AN1067" t="str">
        <f>VLOOKUP(Transaction[[#This Row],[Model No.]],$AV$2:$BD$100,2,TRUE)</f>
        <v>Forager's Keep 26 Year Old Single Malt Scotch Whisky</v>
      </c>
      <c r="AO1067" s="21">
        <f>VLOOKUP(Transaction[[#This Row],[Model No.]],$AV$2:$BD$100,6,TRUE)</f>
        <v>325.99</v>
      </c>
      <c r="AP1067" s="9">
        <v>1</v>
      </c>
      <c r="AQ1067" s="5">
        <f>Transaction[[#This Row],[Price]]*Transaction[[#This Row],[Qty]]</f>
        <v>325.99</v>
      </c>
      <c r="AR1067" s="5">
        <f>VLOOKUP(Transaction[[#This Row],[Model No.]],$AV$2:$BD$100,7,TRUE)*Transaction[[#This Row],[Qty]]</f>
        <v>97.796999999999997</v>
      </c>
      <c r="AS1067">
        <v>1106</v>
      </c>
      <c r="AT1067">
        <v>1011</v>
      </c>
    </row>
    <row r="1068" spans="36:46" x14ac:dyDescent="0.3">
      <c r="AJ1068">
        <v>10232</v>
      </c>
      <c r="AK1068" s="30">
        <v>42936</v>
      </c>
      <c r="AL1068" t="s">
        <v>998</v>
      </c>
      <c r="AM1068">
        <v>83</v>
      </c>
      <c r="AN1068" t="str">
        <f>VLOOKUP(Transaction[[#This Row],[Model No.]],$AV$2:$BD$100,2,TRUE)</f>
        <v>Pinnacle Cherry Whipped Vodka</v>
      </c>
      <c r="AO1068" s="21">
        <f>VLOOKUP(Transaction[[#This Row],[Model No.]],$AV$2:$BD$100,6,TRUE)</f>
        <v>10.99</v>
      </c>
      <c r="AP1068" s="9">
        <v>1</v>
      </c>
      <c r="AQ1068" s="5">
        <f>Transaction[[#This Row],[Price]]*Transaction[[#This Row],[Qty]]</f>
        <v>10.99</v>
      </c>
      <c r="AR1068" s="5">
        <f>VLOOKUP(Transaction[[#This Row],[Model No.]],$AV$2:$BD$100,7,TRUE)*Transaction[[#This Row],[Qty]]</f>
        <v>3.2970000000000002</v>
      </c>
      <c r="AS1068">
        <v>1108</v>
      </c>
      <c r="AT1068">
        <v>1002</v>
      </c>
    </row>
    <row r="1069" spans="36:46" x14ac:dyDescent="0.3">
      <c r="AJ1069">
        <v>77840</v>
      </c>
      <c r="AK1069" s="30">
        <v>42936</v>
      </c>
      <c r="AL1069" t="s">
        <v>1147</v>
      </c>
      <c r="AM1069">
        <v>82</v>
      </c>
      <c r="AN1069" t="str">
        <f>VLOOKUP(Transaction[[#This Row],[Model No.]],$AV$2:$BD$100,2,TRUE)</f>
        <v>PInnacle Chocolate Whipped Vodka</v>
      </c>
      <c r="AO1069" s="21">
        <f>VLOOKUP(Transaction[[#This Row],[Model No.]],$AV$2:$BD$100,6,TRUE)</f>
        <v>10.99</v>
      </c>
      <c r="AP1069" s="9">
        <v>2</v>
      </c>
      <c r="AQ1069" s="5">
        <f>Transaction[[#This Row],[Price]]*Transaction[[#This Row],[Qty]]</f>
        <v>21.98</v>
      </c>
      <c r="AR1069" s="5">
        <f>VLOOKUP(Transaction[[#This Row],[Model No.]],$AV$2:$BD$100,7,TRUE)*Transaction[[#This Row],[Qty]]</f>
        <v>6.5940000000000003</v>
      </c>
      <c r="AS1069">
        <v>1107</v>
      </c>
      <c r="AT1069">
        <v>1006</v>
      </c>
    </row>
    <row r="1070" spans="36:46" x14ac:dyDescent="0.3">
      <c r="AJ1070">
        <v>69315</v>
      </c>
      <c r="AK1070" s="30">
        <v>42937</v>
      </c>
      <c r="AL1070" t="s">
        <v>805</v>
      </c>
      <c r="AM1070">
        <v>55</v>
      </c>
      <c r="AN1070" t="str">
        <f>VLOOKUP(Transaction[[#This Row],[Model No.]],$AV$2:$BD$100,2,TRUE)</f>
        <v>Clos du Bois Hand Selected Lots Shiraz</v>
      </c>
      <c r="AO1070" s="21">
        <f>VLOOKUP(Transaction[[#This Row],[Model No.]],$AV$2:$BD$100,6,TRUE)</f>
        <v>14.49</v>
      </c>
      <c r="AP1070" s="9">
        <v>1</v>
      </c>
      <c r="AQ1070" s="5">
        <f>Transaction[[#This Row],[Price]]*Transaction[[#This Row],[Qty]]</f>
        <v>14.49</v>
      </c>
      <c r="AR1070" s="5">
        <f>VLOOKUP(Transaction[[#This Row],[Model No.]],$AV$2:$BD$100,7,TRUE)*Transaction[[#This Row],[Qty]]</f>
        <v>1.4490000000000001</v>
      </c>
      <c r="AS1070">
        <v>1099</v>
      </c>
      <c r="AT1070">
        <v>1019</v>
      </c>
    </row>
    <row r="1071" spans="36:46" x14ac:dyDescent="0.3">
      <c r="AJ1071">
        <v>36666</v>
      </c>
      <c r="AK1071" s="30">
        <v>42938</v>
      </c>
      <c r="AL1071" t="s">
        <v>1486</v>
      </c>
      <c r="AM1071">
        <v>55</v>
      </c>
      <c r="AN1071" t="str">
        <f>VLOOKUP(Transaction[[#This Row],[Model No.]],$AV$2:$BD$100,2,TRUE)</f>
        <v>Clos du Bois Hand Selected Lots Shiraz</v>
      </c>
      <c r="AO1071" s="21">
        <f>VLOOKUP(Transaction[[#This Row],[Model No.]],$AV$2:$BD$100,6,TRUE)</f>
        <v>14.49</v>
      </c>
      <c r="AP1071" s="9">
        <v>5</v>
      </c>
      <c r="AQ1071" s="5">
        <f>Transaction[[#This Row],[Price]]*Transaction[[#This Row],[Qty]]</f>
        <v>72.45</v>
      </c>
      <c r="AR1071" s="5">
        <f>VLOOKUP(Transaction[[#This Row],[Model No.]],$AV$2:$BD$100,7,TRUE)*Transaction[[#This Row],[Qty]]</f>
        <v>7.2450000000000001</v>
      </c>
      <c r="AS1071">
        <v>1103</v>
      </c>
      <c r="AT1071">
        <v>1020</v>
      </c>
    </row>
    <row r="1072" spans="36:46" x14ac:dyDescent="0.3">
      <c r="AJ1072">
        <v>21008</v>
      </c>
      <c r="AK1072" s="30">
        <v>42938</v>
      </c>
      <c r="AL1072" t="s">
        <v>428</v>
      </c>
      <c r="AM1072">
        <v>93</v>
      </c>
      <c r="AN1072" t="str">
        <f>VLOOKUP(Transaction[[#This Row],[Model No.]],$AV$2:$BD$100,2,TRUE)</f>
        <v>Beringer Vineyards Stone Cellars Shiraz</v>
      </c>
      <c r="AO1072" s="21">
        <f>VLOOKUP(Transaction[[#This Row],[Model No.]],$AV$2:$BD$100,6,TRUE)</f>
        <v>7.49</v>
      </c>
      <c r="AP1072" s="9">
        <v>3</v>
      </c>
      <c r="AQ1072" s="5">
        <f>Transaction[[#This Row],[Price]]*Transaction[[#This Row],[Qty]]</f>
        <v>22.47</v>
      </c>
      <c r="AR1072" s="5">
        <f>VLOOKUP(Transaction[[#This Row],[Model No.]],$AV$2:$BD$100,7,TRUE)*Transaction[[#This Row],[Qty]]</f>
        <v>2.2470000000000003</v>
      </c>
      <c r="AS1072">
        <v>1099</v>
      </c>
      <c r="AT1072">
        <v>1002</v>
      </c>
    </row>
    <row r="1073" spans="36:46" x14ac:dyDescent="0.3">
      <c r="AJ1073">
        <v>93740</v>
      </c>
      <c r="AK1073" s="30">
        <v>42939</v>
      </c>
      <c r="AL1073" t="s">
        <v>1174</v>
      </c>
      <c r="AM1073">
        <v>1</v>
      </c>
      <c r="AN1073" t="str">
        <f>VLOOKUP(Transaction[[#This Row],[Model No.]],$AV$2:$BD$100,2,TRUE)</f>
        <v>Forager's Keep 26 Year Old Single Malt Scotch Whisky</v>
      </c>
      <c r="AO1073" s="21">
        <f>VLOOKUP(Transaction[[#This Row],[Model No.]],$AV$2:$BD$100,6,TRUE)</f>
        <v>325.99</v>
      </c>
      <c r="AP1073" s="9">
        <v>1</v>
      </c>
      <c r="AQ1073" s="5">
        <f>Transaction[[#This Row],[Price]]*Transaction[[#This Row],[Qty]]</f>
        <v>325.99</v>
      </c>
      <c r="AR1073" s="5">
        <f>VLOOKUP(Transaction[[#This Row],[Model No.]],$AV$2:$BD$100,7,TRUE)*Transaction[[#This Row],[Qty]]</f>
        <v>97.796999999999997</v>
      </c>
      <c r="AS1073">
        <v>1100</v>
      </c>
      <c r="AT1073">
        <v>1015</v>
      </c>
    </row>
    <row r="1074" spans="36:46" x14ac:dyDescent="0.3">
      <c r="AJ1074">
        <v>94018</v>
      </c>
      <c r="AK1074" s="30">
        <v>42940</v>
      </c>
      <c r="AL1074" t="s">
        <v>566</v>
      </c>
      <c r="AM1074">
        <v>60</v>
      </c>
      <c r="AN1074" t="str">
        <f>VLOOKUP(Transaction[[#This Row],[Model No.]],$AV$2:$BD$100,2,TRUE)</f>
        <v>La Catrina Cabernet Sauvignon</v>
      </c>
      <c r="AO1074" s="21">
        <f>VLOOKUP(Transaction[[#This Row],[Model No.]],$AV$2:$BD$100,6,TRUE)</f>
        <v>12.99</v>
      </c>
      <c r="AP1074" s="9">
        <v>3</v>
      </c>
      <c r="AQ1074" s="5">
        <f>Transaction[[#This Row],[Price]]*Transaction[[#This Row],[Qty]]</f>
        <v>38.97</v>
      </c>
      <c r="AR1074" s="5">
        <f>VLOOKUP(Transaction[[#This Row],[Model No.]],$AV$2:$BD$100,7,TRUE)*Transaction[[#This Row],[Qty]]</f>
        <v>3.8970000000000002</v>
      </c>
      <c r="AS1074">
        <v>1099</v>
      </c>
      <c r="AT1074">
        <v>1007</v>
      </c>
    </row>
    <row r="1075" spans="36:46" x14ac:dyDescent="0.3">
      <c r="AJ1075">
        <v>70747</v>
      </c>
      <c r="AK1075" s="30">
        <v>42941</v>
      </c>
      <c r="AL1075" t="s">
        <v>420</v>
      </c>
      <c r="AM1075">
        <v>2</v>
      </c>
      <c r="AN1075" t="str">
        <f>VLOOKUP(Transaction[[#This Row],[Model No.]],$AV$2:$BD$100,2,TRUE)</f>
        <v>Grand Marnier Cuvee 1880 Liqueur</v>
      </c>
      <c r="AO1075" s="21">
        <f>VLOOKUP(Transaction[[#This Row],[Model No.]],$AV$2:$BD$100,6,TRUE)</f>
        <v>286.99</v>
      </c>
      <c r="AP1075" s="9">
        <v>2</v>
      </c>
      <c r="AQ1075" s="5">
        <f>Transaction[[#This Row],[Price]]*Transaction[[#This Row],[Qty]]</f>
        <v>573.98</v>
      </c>
      <c r="AR1075" s="5">
        <f>VLOOKUP(Transaction[[#This Row],[Model No.]],$AV$2:$BD$100,7,TRUE)*Transaction[[#This Row],[Qty]]</f>
        <v>172.19399999999999</v>
      </c>
      <c r="AS1075">
        <v>1099</v>
      </c>
      <c r="AT1075">
        <v>1013</v>
      </c>
    </row>
    <row r="1076" spans="36:46" x14ac:dyDescent="0.3">
      <c r="AJ1076">
        <v>19564</v>
      </c>
      <c r="AK1076" s="30">
        <v>42941</v>
      </c>
      <c r="AL1076" t="s">
        <v>1380</v>
      </c>
      <c r="AM1076">
        <v>78</v>
      </c>
      <c r="AN1076" t="str">
        <f>VLOOKUP(Transaction[[#This Row],[Model No.]],$AV$2:$BD$100,2,TRUE)</f>
        <v>Tomasello Winery Blueberry Wine Red Blend</v>
      </c>
      <c r="AO1076" s="21">
        <f>VLOOKUP(Transaction[[#This Row],[Model No.]],$AV$2:$BD$100,6,TRUE)</f>
        <v>11.49</v>
      </c>
      <c r="AP1076" s="9">
        <v>2</v>
      </c>
      <c r="AQ1076" s="5">
        <f>Transaction[[#This Row],[Price]]*Transaction[[#This Row],[Qty]]</f>
        <v>22.98</v>
      </c>
      <c r="AR1076" s="5">
        <f>VLOOKUP(Transaction[[#This Row],[Model No.]],$AV$2:$BD$100,7,TRUE)*Transaction[[#This Row],[Qty]]</f>
        <v>2.298</v>
      </c>
      <c r="AS1076">
        <v>1101</v>
      </c>
      <c r="AT1076">
        <v>1002</v>
      </c>
    </row>
    <row r="1077" spans="36:46" x14ac:dyDescent="0.3">
      <c r="AJ1077">
        <v>56245</v>
      </c>
      <c r="AK1077" s="30">
        <v>42943</v>
      </c>
      <c r="AL1077" t="s">
        <v>1871</v>
      </c>
      <c r="AM1077">
        <v>12</v>
      </c>
      <c r="AN1077" t="str">
        <f>VLOOKUP(Transaction[[#This Row],[Model No.]],$AV$2:$BD$100,2,TRUE)</f>
        <v>Cuvaison Pinot Noir</v>
      </c>
      <c r="AO1077" s="21">
        <f>VLOOKUP(Transaction[[#This Row],[Model No.]],$AV$2:$BD$100,6,TRUE)</f>
        <v>36.99</v>
      </c>
      <c r="AP1077" s="9">
        <v>2</v>
      </c>
      <c r="AQ1077" s="5">
        <f>Transaction[[#This Row],[Price]]*Transaction[[#This Row],[Qty]]</f>
        <v>73.98</v>
      </c>
      <c r="AR1077" s="5">
        <f>VLOOKUP(Transaction[[#This Row],[Model No.]],$AV$2:$BD$100,7,TRUE)*Transaction[[#This Row],[Qty]]</f>
        <v>7.3980000000000006</v>
      </c>
      <c r="AS1077">
        <v>1108</v>
      </c>
      <c r="AT1077">
        <v>1005</v>
      </c>
    </row>
    <row r="1078" spans="36:46" x14ac:dyDescent="0.3">
      <c r="AJ1078">
        <v>10934</v>
      </c>
      <c r="AK1078" s="30">
        <v>42945</v>
      </c>
      <c r="AL1078" t="s">
        <v>774</v>
      </c>
      <c r="AM1078">
        <v>10</v>
      </c>
      <c r="AN1078" t="str">
        <f>VLOOKUP(Transaction[[#This Row],[Model No.]],$AV$2:$BD$100,2,TRUE)</f>
        <v>Hum Botanical Spirit Liqueur</v>
      </c>
      <c r="AO1078" s="21">
        <f>VLOOKUP(Transaction[[#This Row],[Model No.]],$AV$2:$BD$100,6,TRUE)</f>
        <v>41.99</v>
      </c>
      <c r="AP1078" s="9">
        <v>4</v>
      </c>
      <c r="AQ1078" s="5">
        <f>Transaction[[#This Row],[Price]]*Transaction[[#This Row],[Qty]]</f>
        <v>167.96</v>
      </c>
      <c r="AR1078" s="5">
        <f>VLOOKUP(Transaction[[#This Row],[Model No.]],$AV$2:$BD$100,7,TRUE)*Transaction[[#This Row],[Qty]]</f>
        <v>50.387999999999998</v>
      </c>
      <c r="AS1078">
        <v>1099</v>
      </c>
      <c r="AT1078">
        <v>1020</v>
      </c>
    </row>
    <row r="1079" spans="36:46" x14ac:dyDescent="0.3">
      <c r="AJ1079">
        <v>78268</v>
      </c>
      <c r="AK1079" s="30">
        <v>42945</v>
      </c>
      <c r="AL1079" t="s">
        <v>504</v>
      </c>
      <c r="AM1079">
        <v>56</v>
      </c>
      <c r="AN1079" t="str">
        <f>VLOOKUP(Transaction[[#This Row],[Model No.]],$AV$2:$BD$100,2,TRUE)</f>
        <v>Roy Pitz Sour Hound - 6 Pack</v>
      </c>
      <c r="AO1079" s="21">
        <f>VLOOKUP(Transaction[[#This Row],[Model No.]],$AV$2:$BD$100,6,TRUE)</f>
        <v>13.99</v>
      </c>
      <c r="AP1079" s="9">
        <v>3</v>
      </c>
      <c r="AQ1079" s="5">
        <f>Transaction[[#This Row],[Price]]*Transaction[[#This Row],[Qty]]</f>
        <v>41.97</v>
      </c>
      <c r="AR1079" s="5">
        <f>VLOOKUP(Transaction[[#This Row],[Model No.]],$AV$2:$BD$100,7,TRUE)*Transaction[[#This Row],[Qty]]</f>
        <v>12.591000000000001</v>
      </c>
      <c r="AS1079">
        <v>1104</v>
      </c>
      <c r="AT1079">
        <v>1014</v>
      </c>
    </row>
    <row r="1080" spans="36:46" x14ac:dyDescent="0.3">
      <c r="AJ1080">
        <v>90774</v>
      </c>
      <c r="AK1080" s="30">
        <v>42947</v>
      </c>
      <c r="AL1080" t="s">
        <v>1874</v>
      </c>
      <c r="AM1080">
        <v>12</v>
      </c>
      <c r="AN1080" t="str">
        <f>VLOOKUP(Transaction[[#This Row],[Model No.]],$AV$2:$BD$100,2,TRUE)</f>
        <v>Cuvaison Pinot Noir</v>
      </c>
      <c r="AO1080" s="21">
        <f>VLOOKUP(Transaction[[#This Row],[Model No.]],$AV$2:$BD$100,6,TRUE)</f>
        <v>36.99</v>
      </c>
      <c r="AP1080" s="9">
        <v>3</v>
      </c>
      <c r="AQ1080" s="5">
        <f>Transaction[[#This Row],[Price]]*Transaction[[#This Row],[Qty]]</f>
        <v>110.97</v>
      </c>
      <c r="AR1080" s="5">
        <f>VLOOKUP(Transaction[[#This Row],[Model No.]],$AV$2:$BD$100,7,TRUE)*Transaction[[#This Row],[Qty]]</f>
        <v>11.097000000000001</v>
      </c>
      <c r="AS1080">
        <v>1098</v>
      </c>
      <c r="AT1080">
        <v>1019</v>
      </c>
    </row>
    <row r="1081" spans="36:46" x14ac:dyDescent="0.3">
      <c r="AJ1081">
        <v>32093</v>
      </c>
      <c r="AK1081" s="30">
        <v>42947</v>
      </c>
      <c r="AL1081" t="s">
        <v>1533</v>
      </c>
      <c r="AM1081">
        <v>66</v>
      </c>
      <c r="AN1081" t="str">
        <f>VLOOKUP(Transaction[[#This Row],[Model No.]],$AV$2:$BD$100,2,TRUE)</f>
        <v>Red Horse Beer - 6 Pack</v>
      </c>
      <c r="AO1081" s="21">
        <f>VLOOKUP(Transaction[[#This Row],[Model No.]],$AV$2:$BD$100,6,TRUE)</f>
        <v>12.99</v>
      </c>
      <c r="AP1081" s="9">
        <v>5</v>
      </c>
      <c r="AQ1081" s="5">
        <f>Transaction[[#This Row],[Price]]*Transaction[[#This Row],[Qty]]</f>
        <v>64.95</v>
      </c>
      <c r="AR1081" s="5">
        <f>VLOOKUP(Transaction[[#This Row],[Model No.]],$AV$2:$BD$100,7,TRUE)*Transaction[[#This Row],[Qty]]</f>
        <v>19.484999999999999</v>
      </c>
      <c r="AS1081">
        <v>1108</v>
      </c>
      <c r="AT1081">
        <v>1012</v>
      </c>
    </row>
    <row r="1082" spans="36:46" x14ac:dyDescent="0.3">
      <c r="AJ1082">
        <v>32631</v>
      </c>
      <c r="AK1082" s="30">
        <v>42947</v>
      </c>
      <c r="AL1082" t="s">
        <v>1507</v>
      </c>
      <c r="AM1082">
        <v>74</v>
      </c>
      <c r="AN1082" t="str">
        <f>VLOOKUP(Transaction[[#This Row],[Model No.]],$AV$2:$BD$100,2,TRUE)</f>
        <v>UINTA PALE ALE NR - 6 Pack</v>
      </c>
      <c r="AO1082" s="21">
        <f>VLOOKUP(Transaction[[#This Row],[Model No.]],$AV$2:$BD$100,6,TRUE)</f>
        <v>11.99</v>
      </c>
      <c r="AP1082" s="9">
        <v>4</v>
      </c>
      <c r="AQ1082" s="5">
        <f>Transaction[[#This Row],[Price]]*Transaction[[#This Row],[Qty]]</f>
        <v>47.96</v>
      </c>
      <c r="AR1082" s="5">
        <f>VLOOKUP(Transaction[[#This Row],[Model No.]],$AV$2:$BD$100,7,TRUE)*Transaction[[#This Row],[Qty]]</f>
        <v>14.388</v>
      </c>
      <c r="AS1082">
        <v>1103</v>
      </c>
      <c r="AT1082">
        <v>1011</v>
      </c>
    </row>
    <row r="1083" spans="36:46" x14ac:dyDescent="0.3">
      <c r="AJ1083">
        <v>21661</v>
      </c>
      <c r="AK1083" s="30">
        <v>42951</v>
      </c>
      <c r="AL1083" t="s">
        <v>1588</v>
      </c>
      <c r="AM1083">
        <v>6</v>
      </c>
      <c r="AN1083" t="str">
        <f>VLOOKUP(Transaction[[#This Row],[Model No.]],$AV$2:$BD$100,2,TRUE)</f>
        <v>Agricola Punica Barrua Isola Dei Nuraghi IGT Carignan</v>
      </c>
      <c r="AO1083" s="21">
        <f>VLOOKUP(Transaction[[#This Row],[Model No.]],$AV$2:$BD$100,6,TRUE)</f>
        <v>46.99</v>
      </c>
      <c r="AP1083" s="9">
        <v>3</v>
      </c>
      <c r="AQ1083" s="5">
        <f>Transaction[[#This Row],[Price]]*Transaction[[#This Row],[Qty]]</f>
        <v>140.97</v>
      </c>
      <c r="AR1083" s="5">
        <f>VLOOKUP(Transaction[[#This Row],[Model No.]],$AV$2:$BD$100,7,TRUE)*Transaction[[#This Row],[Qty]]</f>
        <v>14.097000000000001</v>
      </c>
      <c r="AS1083">
        <v>1101</v>
      </c>
      <c r="AT1083">
        <v>1008</v>
      </c>
    </row>
    <row r="1084" spans="36:46" x14ac:dyDescent="0.3">
      <c r="AJ1084">
        <v>98966</v>
      </c>
      <c r="AK1084" s="30">
        <v>42951</v>
      </c>
      <c r="AL1084" t="s">
        <v>467</v>
      </c>
      <c r="AM1084">
        <v>67</v>
      </c>
      <c r="AN1084" t="str">
        <f>VLOOKUP(Transaction[[#This Row],[Model No.]],$AV$2:$BD$100,2,TRUE)</f>
        <v>Oh Be Joyful Sweet Deutscher Qualitatswein Dornfelder</v>
      </c>
      <c r="AO1084" s="21">
        <f>VLOOKUP(Transaction[[#This Row],[Model No.]],$AV$2:$BD$100,6,TRUE)</f>
        <v>12.99</v>
      </c>
      <c r="AP1084" s="9">
        <v>3</v>
      </c>
      <c r="AQ1084" s="5">
        <f>Transaction[[#This Row],[Price]]*Transaction[[#This Row],[Qty]]</f>
        <v>38.97</v>
      </c>
      <c r="AR1084" s="5">
        <f>VLOOKUP(Transaction[[#This Row],[Model No.]],$AV$2:$BD$100,7,TRUE)*Transaction[[#This Row],[Qty]]</f>
        <v>15.588000000000001</v>
      </c>
      <c r="AS1084">
        <v>1107</v>
      </c>
      <c r="AT1084">
        <v>1010</v>
      </c>
    </row>
    <row r="1085" spans="36:46" x14ac:dyDescent="0.3">
      <c r="AJ1085">
        <v>76605</v>
      </c>
      <c r="AK1085" s="30">
        <v>42952</v>
      </c>
      <c r="AL1085" t="s">
        <v>1184</v>
      </c>
      <c r="AM1085">
        <v>28</v>
      </c>
      <c r="AN1085" t="str">
        <f>VLOOKUP(Transaction[[#This Row],[Model No.]],$AV$2:$BD$100,2,TRUE)</f>
        <v>Quinta de Soalheiro Soalheiro Alvarinho</v>
      </c>
      <c r="AO1085" s="21">
        <f>VLOOKUP(Transaction[[#This Row],[Model No.]],$AV$2:$BD$100,6,TRUE)</f>
        <v>23.99</v>
      </c>
      <c r="AP1085" s="9">
        <v>2</v>
      </c>
      <c r="AQ1085" s="5">
        <f>Transaction[[#This Row],[Price]]*Transaction[[#This Row],[Qty]]</f>
        <v>47.98</v>
      </c>
      <c r="AR1085" s="5">
        <f>VLOOKUP(Transaction[[#This Row],[Model No.]],$AV$2:$BD$100,7,TRUE)*Transaction[[#This Row],[Qty]]</f>
        <v>19.192</v>
      </c>
      <c r="AS1085">
        <v>1106</v>
      </c>
      <c r="AT1085">
        <v>1016</v>
      </c>
    </row>
    <row r="1086" spans="36:46" x14ac:dyDescent="0.3">
      <c r="AJ1086">
        <v>29690</v>
      </c>
      <c r="AK1086" s="30">
        <v>42953</v>
      </c>
      <c r="AL1086" t="s">
        <v>1305</v>
      </c>
      <c r="AM1086">
        <v>23</v>
      </c>
      <c r="AN1086" t="str">
        <f>VLOOKUP(Transaction[[#This Row],[Model No.]],$AV$2:$BD$100,2,TRUE)</f>
        <v>Brinley Gold Shipwreck Mango Rum</v>
      </c>
      <c r="AO1086" s="21">
        <f>VLOOKUP(Transaction[[#This Row],[Model No.]],$AV$2:$BD$100,6,TRUE)</f>
        <v>25.99</v>
      </c>
      <c r="AP1086" s="9">
        <v>5</v>
      </c>
      <c r="AQ1086" s="5">
        <f>Transaction[[#This Row],[Price]]*Transaction[[#This Row],[Qty]]</f>
        <v>129.94999999999999</v>
      </c>
      <c r="AR1086" s="5">
        <f>VLOOKUP(Transaction[[#This Row],[Model No.]],$AV$2:$BD$100,7,TRUE)*Transaction[[#This Row],[Qty]]</f>
        <v>25.990000000000002</v>
      </c>
      <c r="AS1086">
        <v>1108</v>
      </c>
      <c r="AT1086">
        <v>1004</v>
      </c>
    </row>
    <row r="1087" spans="36:46" x14ac:dyDescent="0.3">
      <c r="AJ1087">
        <v>35746</v>
      </c>
      <c r="AK1087" s="30">
        <v>42953</v>
      </c>
      <c r="AL1087" t="s">
        <v>617</v>
      </c>
      <c r="AM1087">
        <v>58</v>
      </c>
      <c r="AN1087" t="str">
        <f>VLOOKUP(Transaction[[#This Row],[Model No.]],$AV$2:$BD$100,2,TRUE)</f>
        <v>Smirnoff Mango Vodka</v>
      </c>
      <c r="AO1087" s="21">
        <f>VLOOKUP(Transaction[[#This Row],[Model No.]],$AV$2:$BD$100,6,TRUE)</f>
        <v>13.49</v>
      </c>
      <c r="AP1087" s="9">
        <v>1</v>
      </c>
      <c r="AQ1087" s="5">
        <f>Transaction[[#This Row],[Price]]*Transaction[[#This Row],[Qty]]</f>
        <v>13.49</v>
      </c>
      <c r="AR1087" s="5">
        <f>VLOOKUP(Transaction[[#This Row],[Model No.]],$AV$2:$BD$100,7,TRUE)*Transaction[[#This Row],[Qty]]</f>
        <v>4.0469999999999997</v>
      </c>
      <c r="AS1087">
        <v>1101</v>
      </c>
      <c r="AT1087">
        <v>1020</v>
      </c>
    </row>
    <row r="1088" spans="36:46" x14ac:dyDescent="0.3">
      <c r="AJ1088">
        <v>40810</v>
      </c>
      <c r="AK1088" s="30">
        <v>42958</v>
      </c>
      <c r="AL1088" t="s">
        <v>431</v>
      </c>
      <c r="AM1088">
        <v>42</v>
      </c>
      <c r="AN1088" t="str">
        <f>VLOOKUP(Transaction[[#This Row],[Model No.]],$AV$2:$BD$100,2,TRUE)</f>
        <v>Francis Ford Coppola Sofia Brut Rose Pinot Noir</v>
      </c>
      <c r="AO1088" s="21">
        <f>VLOOKUP(Transaction[[#This Row],[Model No.]],$AV$2:$BD$100,6,TRUE)</f>
        <v>16.989999999999998</v>
      </c>
      <c r="AP1088" s="9">
        <v>5</v>
      </c>
      <c r="AQ1088" s="5">
        <f>Transaction[[#This Row],[Price]]*Transaction[[#This Row],[Qty]]</f>
        <v>84.949999999999989</v>
      </c>
      <c r="AR1088" s="5">
        <f>VLOOKUP(Transaction[[#This Row],[Model No.]],$AV$2:$BD$100,7,TRUE)*Transaction[[#This Row],[Qty]]</f>
        <v>33.979999999999997</v>
      </c>
      <c r="AS1088">
        <v>1101</v>
      </c>
      <c r="AT1088">
        <v>1012</v>
      </c>
    </row>
    <row r="1089" spans="36:46" x14ac:dyDescent="0.3">
      <c r="AJ1089">
        <v>56974</v>
      </c>
      <c r="AK1089" s="30">
        <v>42959</v>
      </c>
      <c r="AL1089" t="s">
        <v>1886</v>
      </c>
      <c r="AM1089">
        <v>86</v>
      </c>
      <c r="AN1089" t="str">
        <f>VLOOKUP(Transaction[[#This Row],[Model No.]],$AV$2:$BD$100,2,TRUE)</f>
        <v>Bully Hill Vineyards Love My Goat Baco Noir</v>
      </c>
      <c r="AO1089" s="21">
        <f>VLOOKUP(Transaction[[#This Row],[Model No.]],$AV$2:$BD$100,6,TRUE)</f>
        <v>9.49</v>
      </c>
      <c r="AP1089" s="9">
        <v>1</v>
      </c>
      <c r="AQ1089" s="5">
        <f>Transaction[[#This Row],[Price]]*Transaction[[#This Row],[Qty]]</f>
        <v>9.49</v>
      </c>
      <c r="AR1089" s="5">
        <f>VLOOKUP(Transaction[[#This Row],[Model No.]],$AV$2:$BD$100,7,TRUE)*Transaction[[#This Row],[Qty]]</f>
        <v>0.94900000000000007</v>
      </c>
      <c r="AS1089">
        <v>1105</v>
      </c>
      <c r="AT1089">
        <v>1019</v>
      </c>
    </row>
    <row r="1090" spans="36:46" x14ac:dyDescent="0.3">
      <c r="AJ1090">
        <v>19703</v>
      </c>
      <c r="AK1090" s="30">
        <v>42960</v>
      </c>
      <c r="AL1090" t="s">
        <v>1069</v>
      </c>
      <c r="AM1090">
        <v>12</v>
      </c>
      <c r="AN1090" t="str">
        <f>VLOOKUP(Transaction[[#This Row],[Model No.]],$AV$2:$BD$100,2,TRUE)</f>
        <v>Cuvaison Pinot Noir</v>
      </c>
      <c r="AO1090" s="21">
        <f>VLOOKUP(Transaction[[#This Row],[Model No.]],$AV$2:$BD$100,6,TRUE)</f>
        <v>36.99</v>
      </c>
      <c r="AP1090" s="9">
        <v>1</v>
      </c>
      <c r="AQ1090" s="5">
        <f>Transaction[[#This Row],[Price]]*Transaction[[#This Row],[Qty]]</f>
        <v>36.99</v>
      </c>
      <c r="AR1090" s="5">
        <f>VLOOKUP(Transaction[[#This Row],[Model No.]],$AV$2:$BD$100,7,TRUE)*Transaction[[#This Row],[Qty]]</f>
        <v>3.6990000000000003</v>
      </c>
      <c r="AS1090">
        <v>1106</v>
      </c>
      <c r="AT1090">
        <v>1004</v>
      </c>
    </row>
    <row r="1091" spans="36:46" x14ac:dyDescent="0.3">
      <c r="AJ1091">
        <v>45967</v>
      </c>
      <c r="AK1091" s="30">
        <v>42961</v>
      </c>
      <c r="AL1091" t="s">
        <v>569</v>
      </c>
      <c r="AM1091">
        <v>69</v>
      </c>
      <c r="AN1091" t="str">
        <f>VLOOKUP(Transaction[[#This Row],[Model No.]],$AV$2:$BD$100,2,TRUE)</f>
        <v>Castillo de Maluenda Vinas Viejas Punto y Coma Garnacha</v>
      </c>
      <c r="AO1091" s="21">
        <f>VLOOKUP(Transaction[[#This Row],[Model No.]],$AV$2:$BD$100,6,TRUE)</f>
        <v>12.99</v>
      </c>
      <c r="AP1091" s="9">
        <v>4</v>
      </c>
      <c r="AQ1091" s="5">
        <f>Transaction[[#This Row],[Price]]*Transaction[[#This Row],[Qty]]</f>
        <v>51.96</v>
      </c>
      <c r="AR1091" s="5">
        <f>VLOOKUP(Transaction[[#This Row],[Model No.]],$AV$2:$BD$100,7,TRUE)*Transaction[[#This Row],[Qty]]</f>
        <v>20.784000000000002</v>
      </c>
      <c r="AS1091">
        <v>1102</v>
      </c>
      <c r="AT1091">
        <v>1011</v>
      </c>
    </row>
    <row r="1092" spans="36:46" x14ac:dyDescent="0.3">
      <c r="AJ1092">
        <v>48712</v>
      </c>
      <c r="AK1092" s="30">
        <v>42962</v>
      </c>
      <c r="AL1092" t="s">
        <v>354</v>
      </c>
      <c r="AM1092">
        <v>64</v>
      </c>
      <c r="AN1092" t="str">
        <f>VLOOKUP(Transaction[[#This Row],[Model No.]],$AV$2:$BD$100,2,TRUE)</f>
        <v>Maui Brewing Big Swell IPA - 6 Pack</v>
      </c>
      <c r="AO1092" s="21">
        <f>VLOOKUP(Transaction[[#This Row],[Model No.]],$AV$2:$BD$100,6,TRUE)</f>
        <v>12.99</v>
      </c>
      <c r="AP1092" s="9">
        <v>1</v>
      </c>
      <c r="AQ1092" s="5">
        <f>Transaction[[#This Row],[Price]]*Transaction[[#This Row],[Qty]]</f>
        <v>12.99</v>
      </c>
      <c r="AR1092" s="5">
        <f>VLOOKUP(Transaction[[#This Row],[Model No.]],$AV$2:$BD$100,7,TRUE)*Transaction[[#This Row],[Qty]]</f>
        <v>3.8969999999999998</v>
      </c>
      <c r="AS1092">
        <v>1108</v>
      </c>
      <c r="AT1092">
        <v>1010</v>
      </c>
    </row>
    <row r="1093" spans="36:46" x14ac:dyDescent="0.3">
      <c r="AJ1093">
        <v>78831</v>
      </c>
      <c r="AK1093" s="30">
        <v>42962</v>
      </c>
      <c r="AL1093" t="s">
        <v>1103</v>
      </c>
      <c r="AM1093">
        <v>91</v>
      </c>
      <c r="AN1093" t="str">
        <f>VLOOKUP(Transaction[[#This Row],[Model No.]],$AV$2:$BD$100,2,TRUE)</f>
        <v>Rex Goliath Free Range Giant 47 Pound Rooster Merlot</v>
      </c>
      <c r="AO1093" s="21">
        <f>VLOOKUP(Transaction[[#This Row],[Model No.]],$AV$2:$BD$100,6,TRUE)</f>
        <v>7.79</v>
      </c>
      <c r="AP1093" s="9">
        <v>2</v>
      </c>
      <c r="AQ1093" s="5">
        <f>Transaction[[#This Row],[Price]]*Transaction[[#This Row],[Qty]]</f>
        <v>15.58</v>
      </c>
      <c r="AR1093" s="5">
        <f>VLOOKUP(Transaction[[#This Row],[Model No.]],$AV$2:$BD$100,7,TRUE)*Transaction[[#This Row],[Qty]]</f>
        <v>1.5580000000000001</v>
      </c>
      <c r="AS1093">
        <v>1105</v>
      </c>
      <c r="AT1093">
        <v>1006</v>
      </c>
    </row>
    <row r="1094" spans="36:46" x14ac:dyDescent="0.3">
      <c r="AJ1094">
        <v>42031</v>
      </c>
      <c r="AK1094" s="30">
        <v>42963</v>
      </c>
      <c r="AL1094" t="s">
        <v>453</v>
      </c>
      <c r="AM1094">
        <v>14</v>
      </c>
      <c r="AN1094" t="str">
        <f>VLOOKUP(Transaction[[#This Row],[Model No.]],$AV$2:$BD$100,2,TRUE)</f>
        <v>Walter Hansel Winery The Estate Vineyards Chardonnay</v>
      </c>
      <c r="AO1094" s="21">
        <f>VLOOKUP(Transaction[[#This Row],[Model No.]],$AV$2:$BD$100,6,TRUE)</f>
        <v>34.99</v>
      </c>
      <c r="AP1094" s="9">
        <v>2</v>
      </c>
      <c r="AQ1094" s="5">
        <f>Transaction[[#This Row],[Price]]*Transaction[[#This Row],[Qty]]</f>
        <v>69.98</v>
      </c>
      <c r="AR1094" s="5">
        <f>VLOOKUP(Transaction[[#This Row],[Model No.]],$AV$2:$BD$100,7,TRUE)*Transaction[[#This Row],[Qty]]</f>
        <v>13.996000000000002</v>
      </c>
      <c r="AS1094">
        <v>1103</v>
      </c>
      <c r="AT1094">
        <v>1021</v>
      </c>
    </row>
    <row r="1095" spans="36:46" x14ac:dyDescent="0.3">
      <c r="AJ1095">
        <v>70346</v>
      </c>
      <c r="AK1095" s="30">
        <v>42963</v>
      </c>
      <c r="AL1095" t="s">
        <v>737</v>
      </c>
      <c r="AM1095">
        <v>37</v>
      </c>
      <c r="AN1095" t="str">
        <f>VLOOKUP(Transaction[[#This Row],[Model No.]],$AV$2:$BD$100,2,TRUE)</f>
        <v>Francis Ford Coppola Diamond Collection Black Label Pavilion Chardonnay</v>
      </c>
      <c r="AO1095" s="21">
        <f>VLOOKUP(Transaction[[#This Row],[Model No.]],$AV$2:$BD$100,6,TRUE)</f>
        <v>19.989999999999998</v>
      </c>
      <c r="AP1095" s="9">
        <v>1</v>
      </c>
      <c r="AQ1095" s="5">
        <f>Transaction[[#This Row],[Price]]*Transaction[[#This Row],[Qty]]</f>
        <v>19.989999999999998</v>
      </c>
      <c r="AR1095" s="5">
        <f>VLOOKUP(Transaction[[#This Row],[Model No.]],$AV$2:$BD$100,7,TRUE)*Transaction[[#This Row],[Qty]]</f>
        <v>1.9989999999999999</v>
      </c>
      <c r="AS1095">
        <v>1108</v>
      </c>
      <c r="AT1095">
        <v>1009</v>
      </c>
    </row>
    <row r="1096" spans="36:46" x14ac:dyDescent="0.3">
      <c r="AJ1096">
        <v>99697</v>
      </c>
      <c r="AK1096" s="30">
        <v>42967</v>
      </c>
      <c r="AL1096" t="s">
        <v>1036</v>
      </c>
      <c r="AM1096">
        <v>1</v>
      </c>
      <c r="AN1096" t="str">
        <f>VLOOKUP(Transaction[[#This Row],[Model No.]],$AV$2:$BD$100,2,TRUE)</f>
        <v>Forager's Keep 26 Year Old Single Malt Scotch Whisky</v>
      </c>
      <c r="AO1096" s="21">
        <f>VLOOKUP(Transaction[[#This Row],[Model No.]],$AV$2:$BD$100,6,TRUE)</f>
        <v>325.99</v>
      </c>
      <c r="AP1096" s="9">
        <v>1</v>
      </c>
      <c r="AQ1096" s="5">
        <f>Transaction[[#This Row],[Price]]*Transaction[[#This Row],[Qty]]</f>
        <v>325.99</v>
      </c>
      <c r="AR1096" s="5">
        <f>VLOOKUP(Transaction[[#This Row],[Model No.]],$AV$2:$BD$100,7,TRUE)*Transaction[[#This Row],[Qty]]</f>
        <v>97.796999999999997</v>
      </c>
      <c r="AS1096">
        <v>1108</v>
      </c>
      <c r="AT1096">
        <v>1017</v>
      </c>
    </row>
    <row r="1097" spans="36:46" x14ac:dyDescent="0.3">
      <c r="AJ1097">
        <v>60132</v>
      </c>
      <c r="AK1097" s="30">
        <v>42967</v>
      </c>
      <c r="AL1097" t="s">
        <v>357</v>
      </c>
      <c r="AM1097">
        <v>31</v>
      </c>
      <c r="AN1097" t="str">
        <f>VLOOKUP(Transaction[[#This Row],[Model No.]],$AV$2:$BD$100,2,TRUE)</f>
        <v>Gulden Draak 9000 Quadruple - 4 Pack</v>
      </c>
      <c r="AO1097" s="21">
        <f>VLOOKUP(Transaction[[#This Row],[Model No.]],$AV$2:$BD$100,6,TRUE)</f>
        <v>21.99</v>
      </c>
      <c r="AP1097" s="9">
        <v>4</v>
      </c>
      <c r="AQ1097" s="5">
        <f>Transaction[[#This Row],[Price]]*Transaction[[#This Row],[Qty]]</f>
        <v>87.96</v>
      </c>
      <c r="AR1097" s="5">
        <f>VLOOKUP(Transaction[[#This Row],[Model No.]],$AV$2:$BD$100,7,TRUE)*Transaction[[#This Row],[Qty]]</f>
        <v>26.387999999999998</v>
      </c>
      <c r="AS1097">
        <v>1098</v>
      </c>
      <c r="AT1097">
        <v>1015</v>
      </c>
    </row>
    <row r="1098" spans="36:46" x14ac:dyDescent="0.3">
      <c r="AJ1098">
        <v>72040</v>
      </c>
      <c r="AK1098" s="30">
        <v>42970</v>
      </c>
      <c r="AL1098" t="s">
        <v>830</v>
      </c>
      <c r="AM1098">
        <v>25</v>
      </c>
      <c r="AN1098" t="str">
        <f>VLOOKUP(Transaction[[#This Row],[Model No.]],$AV$2:$BD$100,2,TRUE)</f>
        <v>ICEHOUSE 4/6 LNNR - 24 Pack</v>
      </c>
      <c r="AO1098" s="21">
        <f>VLOOKUP(Transaction[[#This Row],[Model No.]],$AV$2:$BD$100,6,TRUE)</f>
        <v>23.99</v>
      </c>
      <c r="AP1098" s="9">
        <v>2</v>
      </c>
      <c r="AQ1098" s="5">
        <f>Transaction[[#This Row],[Price]]*Transaction[[#This Row],[Qty]]</f>
        <v>47.98</v>
      </c>
      <c r="AR1098" s="5">
        <f>VLOOKUP(Transaction[[#This Row],[Model No.]],$AV$2:$BD$100,7,TRUE)*Transaction[[#This Row],[Qty]]</f>
        <v>14.393999999999998</v>
      </c>
      <c r="AS1098">
        <v>1107</v>
      </c>
      <c r="AT1098">
        <v>1020</v>
      </c>
    </row>
    <row r="1099" spans="36:46" x14ac:dyDescent="0.3">
      <c r="AJ1099">
        <v>15140</v>
      </c>
      <c r="AK1099" s="30">
        <v>42971</v>
      </c>
      <c r="AL1099" t="s">
        <v>589</v>
      </c>
      <c r="AM1099">
        <v>38</v>
      </c>
      <c r="AN1099" t="str">
        <f>VLOOKUP(Transaction[[#This Row],[Model No.]],$AV$2:$BD$100,2,TRUE)</f>
        <v>CiROC Red Berry Vodka</v>
      </c>
      <c r="AO1099" s="21">
        <f>VLOOKUP(Transaction[[#This Row],[Model No.]],$AV$2:$BD$100,6,TRUE)</f>
        <v>19.989999999999998</v>
      </c>
      <c r="AP1099" s="9">
        <v>2</v>
      </c>
      <c r="AQ1099" s="5">
        <f>Transaction[[#This Row],[Price]]*Transaction[[#This Row],[Qty]]</f>
        <v>39.979999999999997</v>
      </c>
      <c r="AR1099" s="5">
        <f>VLOOKUP(Transaction[[#This Row],[Model No.]],$AV$2:$BD$100,7,TRUE)*Transaction[[#This Row],[Qty]]</f>
        <v>11.993999999999998</v>
      </c>
      <c r="AS1099">
        <v>1104</v>
      </c>
      <c r="AT1099">
        <v>1016</v>
      </c>
    </row>
    <row r="1100" spans="36:46" x14ac:dyDescent="0.3">
      <c r="AJ1100">
        <v>62118</v>
      </c>
      <c r="AK1100" s="30">
        <v>42972</v>
      </c>
      <c r="AL1100" t="s">
        <v>1071</v>
      </c>
      <c r="AM1100">
        <v>8</v>
      </c>
      <c r="AN1100" t="str">
        <f>VLOOKUP(Transaction[[#This Row],[Model No.]],$AV$2:$BD$100,2,TRUE)</f>
        <v>Roco Marsh Estate Vineyard Pinot Noir</v>
      </c>
      <c r="AO1100" s="21">
        <f>VLOOKUP(Transaction[[#This Row],[Model No.]],$AV$2:$BD$100,6,TRUE)</f>
        <v>44.99</v>
      </c>
      <c r="AP1100" s="9">
        <v>2</v>
      </c>
      <c r="AQ1100" s="5">
        <f>Transaction[[#This Row],[Price]]*Transaction[[#This Row],[Qty]]</f>
        <v>89.98</v>
      </c>
      <c r="AR1100" s="5">
        <f>VLOOKUP(Transaction[[#This Row],[Model No.]],$AV$2:$BD$100,7,TRUE)*Transaction[[#This Row],[Qty]]</f>
        <v>8.9980000000000011</v>
      </c>
      <c r="AS1100">
        <v>1104</v>
      </c>
      <c r="AT1100">
        <v>1010</v>
      </c>
    </row>
    <row r="1101" spans="36:46" x14ac:dyDescent="0.3">
      <c r="AJ1101">
        <v>49383</v>
      </c>
      <c r="AK1101" s="30">
        <v>42972</v>
      </c>
      <c r="AL1101" t="s">
        <v>511</v>
      </c>
      <c r="AM1101">
        <v>66</v>
      </c>
      <c r="AN1101" t="str">
        <f>VLOOKUP(Transaction[[#This Row],[Model No.]],$AV$2:$BD$100,2,TRUE)</f>
        <v>Red Horse Beer - 6 Pack</v>
      </c>
      <c r="AO1101" s="21">
        <f>VLOOKUP(Transaction[[#This Row],[Model No.]],$AV$2:$BD$100,6,TRUE)</f>
        <v>12.99</v>
      </c>
      <c r="AP1101" s="9">
        <v>4</v>
      </c>
      <c r="AQ1101" s="5">
        <f>Transaction[[#This Row],[Price]]*Transaction[[#This Row],[Qty]]</f>
        <v>51.96</v>
      </c>
      <c r="AR1101" s="5">
        <f>VLOOKUP(Transaction[[#This Row],[Model No.]],$AV$2:$BD$100,7,TRUE)*Transaction[[#This Row],[Qty]]</f>
        <v>15.587999999999999</v>
      </c>
      <c r="AS1101">
        <v>1102</v>
      </c>
      <c r="AT1101">
        <v>1019</v>
      </c>
    </row>
    <row r="1102" spans="36:46" x14ac:dyDescent="0.3">
      <c r="AJ1102">
        <v>26330</v>
      </c>
      <c r="AK1102" s="30">
        <v>42973</v>
      </c>
      <c r="AL1102" t="s">
        <v>1601</v>
      </c>
      <c r="AM1102">
        <v>68</v>
      </c>
      <c r="AN1102" t="str">
        <f>VLOOKUP(Transaction[[#This Row],[Model No.]],$AV$2:$BD$100,2,TRUE)</f>
        <v>Conti Beretta Estate Bottled Friuli Grave Pinot Grigio</v>
      </c>
      <c r="AO1102" s="21">
        <f>VLOOKUP(Transaction[[#This Row],[Model No.]],$AV$2:$BD$100,6,TRUE)</f>
        <v>12.99</v>
      </c>
      <c r="AP1102" s="9">
        <v>1</v>
      </c>
      <c r="AQ1102" s="5">
        <f>Transaction[[#This Row],[Price]]*Transaction[[#This Row],[Qty]]</f>
        <v>12.99</v>
      </c>
      <c r="AR1102" s="5">
        <f>VLOOKUP(Transaction[[#This Row],[Model No.]],$AV$2:$BD$100,7,TRUE)*Transaction[[#This Row],[Qty]]</f>
        <v>1.2990000000000002</v>
      </c>
      <c r="AS1102">
        <v>1102</v>
      </c>
      <c r="AT1102">
        <v>1007</v>
      </c>
    </row>
    <row r="1103" spans="36:46" x14ac:dyDescent="0.3">
      <c r="AJ1103">
        <v>77372</v>
      </c>
      <c r="AK1103" s="30">
        <v>42978</v>
      </c>
      <c r="AL1103" t="s">
        <v>441</v>
      </c>
      <c r="AM1103">
        <v>7</v>
      </c>
      <c r="AN1103" t="str">
        <f>VLOOKUP(Transaction[[#This Row],[Model No.]],$AV$2:$BD$100,2,TRUE)</f>
        <v>Glenkinchie Distillers Edition Single Malt Scotch Whisky</v>
      </c>
      <c r="AO1103" s="21">
        <f>VLOOKUP(Transaction[[#This Row],[Model No.]],$AV$2:$BD$100,6,TRUE)</f>
        <v>45.99</v>
      </c>
      <c r="AP1103" s="9">
        <v>3</v>
      </c>
      <c r="AQ1103" s="5">
        <f>Transaction[[#This Row],[Price]]*Transaction[[#This Row],[Qty]]</f>
        <v>137.97</v>
      </c>
      <c r="AR1103" s="5">
        <f>VLOOKUP(Transaction[[#This Row],[Model No.]],$AV$2:$BD$100,7,TRUE)*Transaction[[#This Row],[Qty]]</f>
        <v>41.391000000000005</v>
      </c>
      <c r="AS1103">
        <v>1104</v>
      </c>
      <c r="AT1103">
        <v>1003</v>
      </c>
    </row>
    <row r="1104" spans="36:46" x14ac:dyDescent="0.3">
      <c r="AJ1104">
        <v>93679</v>
      </c>
      <c r="AK1104" s="30">
        <v>42978</v>
      </c>
      <c r="AL1104" t="s">
        <v>1670</v>
      </c>
      <c r="AM1104">
        <v>37</v>
      </c>
      <c r="AN1104" t="str">
        <f>VLOOKUP(Transaction[[#This Row],[Model No.]],$AV$2:$BD$100,2,TRUE)</f>
        <v>Francis Ford Coppola Diamond Collection Black Label Pavilion Chardonnay</v>
      </c>
      <c r="AO1104" s="21">
        <f>VLOOKUP(Transaction[[#This Row],[Model No.]],$AV$2:$BD$100,6,TRUE)</f>
        <v>19.989999999999998</v>
      </c>
      <c r="AP1104" s="9">
        <v>4</v>
      </c>
      <c r="AQ1104" s="5">
        <f>Transaction[[#This Row],[Price]]*Transaction[[#This Row],[Qty]]</f>
        <v>79.959999999999994</v>
      </c>
      <c r="AR1104" s="5">
        <f>VLOOKUP(Transaction[[#This Row],[Model No.]],$AV$2:$BD$100,7,TRUE)*Transaction[[#This Row],[Qty]]</f>
        <v>7.9959999999999996</v>
      </c>
      <c r="AS1104">
        <v>1101</v>
      </c>
      <c r="AT1104">
        <v>1003</v>
      </c>
    </row>
    <row r="1105" spans="36:46" x14ac:dyDescent="0.3">
      <c r="AJ1105">
        <v>11266</v>
      </c>
      <c r="AK1105" s="30">
        <v>42979</v>
      </c>
      <c r="AL1105" t="s">
        <v>1734</v>
      </c>
      <c r="AM1105">
        <v>7</v>
      </c>
      <c r="AN1105" t="str">
        <f>VLOOKUP(Transaction[[#This Row],[Model No.]],$AV$2:$BD$100,2,TRUE)</f>
        <v>Glenkinchie Distillers Edition Single Malt Scotch Whisky</v>
      </c>
      <c r="AO1105" s="21">
        <f>VLOOKUP(Transaction[[#This Row],[Model No.]],$AV$2:$BD$100,6,TRUE)</f>
        <v>45.99</v>
      </c>
      <c r="AP1105" s="9">
        <v>1</v>
      </c>
      <c r="AQ1105" s="5">
        <f>Transaction[[#This Row],[Price]]*Transaction[[#This Row],[Qty]]</f>
        <v>45.99</v>
      </c>
      <c r="AR1105" s="5">
        <f>VLOOKUP(Transaction[[#This Row],[Model No.]],$AV$2:$BD$100,7,TRUE)*Transaction[[#This Row],[Qty]]</f>
        <v>13.797000000000001</v>
      </c>
      <c r="AS1105">
        <v>1105</v>
      </c>
      <c r="AT1105">
        <v>1018</v>
      </c>
    </row>
    <row r="1106" spans="36:46" x14ac:dyDescent="0.3">
      <c r="AJ1106">
        <v>62892</v>
      </c>
      <c r="AK1106" s="30">
        <v>42979</v>
      </c>
      <c r="AL1106" t="s">
        <v>1528</v>
      </c>
      <c r="AM1106">
        <v>53</v>
      </c>
      <c r="AN1106" t="str">
        <f>VLOOKUP(Transaction[[#This Row],[Model No.]],$AV$2:$BD$100,2,TRUE)</f>
        <v>Ommegang Hennepin - 4 Pack</v>
      </c>
      <c r="AO1106" s="21">
        <f>VLOOKUP(Transaction[[#This Row],[Model No.]],$AV$2:$BD$100,6,TRUE)</f>
        <v>14.99</v>
      </c>
      <c r="AP1106" s="9">
        <v>3</v>
      </c>
      <c r="AQ1106" s="5">
        <f>Transaction[[#This Row],[Price]]*Transaction[[#This Row],[Qty]]</f>
        <v>44.97</v>
      </c>
      <c r="AR1106" s="5">
        <f>VLOOKUP(Transaction[[#This Row],[Model No.]],$AV$2:$BD$100,7,TRUE)*Transaction[[#This Row],[Qty]]</f>
        <v>13.491</v>
      </c>
      <c r="AS1106">
        <v>1101</v>
      </c>
      <c r="AT1106">
        <v>1004</v>
      </c>
    </row>
    <row r="1107" spans="36:46" x14ac:dyDescent="0.3">
      <c r="AJ1107">
        <v>15225</v>
      </c>
      <c r="AK1107" s="30">
        <v>42979</v>
      </c>
      <c r="AL1107" t="s">
        <v>1385</v>
      </c>
      <c r="AM1107">
        <v>73</v>
      </c>
      <c r="AN1107" t="str">
        <f>VLOOKUP(Transaction[[#This Row],[Model No.]],$AV$2:$BD$100,2,TRUE)</f>
        <v>Schlafly Oktoberfest - 6 Pack</v>
      </c>
      <c r="AO1107" s="21">
        <f>VLOOKUP(Transaction[[#This Row],[Model No.]],$AV$2:$BD$100,6,TRUE)</f>
        <v>11.99</v>
      </c>
      <c r="AP1107" s="9">
        <v>5</v>
      </c>
      <c r="AQ1107" s="5">
        <f>Transaction[[#This Row],[Price]]*Transaction[[#This Row],[Qty]]</f>
        <v>59.95</v>
      </c>
      <c r="AR1107" s="5">
        <f>VLOOKUP(Transaction[[#This Row],[Model No.]],$AV$2:$BD$100,7,TRUE)*Transaction[[#This Row],[Qty]]</f>
        <v>17.984999999999999</v>
      </c>
      <c r="AS1107">
        <v>1102</v>
      </c>
      <c r="AT1107">
        <v>1014</v>
      </c>
    </row>
    <row r="1108" spans="36:46" x14ac:dyDescent="0.3">
      <c r="AJ1108">
        <v>35160</v>
      </c>
      <c r="AK1108" s="30">
        <v>42980</v>
      </c>
      <c r="AL1108" t="s">
        <v>1578</v>
      </c>
      <c r="AM1108">
        <v>86</v>
      </c>
      <c r="AN1108" t="str">
        <f>VLOOKUP(Transaction[[#This Row],[Model No.]],$AV$2:$BD$100,2,TRUE)</f>
        <v>Bully Hill Vineyards Love My Goat Baco Noir</v>
      </c>
      <c r="AO1108" s="21">
        <f>VLOOKUP(Transaction[[#This Row],[Model No.]],$AV$2:$BD$100,6,TRUE)</f>
        <v>9.49</v>
      </c>
      <c r="AP1108" s="9">
        <v>3</v>
      </c>
      <c r="AQ1108" s="5">
        <f>Transaction[[#This Row],[Price]]*Transaction[[#This Row],[Qty]]</f>
        <v>28.47</v>
      </c>
      <c r="AR1108" s="5">
        <f>VLOOKUP(Transaction[[#This Row],[Model No.]],$AV$2:$BD$100,7,TRUE)*Transaction[[#This Row],[Qty]]</f>
        <v>2.8470000000000004</v>
      </c>
      <c r="AS1108">
        <v>1101</v>
      </c>
      <c r="AT1108">
        <v>1013</v>
      </c>
    </row>
    <row r="1109" spans="36:46" x14ac:dyDescent="0.3">
      <c r="AJ1109">
        <v>21468</v>
      </c>
      <c r="AK1109" s="30">
        <v>42982</v>
      </c>
      <c r="AL1109" t="s">
        <v>1368</v>
      </c>
      <c r="AM1109">
        <v>93</v>
      </c>
      <c r="AN1109" t="str">
        <f>VLOOKUP(Transaction[[#This Row],[Model No.]],$AV$2:$BD$100,2,TRUE)</f>
        <v>Beringer Vineyards Stone Cellars Shiraz</v>
      </c>
      <c r="AO1109" s="21">
        <f>VLOOKUP(Transaction[[#This Row],[Model No.]],$AV$2:$BD$100,6,TRUE)</f>
        <v>7.49</v>
      </c>
      <c r="AP1109" s="9">
        <v>4</v>
      </c>
      <c r="AQ1109" s="5">
        <f>Transaction[[#This Row],[Price]]*Transaction[[#This Row],[Qty]]</f>
        <v>29.96</v>
      </c>
      <c r="AR1109" s="5">
        <f>VLOOKUP(Transaction[[#This Row],[Model No.]],$AV$2:$BD$100,7,TRUE)*Transaction[[#This Row],[Qty]]</f>
        <v>2.9960000000000004</v>
      </c>
      <c r="AS1109">
        <v>1101</v>
      </c>
      <c r="AT1109">
        <v>1011</v>
      </c>
    </row>
    <row r="1110" spans="36:46" x14ac:dyDescent="0.3">
      <c r="AJ1110">
        <v>64223</v>
      </c>
      <c r="AK1110" s="30">
        <v>42983</v>
      </c>
      <c r="AL1110" t="s">
        <v>911</v>
      </c>
      <c r="AM1110">
        <v>5</v>
      </c>
      <c r="AN1110" t="str">
        <f>VLOOKUP(Transaction[[#This Row],[Model No.]],$AV$2:$BD$100,2,TRUE)</f>
        <v>Old Forester 1897 Bottled in Bond Kentucky Straight Bourbon Whisky</v>
      </c>
      <c r="AO1110" s="21">
        <f>VLOOKUP(Transaction[[#This Row],[Model No.]],$AV$2:$BD$100,6,TRUE)</f>
        <v>46.99</v>
      </c>
      <c r="AP1110" s="9">
        <v>3</v>
      </c>
      <c r="AQ1110" s="5">
        <f>Transaction[[#This Row],[Price]]*Transaction[[#This Row],[Qty]]</f>
        <v>140.97</v>
      </c>
      <c r="AR1110" s="5">
        <f>VLOOKUP(Transaction[[#This Row],[Model No.]],$AV$2:$BD$100,7,TRUE)*Transaction[[#This Row],[Qty]]</f>
        <v>28.194000000000003</v>
      </c>
      <c r="AS1110">
        <v>1104</v>
      </c>
      <c r="AT1110">
        <v>1010</v>
      </c>
    </row>
    <row r="1111" spans="36:46" x14ac:dyDescent="0.3">
      <c r="AJ1111">
        <v>34625</v>
      </c>
      <c r="AK1111" s="30">
        <v>42983</v>
      </c>
      <c r="AL1111" t="s">
        <v>978</v>
      </c>
      <c r="AM1111">
        <v>18</v>
      </c>
      <c r="AN1111" t="str">
        <f>VLOOKUP(Transaction[[#This Row],[Model No.]],$AV$2:$BD$100,2,TRUE)</f>
        <v>Twenty Grand Peach Vodka</v>
      </c>
      <c r="AO1111" s="21">
        <f>VLOOKUP(Transaction[[#This Row],[Model No.]],$AV$2:$BD$100,6,TRUE)</f>
        <v>30.99</v>
      </c>
      <c r="AP1111" s="9">
        <v>4</v>
      </c>
      <c r="AQ1111" s="5">
        <f>Transaction[[#This Row],[Price]]*Transaction[[#This Row],[Qty]]</f>
        <v>123.96</v>
      </c>
      <c r="AR1111" s="5">
        <f>VLOOKUP(Transaction[[#This Row],[Model No.]],$AV$2:$BD$100,7,TRUE)*Transaction[[#This Row],[Qty]]</f>
        <v>37.187999999999995</v>
      </c>
      <c r="AS1111">
        <v>1099</v>
      </c>
      <c r="AT1111">
        <v>1017</v>
      </c>
    </row>
    <row r="1112" spans="36:46" x14ac:dyDescent="0.3">
      <c r="AJ1112">
        <v>88013</v>
      </c>
      <c r="AK1112" s="30">
        <v>42985</v>
      </c>
      <c r="AL1112" t="s">
        <v>1640</v>
      </c>
      <c r="AM1112">
        <v>20</v>
      </c>
      <c r="AN1112" t="str">
        <f>VLOOKUP(Transaction[[#This Row],[Model No.]],$AV$2:$BD$100,2,TRUE)</f>
        <v>Stonewall American Rum</v>
      </c>
      <c r="AO1112" s="21">
        <f>VLOOKUP(Transaction[[#This Row],[Model No.]],$AV$2:$BD$100,6,TRUE)</f>
        <v>27.99</v>
      </c>
      <c r="AP1112" s="9">
        <v>4</v>
      </c>
      <c r="AQ1112" s="5">
        <f>Transaction[[#This Row],[Price]]*Transaction[[#This Row],[Qty]]</f>
        <v>111.96</v>
      </c>
      <c r="AR1112" s="5">
        <f>VLOOKUP(Transaction[[#This Row],[Model No.]],$AV$2:$BD$100,7,TRUE)*Transaction[[#This Row],[Qty]]</f>
        <v>22.391999999999999</v>
      </c>
      <c r="AS1112">
        <v>1101</v>
      </c>
      <c r="AT1112">
        <v>1010</v>
      </c>
    </row>
    <row r="1113" spans="36:46" x14ac:dyDescent="0.3">
      <c r="AJ1113">
        <v>81182</v>
      </c>
      <c r="AK1113" s="30">
        <v>42985</v>
      </c>
      <c r="AL1113" t="s">
        <v>611</v>
      </c>
      <c r="AM1113">
        <v>33</v>
      </c>
      <c r="AN1113" t="str">
        <f>VLOOKUP(Transaction[[#This Row],[Model No.]],$AV$2:$BD$100,2,TRUE)</f>
        <v>Saracina Unoaked Chardonnay</v>
      </c>
      <c r="AO1113" s="21">
        <f>VLOOKUP(Transaction[[#This Row],[Model No.]],$AV$2:$BD$100,6,TRUE)</f>
        <v>20.99</v>
      </c>
      <c r="AP1113" s="9">
        <v>5</v>
      </c>
      <c r="AQ1113" s="5">
        <f>Transaction[[#This Row],[Price]]*Transaction[[#This Row],[Qty]]</f>
        <v>104.94999999999999</v>
      </c>
      <c r="AR1113" s="5">
        <f>VLOOKUP(Transaction[[#This Row],[Model No.]],$AV$2:$BD$100,7,TRUE)*Transaction[[#This Row],[Qty]]</f>
        <v>20.99</v>
      </c>
      <c r="AS1113">
        <v>1103</v>
      </c>
      <c r="AT1113">
        <v>1017</v>
      </c>
    </row>
    <row r="1114" spans="36:46" x14ac:dyDescent="0.3">
      <c r="AJ1114">
        <v>14058</v>
      </c>
      <c r="AK1114" s="30">
        <v>42987</v>
      </c>
      <c r="AL1114" t="s">
        <v>814</v>
      </c>
      <c r="AM1114">
        <v>9</v>
      </c>
      <c r="AN1114" t="str">
        <f>VLOOKUP(Transaction[[#This Row],[Model No.]],$AV$2:$BD$100,2,TRUE)</f>
        <v>Ass Kisser Double IPA - 12 Pack</v>
      </c>
      <c r="AO1114" s="21">
        <f>VLOOKUP(Transaction[[#This Row],[Model No.]],$AV$2:$BD$100,6,TRUE)</f>
        <v>43.99</v>
      </c>
      <c r="AP1114" s="9">
        <v>5</v>
      </c>
      <c r="AQ1114" s="5">
        <f>Transaction[[#This Row],[Price]]*Transaction[[#This Row],[Qty]]</f>
        <v>219.95000000000002</v>
      </c>
      <c r="AR1114" s="5">
        <f>VLOOKUP(Transaction[[#This Row],[Model No.]],$AV$2:$BD$100,7,TRUE)*Transaction[[#This Row],[Qty]]</f>
        <v>65.984999999999999</v>
      </c>
      <c r="AS1114">
        <v>1099</v>
      </c>
      <c r="AT1114">
        <v>1010</v>
      </c>
    </row>
    <row r="1115" spans="36:46" x14ac:dyDescent="0.3">
      <c r="AJ1115">
        <v>32022</v>
      </c>
      <c r="AK1115" s="30">
        <v>42989</v>
      </c>
      <c r="AL1115" t="s">
        <v>1046</v>
      </c>
      <c r="AM1115">
        <v>26</v>
      </c>
      <c r="AN1115" t="str">
        <f>VLOOKUP(Transaction[[#This Row],[Model No.]],$AV$2:$BD$100,2,TRUE)</f>
        <v>Belhaven Scottish Stout - 4 Pack</v>
      </c>
      <c r="AO1115" s="21">
        <f>VLOOKUP(Transaction[[#This Row],[Model No.]],$AV$2:$BD$100,6,TRUE)</f>
        <v>23.99</v>
      </c>
      <c r="AP1115" s="9">
        <v>5</v>
      </c>
      <c r="AQ1115" s="5">
        <f>Transaction[[#This Row],[Price]]*Transaction[[#This Row],[Qty]]</f>
        <v>119.94999999999999</v>
      </c>
      <c r="AR1115" s="5">
        <f>VLOOKUP(Transaction[[#This Row],[Model No.]],$AV$2:$BD$100,7,TRUE)*Transaction[[#This Row],[Qty]]</f>
        <v>35.984999999999999</v>
      </c>
      <c r="AS1115">
        <v>1108</v>
      </c>
      <c r="AT1115">
        <v>1001</v>
      </c>
    </row>
    <row r="1116" spans="36:46" x14ac:dyDescent="0.3">
      <c r="AJ1116">
        <v>85408</v>
      </c>
      <c r="AK1116" s="30">
        <v>42994</v>
      </c>
      <c r="AL1116" t="s">
        <v>837</v>
      </c>
      <c r="AM1116">
        <v>82</v>
      </c>
      <c r="AN1116" t="str">
        <f>VLOOKUP(Transaction[[#This Row],[Model No.]],$AV$2:$BD$100,2,TRUE)</f>
        <v>PInnacle Chocolate Whipped Vodka</v>
      </c>
      <c r="AO1116" s="21">
        <f>VLOOKUP(Transaction[[#This Row],[Model No.]],$AV$2:$BD$100,6,TRUE)</f>
        <v>10.99</v>
      </c>
      <c r="AP1116" s="9">
        <v>3</v>
      </c>
      <c r="AQ1116" s="5">
        <f>Transaction[[#This Row],[Price]]*Transaction[[#This Row],[Qty]]</f>
        <v>32.97</v>
      </c>
      <c r="AR1116" s="5">
        <f>VLOOKUP(Transaction[[#This Row],[Model No.]],$AV$2:$BD$100,7,TRUE)*Transaction[[#This Row],[Qty]]</f>
        <v>9.891</v>
      </c>
      <c r="AS1116">
        <v>1108</v>
      </c>
      <c r="AT1116">
        <v>1016</v>
      </c>
    </row>
    <row r="1117" spans="36:46" x14ac:dyDescent="0.3">
      <c r="AJ1117">
        <v>93957</v>
      </c>
      <c r="AK1117" s="30">
        <v>42999</v>
      </c>
      <c r="AL1117" t="s">
        <v>1357</v>
      </c>
      <c r="AM1117">
        <v>70</v>
      </c>
      <c r="AN1117" t="str">
        <f>VLOOKUP(Transaction[[#This Row],[Model No.]],$AV$2:$BD$100,2,TRUE)</f>
        <v>Matchbook Rose Estate Bottled Tempranillo</v>
      </c>
      <c r="AO1117" s="21">
        <f>VLOOKUP(Transaction[[#This Row],[Model No.]],$AV$2:$BD$100,6,TRUE)</f>
        <v>12.69</v>
      </c>
      <c r="AP1117" s="9">
        <v>2</v>
      </c>
      <c r="AQ1117" s="5">
        <f>Transaction[[#This Row],[Price]]*Transaction[[#This Row],[Qty]]</f>
        <v>25.38</v>
      </c>
      <c r="AR1117" s="5">
        <f>VLOOKUP(Transaction[[#This Row],[Model No.]],$AV$2:$BD$100,7,TRUE)*Transaction[[#This Row],[Qty]]</f>
        <v>2.5380000000000003</v>
      </c>
      <c r="AS1117">
        <v>1104</v>
      </c>
      <c r="AT1117">
        <v>1006</v>
      </c>
    </row>
    <row r="1118" spans="36:46" x14ac:dyDescent="0.3">
      <c r="AJ1118">
        <v>63853</v>
      </c>
      <c r="AK1118" s="30">
        <v>43000</v>
      </c>
      <c r="AL1118" t="s">
        <v>887</v>
      </c>
      <c r="AM1118">
        <v>61</v>
      </c>
      <c r="AN1118" t="str">
        <f>VLOOKUP(Transaction[[#This Row],[Model No.]],$AV$2:$BD$100,2,TRUE)</f>
        <v>He'Brew Genesis Dry Hopped Session Ale - 6 Pack</v>
      </c>
      <c r="AO1118" s="21">
        <f>VLOOKUP(Transaction[[#This Row],[Model No.]],$AV$2:$BD$100,6,TRUE)</f>
        <v>12.99</v>
      </c>
      <c r="AP1118" s="9">
        <v>1</v>
      </c>
      <c r="AQ1118" s="5">
        <f>Transaction[[#This Row],[Price]]*Transaction[[#This Row],[Qty]]</f>
        <v>12.99</v>
      </c>
      <c r="AR1118" s="5">
        <f>VLOOKUP(Transaction[[#This Row],[Model No.]],$AV$2:$BD$100,7,TRUE)*Transaction[[#This Row],[Qty]]</f>
        <v>3.8969999999999998</v>
      </c>
      <c r="AS1118">
        <v>1102</v>
      </c>
      <c r="AT1118">
        <v>1005</v>
      </c>
    </row>
    <row r="1119" spans="36:46" x14ac:dyDescent="0.3">
      <c r="AJ1119">
        <v>24258</v>
      </c>
      <c r="AK1119" s="30">
        <v>43001</v>
      </c>
      <c r="AL1119" t="s">
        <v>1606</v>
      </c>
      <c r="AM1119">
        <v>93</v>
      </c>
      <c r="AN1119" t="str">
        <f>VLOOKUP(Transaction[[#This Row],[Model No.]],$AV$2:$BD$100,2,TRUE)</f>
        <v>Beringer Vineyards Stone Cellars Shiraz</v>
      </c>
      <c r="AO1119" s="21">
        <f>VLOOKUP(Transaction[[#This Row],[Model No.]],$AV$2:$BD$100,6,TRUE)</f>
        <v>7.49</v>
      </c>
      <c r="AP1119" s="9">
        <v>5</v>
      </c>
      <c r="AQ1119" s="5">
        <f>Transaction[[#This Row],[Price]]*Transaction[[#This Row],[Qty]]</f>
        <v>37.450000000000003</v>
      </c>
      <c r="AR1119" s="5">
        <f>VLOOKUP(Transaction[[#This Row],[Model No.]],$AV$2:$BD$100,7,TRUE)*Transaction[[#This Row],[Qty]]</f>
        <v>3.7450000000000006</v>
      </c>
      <c r="AS1119">
        <v>1108</v>
      </c>
      <c r="AT1119">
        <v>1017</v>
      </c>
    </row>
    <row r="1120" spans="36:46" x14ac:dyDescent="0.3">
      <c r="AJ1120">
        <v>51061</v>
      </c>
      <c r="AK1120" s="30">
        <v>43002</v>
      </c>
      <c r="AL1120" t="s">
        <v>1023</v>
      </c>
      <c r="AM1120">
        <v>12</v>
      </c>
      <c r="AN1120" t="str">
        <f>VLOOKUP(Transaction[[#This Row],[Model No.]],$AV$2:$BD$100,2,TRUE)</f>
        <v>Cuvaison Pinot Noir</v>
      </c>
      <c r="AO1120" s="21">
        <f>VLOOKUP(Transaction[[#This Row],[Model No.]],$AV$2:$BD$100,6,TRUE)</f>
        <v>36.99</v>
      </c>
      <c r="AP1120" s="9">
        <v>2</v>
      </c>
      <c r="AQ1120" s="5">
        <f>Transaction[[#This Row],[Price]]*Transaction[[#This Row],[Qty]]</f>
        <v>73.98</v>
      </c>
      <c r="AR1120" s="5">
        <f>VLOOKUP(Transaction[[#This Row],[Model No.]],$AV$2:$BD$100,7,TRUE)*Transaction[[#This Row],[Qty]]</f>
        <v>7.3980000000000006</v>
      </c>
      <c r="AS1120">
        <v>1108</v>
      </c>
      <c r="AT1120">
        <v>1014</v>
      </c>
    </row>
    <row r="1121" spans="36:46" x14ac:dyDescent="0.3">
      <c r="AJ1121">
        <v>53221</v>
      </c>
      <c r="AK1121" s="30">
        <v>43002</v>
      </c>
      <c r="AL1121" t="s">
        <v>328</v>
      </c>
      <c r="AM1121">
        <v>49</v>
      </c>
      <c r="AN1121" t="str">
        <f>VLOOKUP(Transaction[[#This Row],[Model No.]],$AV$2:$BD$100,2,TRUE)</f>
        <v>Marchesi di Barolo Ruvei Barbera d'Alba</v>
      </c>
      <c r="AO1121" s="21">
        <f>VLOOKUP(Transaction[[#This Row],[Model No.]],$AV$2:$BD$100,6,TRUE)</f>
        <v>15.99</v>
      </c>
      <c r="AP1121" s="9">
        <v>4</v>
      </c>
      <c r="AQ1121" s="5">
        <f>Transaction[[#This Row],[Price]]*Transaction[[#This Row],[Qty]]</f>
        <v>63.96</v>
      </c>
      <c r="AR1121" s="5">
        <f>VLOOKUP(Transaction[[#This Row],[Model No.]],$AV$2:$BD$100,7,TRUE)*Transaction[[#This Row],[Qty]]</f>
        <v>6.3960000000000008</v>
      </c>
      <c r="AS1121">
        <v>1101</v>
      </c>
      <c r="AT1121">
        <v>1015</v>
      </c>
    </row>
    <row r="1122" spans="36:46" x14ac:dyDescent="0.3">
      <c r="AJ1122">
        <v>39585</v>
      </c>
      <c r="AK1122" s="30">
        <v>43003</v>
      </c>
      <c r="AL1122" t="s">
        <v>1001</v>
      </c>
      <c r="AM1122">
        <v>79</v>
      </c>
      <c r="AN1122" t="str">
        <f>VLOOKUP(Transaction[[#This Row],[Model No.]],$AV$2:$BD$100,2,TRUE)</f>
        <v>Baron Herzog Jeunesse Chardonnay</v>
      </c>
      <c r="AO1122" s="21">
        <f>VLOOKUP(Transaction[[#This Row],[Model No.]],$AV$2:$BD$100,6,TRUE)</f>
        <v>11.49</v>
      </c>
      <c r="AP1122" s="9">
        <v>5</v>
      </c>
      <c r="AQ1122" s="5">
        <f>Transaction[[#This Row],[Price]]*Transaction[[#This Row],[Qty]]</f>
        <v>57.45</v>
      </c>
      <c r="AR1122" s="5">
        <f>VLOOKUP(Transaction[[#This Row],[Model No.]],$AV$2:$BD$100,7,TRUE)*Transaction[[#This Row],[Qty]]</f>
        <v>11.49</v>
      </c>
      <c r="AS1122">
        <v>1104</v>
      </c>
      <c r="AT1122">
        <v>1019</v>
      </c>
    </row>
    <row r="1123" spans="36:46" x14ac:dyDescent="0.3">
      <c r="AJ1123">
        <v>76578</v>
      </c>
      <c r="AK1123" s="30">
        <v>43004</v>
      </c>
      <c r="AL1123" t="s">
        <v>923</v>
      </c>
      <c r="AM1123">
        <v>2</v>
      </c>
      <c r="AN1123" t="str">
        <f>VLOOKUP(Transaction[[#This Row],[Model No.]],$AV$2:$BD$100,2,TRUE)</f>
        <v>Grand Marnier Cuvee 1880 Liqueur</v>
      </c>
      <c r="AO1123" s="21">
        <f>VLOOKUP(Transaction[[#This Row],[Model No.]],$AV$2:$BD$100,6,TRUE)</f>
        <v>286.99</v>
      </c>
      <c r="AP1123" s="9">
        <v>2</v>
      </c>
      <c r="AQ1123" s="5">
        <f>Transaction[[#This Row],[Price]]*Transaction[[#This Row],[Qty]]</f>
        <v>573.98</v>
      </c>
      <c r="AR1123" s="5">
        <f>VLOOKUP(Transaction[[#This Row],[Model No.]],$AV$2:$BD$100,7,TRUE)*Transaction[[#This Row],[Qty]]</f>
        <v>172.19399999999999</v>
      </c>
      <c r="AS1123">
        <v>1099</v>
      </c>
      <c r="AT1123">
        <v>1021</v>
      </c>
    </row>
    <row r="1124" spans="36:46" x14ac:dyDescent="0.3">
      <c r="AJ1124">
        <v>54117</v>
      </c>
      <c r="AK1124" s="30">
        <v>43004</v>
      </c>
      <c r="AL1124" t="s">
        <v>1460</v>
      </c>
      <c r="AM1124">
        <v>91</v>
      </c>
      <c r="AN1124" t="str">
        <f>VLOOKUP(Transaction[[#This Row],[Model No.]],$AV$2:$BD$100,2,TRUE)</f>
        <v>Rex Goliath Free Range Giant 47 Pound Rooster Merlot</v>
      </c>
      <c r="AO1124" s="21">
        <f>VLOOKUP(Transaction[[#This Row],[Model No.]],$AV$2:$BD$100,6,TRUE)</f>
        <v>7.79</v>
      </c>
      <c r="AP1124" s="9">
        <v>2</v>
      </c>
      <c r="AQ1124" s="5">
        <f>Transaction[[#This Row],[Price]]*Transaction[[#This Row],[Qty]]</f>
        <v>15.58</v>
      </c>
      <c r="AR1124" s="5">
        <f>VLOOKUP(Transaction[[#This Row],[Model No.]],$AV$2:$BD$100,7,TRUE)*Transaction[[#This Row],[Qty]]</f>
        <v>1.5580000000000001</v>
      </c>
      <c r="AS1124">
        <v>1107</v>
      </c>
      <c r="AT1124">
        <v>1009</v>
      </c>
    </row>
    <row r="1125" spans="36:46" x14ac:dyDescent="0.3">
      <c r="AJ1125">
        <v>19350</v>
      </c>
      <c r="AK1125" s="30">
        <v>43007</v>
      </c>
      <c r="AL1125" t="s">
        <v>1570</v>
      </c>
      <c r="AM1125">
        <v>78</v>
      </c>
      <c r="AN1125" t="str">
        <f>VLOOKUP(Transaction[[#This Row],[Model No.]],$AV$2:$BD$100,2,TRUE)</f>
        <v>Tomasello Winery Blueberry Wine Red Blend</v>
      </c>
      <c r="AO1125" s="21">
        <f>VLOOKUP(Transaction[[#This Row],[Model No.]],$AV$2:$BD$100,6,TRUE)</f>
        <v>11.49</v>
      </c>
      <c r="AP1125" s="9">
        <v>4</v>
      </c>
      <c r="AQ1125" s="5">
        <f>Transaction[[#This Row],[Price]]*Transaction[[#This Row],[Qty]]</f>
        <v>45.96</v>
      </c>
      <c r="AR1125" s="5">
        <f>VLOOKUP(Transaction[[#This Row],[Model No.]],$AV$2:$BD$100,7,TRUE)*Transaction[[#This Row],[Qty]]</f>
        <v>4.5960000000000001</v>
      </c>
      <c r="AS1125">
        <v>1102</v>
      </c>
      <c r="AT1125">
        <v>1010</v>
      </c>
    </row>
    <row r="1126" spans="36:46" x14ac:dyDescent="0.3">
      <c r="AJ1126">
        <v>82763</v>
      </c>
      <c r="AK1126" s="30">
        <v>43008</v>
      </c>
      <c r="AL1126" t="s">
        <v>1517</v>
      </c>
      <c r="AM1126">
        <v>1</v>
      </c>
      <c r="AN1126" t="str">
        <f>VLOOKUP(Transaction[[#This Row],[Model No.]],$AV$2:$BD$100,2,TRUE)</f>
        <v>Forager's Keep 26 Year Old Single Malt Scotch Whisky</v>
      </c>
      <c r="AO1126" s="21">
        <f>VLOOKUP(Transaction[[#This Row],[Model No.]],$AV$2:$BD$100,6,TRUE)</f>
        <v>325.99</v>
      </c>
      <c r="AP1126" s="9">
        <v>1</v>
      </c>
      <c r="AQ1126" s="5">
        <f>Transaction[[#This Row],[Price]]*Transaction[[#This Row],[Qty]]</f>
        <v>325.99</v>
      </c>
      <c r="AR1126" s="5">
        <f>VLOOKUP(Transaction[[#This Row],[Model No.]],$AV$2:$BD$100,7,TRUE)*Transaction[[#This Row],[Qty]]</f>
        <v>97.796999999999997</v>
      </c>
      <c r="AS1126">
        <v>1103</v>
      </c>
      <c r="AT1126">
        <v>1000</v>
      </c>
    </row>
    <row r="1127" spans="36:46" x14ac:dyDescent="0.3">
      <c r="AJ1127">
        <v>57753</v>
      </c>
      <c r="AK1127" s="30">
        <v>43012</v>
      </c>
      <c r="AL1127" t="s">
        <v>1028</v>
      </c>
      <c r="AM1127">
        <v>41</v>
      </c>
      <c r="AN1127" t="str">
        <f>VLOOKUP(Transaction[[#This Row],[Model No.]],$AV$2:$BD$100,2,TRUE)</f>
        <v>Brunellesco Delle Venezie IGT Pinot Grigio</v>
      </c>
      <c r="AO1127" s="21">
        <f>VLOOKUP(Transaction[[#This Row],[Model No.]],$AV$2:$BD$100,6,TRUE)</f>
        <v>17.39</v>
      </c>
      <c r="AP1127" s="9">
        <v>5</v>
      </c>
      <c r="AQ1127" s="5">
        <f>Transaction[[#This Row],[Price]]*Transaction[[#This Row],[Qty]]</f>
        <v>86.95</v>
      </c>
      <c r="AR1127" s="5">
        <f>VLOOKUP(Transaction[[#This Row],[Model No.]],$AV$2:$BD$100,7,TRUE)*Transaction[[#This Row],[Qty]]</f>
        <v>8.6950000000000003</v>
      </c>
      <c r="AS1127">
        <v>1100</v>
      </c>
      <c r="AT1127">
        <v>1020</v>
      </c>
    </row>
    <row r="1128" spans="36:46" x14ac:dyDescent="0.3">
      <c r="AJ1128">
        <v>91150</v>
      </c>
      <c r="AK1128" s="30">
        <v>43013</v>
      </c>
      <c r="AL1128" t="s">
        <v>1473</v>
      </c>
      <c r="AM1128">
        <v>48</v>
      </c>
      <c r="AN1128" t="str">
        <f>VLOOKUP(Transaction[[#This Row],[Model No.]],$AV$2:$BD$100,2,TRUE)</f>
        <v>CH TOUR D'AURON</v>
      </c>
      <c r="AO1128" s="21">
        <f>VLOOKUP(Transaction[[#This Row],[Model No.]],$AV$2:$BD$100,6,TRUE)</f>
        <v>15.99</v>
      </c>
      <c r="AP1128" s="9">
        <v>4</v>
      </c>
      <c r="AQ1128" s="5">
        <f>Transaction[[#This Row],[Price]]*Transaction[[#This Row],[Qty]]</f>
        <v>63.96</v>
      </c>
      <c r="AR1128" s="5">
        <f>VLOOKUP(Transaction[[#This Row],[Model No.]],$AV$2:$BD$100,7,TRUE)*Transaction[[#This Row],[Qty]]</f>
        <v>25.584000000000003</v>
      </c>
      <c r="AS1128">
        <v>1105</v>
      </c>
      <c r="AT1128">
        <v>1013</v>
      </c>
    </row>
    <row r="1129" spans="36:46" x14ac:dyDescent="0.3">
      <c r="AJ1129">
        <v>77899</v>
      </c>
      <c r="AK1129" s="30">
        <v>43013</v>
      </c>
      <c r="AL1129" t="s">
        <v>802</v>
      </c>
      <c r="AM1129">
        <v>50</v>
      </c>
      <c r="AN1129" t="str">
        <f>VLOOKUP(Transaction[[#This Row],[Model No.]],$AV$2:$BD$100,2,TRUE)</f>
        <v>CLOS DU BOIS ROSE</v>
      </c>
      <c r="AO1129" s="21">
        <f>VLOOKUP(Transaction[[#This Row],[Model No.]],$AV$2:$BD$100,6,TRUE)</f>
        <v>14.99</v>
      </c>
      <c r="AP1129" s="9">
        <v>1</v>
      </c>
      <c r="AQ1129" s="5">
        <f>Transaction[[#This Row],[Price]]*Transaction[[#This Row],[Qty]]</f>
        <v>14.99</v>
      </c>
      <c r="AR1129" s="5">
        <f>VLOOKUP(Transaction[[#This Row],[Model No.]],$AV$2:$BD$100,7,TRUE)*Transaction[[#This Row],[Qty]]</f>
        <v>5.9960000000000004</v>
      </c>
      <c r="AS1129">
        <v>1099</v>
      </c>
      <c r="AT1129">
        <v>1005</v>
      </c>
    </row>
    <row r="1130" spans="36:46" x14ac:dyDescent="0.3">
      <c r="AJ1130">
        <v>88448</v>
      </c>
      <c r="AK1130" s="30">
        <v>43013</v>
      </c>
      <c r="AL1130" t="s">
        <v>740</v>
      </c>
      <c r="AM1130">
        <v>85</v>
      </c>
      <c r="AN1130" t="str">
        <f>VLOOKUP(Transaction[[#This Row],[Model No.]],$AV$2:$BD$100,2,TRUE)</f>
        <v>Shiner Sea Salt &amp; Lime - 6 Pack</v>
      </c>
      <c r="AO1130" s="21">
        <f>VLOOKUP(Transaction[[#This Row],[Model No.]],$AV$2:$BD$100,6,TRUE)</f>
        <v>9.99</v>
      </c>
      <c r="AP1130" s="9">
        <v>5</v>
      </c>
      <c r="AQ1130" s="5">
        <f>Transaction[[#This Row],[Price]]*Transaction[[#This Row],[Qty]]</f>
        <v>49.95</v>
      </c>
      <c r="AR1130" s="5">
        <f>VLOOKUP(Transaction[[#This Row],[Model No.]],$AV$2:$BD$100,7,TRUE)*Transaction[[#This Row],[Qty]]</f>
        <v>14.984999999999999</v>
      </c>
      <c r="AS1130">
        <v>1100</v>
      </c>
      <c r="AT1130">
        <v>1003</v>
      </c>
    </row>
    <row r="1131" spans="36:46" x14ac:dyDescent="0.3">
      <c r="AJ1131">
        <v>57696</v>
      </c>
      <c r="AK1131" s="30">
        <v>43013</v>
      </c>
      <c r="AL1131" t="s">
        <v>1419</v>
      </c>
      <c r="AM1131">
        <v>97</v>
      </c>
      <c r="AN1131" t="str">
        <f>VLOOKUP(Transaction[[#This Row],[Model No.]],$AV$2:$BD$100,2,TRUE)</f>
        <v>Sea Ridge Cabernet Sauvignon</v>
      </c>
      <c r="AO1131" s="21">
        <f>VLOOKUP(Transaction[[#This Row],[Model No.]],$AV$2:$BD$100,6,TRUE)</f>
        <v>5.99</v>
      </c>
      <c r="AP1131" s="9">
        <v>4</v>
      </c>
      <c r="AQ1131" s="5">
        <f>Transaction[[#This Row],[Price]]*Transaction[[#This Row],[Qty]]</f>
        <v>23.96</v>
      </c>
      <c r="AR1131" s="5">
        <f>VLOOKUP(Transaction[[#This Row],[Model No.]],$AV$2:$BD$100,7,TRUE)*Transaction[[#This Row],[Qty]]</f>
        <v>2.3960000000000004</v>
      </c>
      <c r="AS1131">
        <v>1102</v>
      </c>
      <c r="AT1131">
        <v>1012</v>
      </c>
    </row>
    <row r="1132" spans="36:46" x14ac:dyDescent="0.3">
      <c r="AJ1132">
        <v>87986</v>
      </c>
      <c r="AK1132" s="30">
        <v>43017</v>
      </c>
      <c r="AL1132" t="s">
        <v>327</v>
      </c>
      <c r="AM1132">
        <v>57</v>
      </c>
      <c r="AN1132" t="str">
        <f>VLOOKUP(Transaction[[#This Row],[Model No.]],$AV$2:$BD$100,2,TRUE)</f>
        <v>Familia Dante Twelve Months Oak Aged Toscana IGT Sangiovese</v>
      </c>
      <c r="AO1132" s="21">
        <f>VLOOKUP(Transaction[[#This Row],[Model No.]],$AV$2:$BD$100,6,TRUE)</f>
        <v>13.69</v>
      </c>
      <c r="AP1132" s="9">
        <v>2</v>
      </c>
      <c r="AQ1132" s="5">
        <f>Transaction[[#This Row],[Price]]*Transaction[[#This Row],[Qty]]</f>
        <v>27.38</v>
      </c>
      <c r="AR1132" s="5">
        <f>VLOOKUP(Transaction[[#This Row],[Model No.]],$AV$2:$BD$100,7,TRUE)*Transaction[[#This Row],[Qty]]</f>
        <v>2.738</v>
      </c>
      <c r="AS1132">
        <v>1103</v>
      </c>
      <c r="AT1132">
        <v>1009</v>
      </c>
    </row>
    <row r="1133" spans="36:46" x14ac:dyDescent="0.3">
      <c r="AJ1133">
        <v>98943</v>
      </c>
      <c r="AK1133" s="30">
        <v>43018</v>
      </c>
      <c r="AL1133" t="s">
        <v>1008</v>
      </c>
      <c r="AM1133">
        <v>8</v>
      </c>
      <c r="AN1133" t="str">
        <f>VLOOKUP(Transaction[[#This Row],[Model No.]],$AV$2:$BD$100,2,TRUE)</f>
        <v>Roco Marsh Estate Vineyard Pinot Noir</v>
      </c>
      <c r="AO1133" s="21">
        <f>VLOOKUP(Transaction[[#This Row],[Model No.]],$AV$2:$BD$100,6,TRUE)</f>
        <v>44.99</v>
      </c>
      <c r="AP1133" s="9">
        <v>2</v>
      </c>
      <c r="AQ1133" s="5">
        <f>Transaction[[#This Row],[Price]]*Transaction[[#This Row],[Qty]]</f>
        <v>89.98</v>
      </c>
      <c r="AR1133" s="5">
        <f>VLOOKUP(Transaction[[#This Row],[Model No.]],$AV$2:$BD$100,7,TRUE)*Transaction[[#This Row],[Qty]]</f>
        <v>8.9980000000000011</v>
      </c>
      <c r="AS1133">
        <v>1106</v>
      </c>
      <c r="AT1133">
        <v>1021</v>
      </c>
    </row>
    <row r="1134" spans="36:46" x14ac:dyDescent="0.3">
      <c r="AJ1134">
        <v>71331</v>
      </c>
      <c r="AK1134" s="30">
        <v>43018</v>
      </c>
      <c r="AL1134" t="s">
        <v>326</v>
      </c>
      <c r="AM1134">
        <v>56</v>
      </c>
      <c r="AN1134" t="str">
        <f>VLOOKUP(Transaction[[#This Row],[Model No.]],$AV$2:$BD$100,2,TRUE)</f>
        <v>Roy Pitz Sour Hound - 6 Pack</v>
      </c>
      <c r="AO1134" s="21">
        <f>VLOOKUP(Transaction[[#This Row],[Model No.]],$AV$2:$BD$100,6,TRUE)</f>
        <v>13.99</v>
      </c>
      <c r="AP1134" s="9">
        <v>5</v>
      </c>
      <c r="AQ1134" s="5">
        <f>Transaction[[#This Row],[Price]]*Transaction[[#This Row],[Qty]]</f>
        <v>69.95</v>
      </c>
      <c r="AR1134" s="5">
        <f>VLOOKUP(Transaction[[#This Row],[Model No.]],$AV$2:$BD$100,7,TRUE)*Transaction[[#This Row],[Qty]]</f>
        <v>20.984999999999999</v>
      </c>
      <c r="AS1134">
        <v>1098</v>
      </c>
      <c r="AT1134">
        <v>1004</v>
      </c>
    </row>
    <row r="1135" spans="36:46" x14ac:dyDescent="0.3">
      <c r="AJ1135">
        <v>74979</v>
      </c>
      <c r="AK1135" s="30">
        <v>43018</v>
      </c>
      <c r="AL1135" t="s">
        <v>317</v>
      </c>
      <c r="AM1135">
        <v>78</v>
      </c>
      <c r="AN1135" t="str">
        <f>VLOOKUP(Transaction[[#This Row],[Model No.]],$AV$2:$BD$100,2,TRUE)</f>
        <v>Tomasello Winery Blueberry Wine Red Blend</v>
      </c>
      <c r="AO1135" s="21">
        <f>VLOOKUP(Transaction[[#This Row],[Model No.]],$AV$2:$BD$100,6,TRUE)</f>
        <v>11.49</v>
      </c>
      <c r="AP1135" s="9">
        <v>5</v>
      </c>
      <c r="AQ1135" s="5">
        <f>Transaction[[#This Row],[Price]]*Transaction[[#This Row],[Qty]]</f>
        <v>57.45</v>
      </c>
      <c r="AR1135" s="5">
        <f>VLOOKUP(Transaction[[#This Row],[Model No.]],$AV$2:$BD$100,7,TRUE)*Transaction[[#This Row],[Qty]]</f>
        <v>5.7450000000000001</v>
      </c>
      <c r="AS1135">
        <v>1106</v>
      </c>
      <c r="AT1135">
        <v>1003</v>
      </c>
    </row>
    <row r="1136" spans="36:46" x14ac:dyDescent="0.3">
      <c r="AJ1136">
        <v>67205</v>
      </c>
      <c r="AK1136" s="30">
        <v>43019</v>
      </c>
      <c r="AL1136" t="s">
        <v>1362</v>
      </c>
      <c r="AM1136">
        <v>59</v>
      </c>
      <c r="AN1136" t="str">
        <f>VLOOKUP(Transaction[[#This Row],[Model No.]],$AV$2:$BD$100,2,TRUE)</f>
        <v>Smirnoff Kissed Caramel Vodka</v>
      </c>
      <c r="AO1136" s="21">
        <f>VLOOKUP(Transaction[[#This Row],[Model No.]],$AV$2:$BD$100,6,TRUE)</f>
        <v>13.49</v>
      </c>
      <c r="AP1136" s="9">
        <v>1</v>
      </c>
      <c r="AQ1136" s="5">
        <f>Transaction[[#This Row],[Price]]*Transaction[[#This Row],[Qty]]</f>
        <v>13.49</v>
      </c>
      <c r="AR1136" s="5">
        <f>VLOOKUP(Transaction[[#This Row],[Model No.]],$AV$2:$BD$100,7,TRUE)*Transaction[[#This Row],[Qty]]</f>
        <v>4.0469999999999997</v>
      </c>
      <c r="AS1136">
        <v>1100</v>
      </c>
      <c r="AT1136">
        <v>1016</v>
      </c>
    </row>
    <row r="1137" spans="36:46" x14ac:dyDescent="0.3">
      <c r="AJ1137">
        <v>92831</v>
      </c>
      <c r="AK1137" s="30">
        <v>43021</v>
      </c>
      <c r="AL1137" t="s">
        <v>857</v>
      </c>
      <c r="AM1137">
        <v>54</v>
      </c>
      <c r="AN1137" t="str">
        <f>VLOOKUP(Transaction[[#This Row],[Model No.]],$AV$2:$BD$100,2,TRUE)</f>
        <v>Pucker Cherry Tease Vodka</v>
      </c>
      <c r="AO1137" s="21">
        <f>VLOOKUP(Transaction[[#This Row],[Model No.]],$AV$2:$BD$100,6,TRUE)</f>
        <v>14.99</v>
      </c>
      <c r="AP1137" s="9">
        <v>3</v>
      </c>
      <c r="AQ1137" s="5">
        <f>Transaction[[#This Row],[Price]]*Transaction[[#This Row],[Qty]]</f>
        <v>44.97</v>
      </c>
      <c r="AR1137" s="5">
        <f>VLOOKUP(Transaction[[#This Row],[Model No.]],$AV$2:$BD$100,7,TRUE)*Transaction[[#This Row],[Qty]]</f>
        <v>13.491</v>
      </c>
      <c r="AS1137">
        <v>1105</v>
      </c>
      <c r="AT1137">
        <v>1003</v>
      </c>
    </row>
    <row r="1138" spans="36:46" x14ac:dyDescent="0.3">
      <c r="AJ1138">
        <v>18113</v>
      </c>
      <c r="AK1138" s="30">
        <v>43022</v>
      </c>
      <c r="AL1138" t="s">
        <v>713</v>
      </c>
      <c r="AM1138">
        <v>16</v>
      </c>
      <c r="AN1138" t="str">
        <f>VLOOKUP(Transaction[[#This Row],[Model No.]],$AV$2:$BD$100,2,TRUE)</f>
        <v>Hitachino Nest Red Rice Ale - 6 Pack</v>
      </c>
      <c r="AO1138" s="21">
        <f>VLOOKUP(Transaction[[#This Row],[Model No.]],$AV$2:$BD$100,6,TRUE)</f>
        <v>31.99</v>
      </c>
      <c r="AP1138" s="9">
        <v>2</v>
      </c>
      <c r="AQ1138" s="5">
        <f>Transaction[[#This Row],[Price]]*Transaction[[#This Row],[Qty]]</f>
        <v>63.98</v>
      </c>
      <c r="AR1138" s="5">
        <f>VLOOKUP(Transaction[[#This Row],[Model No.]],$AV$2:$BD$100,7,TRUE)*Transaction[[#This Row],[Qty]]</f>
        <v>19.193999999999999</v>
      </c>
      <c r="AS1138">
        <v>1101</v>
      </c>
      <c r="AT1138">
        <v>1020</v>
      </c>
    </row>
    <row r="1139" spans="36:46" x14ac:dyDescent="0.3">
      <c r="AJ1139">
        <v>77884</v>
      </c>
      <c r="AK1139" s="30">
        <v>43022</v>
      </c>
      <c r="AL1139" t="s">
        <v>1784</v>
      </c>
      <c r="AM1139">
        <v>82</v>
      </c>
      <c r="AN1139" t="str">
        <f>VLOOKUP(Transaction[[#This Row],[Model No.]],$AV$2:$BD$100,2,TRUE)</f>
        <v>PInnacle Chocolate Whipped Vodka</v>
      </c>
      <c r="AO1139" s="21">
        <f>VLOOKUP(Transaction[[#This Row],[Model No.]],$AV$2:$BD$100,6,TRUE)</f>
        <v>10.99</v>
      </c>
      <c r="AP1139" s="9">
        <v>3</v>
      </c>
      <c r="AQ1139" s="5">
        <f>Transaction[[#This Row],[Price]]*Transaction[[#This Row],[Qty]]</f>
        <v>32.97</v>
      </c>
      <c r="AR1139" s="5">
        <f>VLOOKUP(Transaction[[#This Row],[Model No.]],$AV$2:$BD$100,7,TRUE)*Transaction[[#This Row],[Qty]]</f>
        <v>9.891</v>
      </c>
      <c r="AS1139">
        <v>1105</v>
      </c>
      <c r="AT1139">
        <v>1004</v>
      </c>
    </row>
    <row r="1140" spans="36:46" x14ac:dyDescent="0.3">
      <c r="AJ1140">
        <v>47113</v>
      </c>
      <c r="AK1140" s="30">
        <v>43023</v>
      </c>
      <c r="AL1140" t="s">
        <v>1256</v>
      </c>
      <c r="AM1140">
        <v>7</v>
      </c>
      <c r="AN1140" t="str">
        <f>VLOOKUP(Transaction[[#This Row],[Model No.]],$AV$2:$BD$100,2,TRUE)</f>
        <v>Glenkinchie Distillers Edition Single Malt Scotch Whisky</v>
      </c>
      <c r="AO1140" s="21">
        <f>VLOOKUP(Transaction[[#This Row],[Model No.]],$AV$2:$BD$100,6,TRUE)</f>
        <v>45.99</v>
      </c>
      <c r="AP1140" s="9">
        <v>4</v>
      </c>
      <c r="AQ1140" s="5">
        <f>Transaction[[#This Row],[Price]]*Transaction[[#This Row],[Qty]]</f>
        <v>183.96</v>
      </c>
      <c r="AR1140" s="5">
        <f>VLOOKUP(Transaction[[#This Row],[Model No.]],$AV$2:$BD$100,7,TRUE)*Transaction[[#This Row],[Qty]]</f>
        <v>55.188000000000002</v>
      </c>
      <c r="AS1140">
        <v>1106</v>
      </c>
      <c r="AT1140">
        <v>1013</v>
      </c>
    </row>
    <row r="1141" spans="36:46" x14ac:dyDescent="0.3">
      <c r="AJ1141">
        <v>22186</v>
      </c>
      <c r="AK1141" s="30">
        <v>43025</v>
      </c>
      <c r="AL1141" t="s">
        <v>1728</v>
      </c>
      <c r="AM1141">
        <v>29</v>
      </c>
      <c r="AN1141" t="str">
        <f>VLOOKUP(Transaction[[#This Row],[Model No.]],$AV$2:$BD$100,2,TRUE)</f>
        <v>SCHLAFLY STOUT BOUT SAMPLER   2/12 - 12 Pack</v>
      </c>
      <c r="AO1141" s="21">
        <f>VLOOKUP(Transaction[[#This Row],[Model No.]],$AV$2:$BD$100,6,TRUE)</f>
        <v>22.99</v>
      </c>
      <c r="AP1141" s="9">
        <v>1</v>
      </c>
      <c r="AQ1141" s="5">
        <f>Transaction[[#This Row],[Price]]*Transaction[[#This Row],[Qty]]</f>
        <v>22.99</v>
      </c>
      <c r="AR1141" s="5">
        <f>VLOOKUP(Transaction[[#This Row],[Model No.]],$AV$2:$BD$100,7,TRUE)*Transaction[[#This Row],[Qty]]</f>
        <v>6.8969999999999994</v>
      </c>
      <c r="AS1141">
        <v>1103</v>
      </c>
      <c r="AT1141">
        <v>1016</v>
      </c>
    </row>
    <row r="1142" spans="36:46" x14ac:dyDescent="0.3">
      <c r="AJ1142">
        <v>45876</v>
      </c>
      <c r="AK1142" s="30">
        <v>43027</v>
      </c>
      <c r="AL1142" t="s">
        <v>1309</v>
      </c>
      <c r="AM1142">
        <v>23</v>
      </c>
      <c r="AN1142" t="str">
        <f>VLOOKUP(Transaction[[#This Row],[Model No.]],$AV$2:$BD$100,2,TRUE)</f>
        <v>Brinley Gold Shipwreck Mango Rum</v>
      </c>
      <c r="AO1142" s="21">
        <f>VLOOKUP(Transaction[[#This Row],[Model No.]],$AV$2:$BD$100,6,TRUE)</f>
        <v>25.99</v>
      </c>
      <c r="AP1142" s="9">
        <v>4</v>
      </c>
      <c r="AQ1142" s="5">
        <f>Transaction[[#This Row],[Price]]*Transaction[[#This Row],[Qty]]</f>
        <v>103.96</v>
      </c>
      <c r="AR1142" s="5">
        <f>VLOOKUP(Transaction[[#This Row],[Model No.]],$AV$2:$BD$100,7,TRUE)*Transaction[[#This Row],[Qty]]</f>
        <v>20.792000000000002</v>
      </c>
      <c r="AS1142">
        <v>1107</v>
      </c>
      <c r="AT1142">
        <v>1005</v>
      </c>
    </row>
    <row r="1143" spans="36:46" x14ac:dyDescent="0.3">
      <c r="AJ1143">
        <v>24620</v>
      </c>
      <c r="AK1143" s="30">
        <v>43029</v>
      </c>
      <c r="AL1143" t="s">
        <v>1514</v>
      </c>
      <c r="AM1143">
        <v>13</v>
      </c>
      <c r="AN1143" t="str">
        <f>VLOOKUP(Transaction[[#This Row],[Model No.]],$AV$2:$BD$100,2,TRUE)</f>
        <v>Luxardo Maraschino Liqueur</v>
      </c>
      <c r="AO1143" s="21">
        <f>VLOOKUP(Transaction[[#This Row],[Model No.]],$AV$2:$BD$100,6,TRUE)</f>
        <v>36.99</v>
      </c>
      <c r="AP1143" s="9">
        <v>3</v>
      </c>
      <c r="AQ1143" s="5">
        <f>Transaction[[#This Row],[Price]]*Transaction[[#This Row],[Qty]]</f>
        <v>110.97</v>
      </c>
      <c r="AR1143" s="5">
        <f>VLOOKUP(Transaction[[#This Row],[Model No.]],$AV$2:$BD$100,7,TRUE)*Transaction[[#This Row],[Qty]]</f>
        <v>33.290999999999997</v>
      </c>
      <c r="AS1143">
        <v>1098</v>
      </c>
      <c r="AT1143">
        <v>1016</v>
      </c>
    </row>
    <row r="1144" spans="36:46" x14ac:dyDescent="0.3">
      <c r="AJ1144">
        <v>21675</v>
      </c>
      <c r="AK1144" s="30">
        <v>43030</v>
      </c>
      <c r="AL1144" t="s">
        <v>1432</v>
      </c>
      <c r="AM1144">
        <v>53</v>
      </c>
      <c r="AN1144" t="str">
        <f>VLOOKUP(Transaction[[#This Row],[Model No.]],$AV$2:$BD$100,2,TRUE)</f>
        <v>Ommegang Hennepin - 4 Pack</v>
      </c>
      <c r="AO1144" s="21">
        <f>VLOOKUP(Transaction[[#This Row],[Model No.]],$AV$2:$BD$100,6,TRUE)</f>
        <v>14.99</v>
      </c>
      <c r="AP1144" s="9">
        <v>5</v>
      </c>
      <c r="AQ1144" s="5">
        <f>Transaction[[#This Row],[Price]]*Transaction[[#This Row],[Qty]]</f>
        <v>74.95</v>
      </c>
      <c r="AR1144" s="5">
        <f>VLOOKUP(Transaction[[#This Row],[Model No.]],$AV$2:$BD$100,7,TRUE)*Transaction[[#This Row],[Qty]]</f>
        <v>22.484999999999999</v>
      </c>
      <c r="AS1144">
        <v>1099</v>
      </c>
      <c r="AT1144">
        <v>1003</v>
      </c>
    </row>
    <row r="1145" spans="36:46" x14ac:dyDescent="0.3">
      <c r="AJ1145">
        <v>43842</v>
      </c>
      <c r="AK1145" s="30">
        <v>43030</v>
      </c>
      <c r="AL1145" t="s">
        <v>649</v>
      </c>
      <c r="AM1145">
        <v>89</v>
      </c>
      <c r="AN1145" t="str">
        <f>VLOOKUP(Transaction[[#This Row],[Model No.]],$AV$2:$BD$100,2,TRUE)</f>
        <v>Piera Martellozzo Blu Giovello Moscato Puglia IGT Muscat</v>
      </c>
      <c r="AO1145" s="21">
        <f>VLOOKUP(Transaction[[#This Row],[Model No.]],$AV$2:$BD$100,6,TRUE)</f>
        <v>8.49</v>
      </c>
      <c r="AP1145" s="9">
        <v>3</v>
      </c>
      <c r="AQ1145" s="5">
        <f>Transaction[[#This Row],[Price]]*Transaction[[#This Row],[Qty]]</f>
        <v>25.47</v>
      </c>
      <c r="AR1145" s="5">
        <f>VLOOKUP(Transaction[[#This Row],[Model No.]],$AV$2:$BD$100,7,TRUE)*Transaction[[#This Row],[Qty]]</f>
        <v>2.5470000000000002</v>
      </c>
      <c r="AS1145">
        <v>1104</v>
      </c>
      <c r="AT1145">
        <v>1000</v>
      </c>
    </row>
    <row r="1146" spans="36:46" x14ac:dyDescent="0.3">
      <c r="AJ1146">
        <v>69554</v>
      </c>
      <c r="AK1146" s="30">
        <v>43032</v>
      </c>
      <c r="AL1146" t="s">
        <v>602</v>
      </c>
      <c r="AM1146">
        <v>8</v>
      </c>
      <c r="AN1146" t="str">
        <f>VLOOKUP(Transaction[[#This Row],[Model No.]],$AV$2:$BD$100,2,TRUE)</f>
        <v>Roco Marsh Estate Vineyard Pinot Noir</v>
      </c>
      <c r="AO1146" s="21">
        <f>VLOOKUP(Transaction[[#This Row],[Model No.]],$AV$2:$BD$100,6,TRUE)</f>
        <v>44.99</v>
      </c>
      <c r="AP1146" s="9">
        <v>4</v>
      </c>
      <c r="AQ1146" s="5">
        <f>Transaction[[#This Row],[Price]]*Transaction[[#This Row],[Qty]]</f>
        <v>179.96</v>
      </c>
      <c r="AR1146" s="5">
        <f>VLOOKUP(Transaction[[#This Row],[Model No.]],$AV$2:$BD$100,7,TRUE)*Transaction[[#This Row],[Qty]]</f>
        <v>17.996000000000002</v>
      </c>
      <c r="AS1146">
        <v>1102</v>
      </c>
      <c r="AT1146">
        <v>1020</v>
      </c>
    </row>
    <row r="1147" spans="36:46" x14ac:dyDescent="0.3">
      <c r="AJ1147">
        <v>94007</v>
      </c>
      <c r="AK1147" s="30">
        <v>43032</v>
      </c>
      <c r="AL1147" t="s">
        <v>1531</v>
      </c>
      <c r="AM1147">
        <v>39</v>
      </c>
      <c r="AN1147" t="str">
        <f>VLOOKUP(Transaction[[#This Row],[Model No.]],$AV$2:$BD$100,2,TRUE)</f>
        <v>Moorhouse's English Owd Ale - 4 Pack</v>
      </c>
      <c r="AO1147" s="21">
        <f>VLOOKUP(Transaction[[#This Row],[Model No.]],$AV$2:$BD$100,6,TRUE)</f>
        <v>18.989999999999998</v>
      </c>
      <c r="AP1147" s="9">
        <v>2</v>
      </c>
      <c r="AQ1147" s="5">
        <f>Transaction[[#This Row],[Price]]*Transaction[[#This Row],[Qty]]</f>
        <v>37.979999999999997</v>
      </c>
      <c r="AR1147" s="5">
        <f>VLOOKUP(Transaction[[#This Row],[Model No.]],$AV$2:$BD$100,7,TRUE)*Transaction[[#This Row],[Qty]]</f>
        <v>11.393999999999998</v>
      </c>
      <c r="AS1147">
        <v>1106</v>
      </c>
      <c r="AT1147">
        <v>1017</v>
      </c>
    </row>
    <row r="1148" spans="36:46" x14ac:dyDescent="0.3">
      <c r="AJ1148">
        <v>16506</v>
      </c>
      <c r="AK1148" s="30">
        <v>43034</v>
      </c>
      <c r="AL1148" t="s">
        <v>790</v>
      </c>
      <c r="AM1148">
        <v>12</v>
      </c>
      <c r="AN1148" t="str">
        <f>VLOOKUP(Transaction[[#This Row],[Model No.]],$AV$2:$BD$100,2,TRUE)</f>
        <v>Cuvaison Pinot Noir</v>
      </c>
      <c r="AO1148" s="21">
        <f>VLOOKUP(Transaction[[#This Row],[Model No.]],$AV$2:$BD$100,6,TRUE)</f>
        <v>36.99</v>
      </c>
      <c r="AP1148" s="9">
        <v>2</v>
      </c>
      <c r="AQ1148" s="5">
        <f>Transaction[[#This Row],[Price]]*Transaction[[#This Row],[Qty]]</f>
        <v>73.98</v>
      </c>
      <c r="AR1148" s="5">
        <f>VLOOKUP(Transaction[[#This Row],[Model No.]],$AV$2:$BD$100,7,TRUE)*Transaction[[#This Row],[Qty]]</f>
        <v>7.3980000000000006</v>
      </c>
      <c r="AS1148">
        <v>1100</v>
      </c>
      <c r="AT1148">
        <v>1018</v>
      </c>
    </row>
    <row r="1149" spans="36:46" x14ac:dyDescent="0.3">
      <c r="AJ1149">
        <v>40566</v>
      </c>
      <c r="AK1149" s="30">
        <v>43034</v>
      </c>
      <c r="AL1149" t="s">
        <v>952</v>
      </c>
      <c r="AM1149">
        <v>52</v>
      </c>
      <c r="AN1149" t="str">
        <f>VLOOKUP(Transaction[[#This Row],[Model No.]],$AV$2:$BD$100,2,TRUE)</f>
        <v>Finca Las Moras Barrel Select Cabernet Sauvignon</v>
      </c>
      <c r="AO1149" s="21">
        <f>VLOOKUP(Transaction[[#This Row],[Model No.]],$AV$2:$BD$100,6,TRUE)</f>
        <v>14.99</v>
      </c>
      <c r="AP1149" s="9">
        <v>2</v>
      </c>
      <c r="AQ1149" s="5">
        <f>Transaction[[#This Row],[Price]]*Transaction[[#This Row],[Qty]]</f>
        <v>29.98</v>
      </c>
      <c r="AR1149" s="5">
        <f>VLOOKUP(Transaction[[#This Row],[Model No.]],$AV$2:$BD$100,7,TRUE)*Transaction[[#This Row],[Qty]]</f>
        <v>2.9980000000000002</v>
      </c>
      <c r="AS1149">
        <v>1103</v>
      </c>
      <c r="AT1149">
        <v>1016</v>
      </c>
    </row>
    <row r="1150" spans="36:46" x14ac:dyDescent="0.3">
      <c r="AJ1150">
        <v>28275</v>
      </c>
      <c r="AK1150" s="30">
        <v>43035</v>
      </c>
      <c r="AL1150" t="s">
        <v>822</v>
      </c>
      <c r="AM1150">
        <v>31</v>
      </c>
      <c r="AN1150" t="str">
        <f>VLOOKUP(Transaction[[#This Row],[Model No.]],$AV$2:$BD$100,2,TRUE)</f>
        <v>Gulden Draak 9000 Quadruple - 4 Pack</v>
      </c>
      <c r="AO1150" s="21">
        <f>VLOOKUP(Transaction[[#This Row],[Model No.]],$AV$2:$BD$100,6,TRUE)</f>
        <v>21.99</v>
      </c>
      <c r="AP1150" s="9">
        <v>5</v>
      </c>
      <c r="AQ1150" s="5">
        <f>Transaction[[#This Row],[Price]]*Transaction[[#This Row],[Qty]]</f>
        <v>109.94999999999999</v>
      </c>
      <c r="AR1150" s="5">
        <f>VLOOKUP(Transaction[[#This Row],[Model No.]],$AV$2:$BD$100,7,TRUE)*Transaction[[#This Row],[Qty]]</f>
        <v>32.984999999999999</v>
      </c>
      <c r="AS1150">
        <v>1106</v>
      </c>
      <c r="AT1150">
        <v>1006</v>
      </c>
    </row>
    <row r="1151" spans="36:46" x14ac:dyDescent="0.3">
      <c r="AJ1151">
        <v>65085</v>
      </c>
      <c r="AK1151" s="30">
        <v>43037</v>
      </c>
      <c r="AL1151" t="s">
        <v>1408</v>
      </c>
      <c r="AM1151">
        <v>5</v>
      </c>
      <c r="AN1151" t="str">
        <f>VLOOKUP(Transaction[[#This Row],[Model No.]],$AV$2:$BD$100,2,TRUE)</f>
        <v>Old Forester 1897 Bottled in Bond Kentucky Straight Bourbon Whisky</v>
      </c>
      <c r="AO1151" s="21">
        <f>VLOOKUP(Transaction[[#This Row],[Model No.]],$AV$2:$BD$100,6,TRUE)</f>
        <v>46.99</v>
      </c>
      <c r="AP1151" s="9">
        <v>5</v>
      </c>
      <c r="AQ1151" s="5">
        <f>Transaction[[#This Row],[Price]]*Transaction[[#This Row],[Qty]]</f>
        <v>234.95000000000002</v>
      </c>
      <c r="AR1151" s="5">
        <f>VLOOKUP(Transaction[[#This Row],[Model No.]],$AV$2:$BD$100,7,TRUE)*Transaction[[#This Row],[Qty]]</f>
        <v>46.990000000000009</v>
      </c>
      <c r="AS1151">
        <v>1099</v>
      </c>
      <c r="AT1151">
        <v>1002</v>
      </c>
    </row>
    <row r="1152" spans="36:46" x14ac:dyDescent="0.3">
      <c r="AJ1152">
        <v>68854</v>
      </c>
      <c r="AK1152" s="30">
        <v>43038</v>
      </c>
      <c r="AL1152" t="s">
        <v>1553</v>
      </c>
      <c r="AM1152">
        <v>17</v>
      </c>
      <c r="AN1152" t="str">
        <f>VLOOKUP(Transaction[[#This Row],[Model No.]],$AV$2:$BD$100,2,TRUE)</f>
        <v>Miller Lite Can - 24 Pack</v>
      </c>
      <c r="AO1152" s="21">
        <f>VLOOKUP(Transaction[[#This Row],[Model No.]],$AV$2:$BD$100,6,TRUE)</f>
        <v>30.99</v>
      </c>
      <c r="AP1152" s="9">
        <v>2</v>
      </c>
      <c r="AQ1152" s="5">
        <f>Transaction[[#This Row],[Price]]*Transaction[[#This Row],[Qty]]</f>
        <v>61.98</v>
      </c>
      <c r="AR1152" s="5">
        <f>VLOOKUP(Transaction[[#This Row],[Model No.]],$AV$2:$BD$100,7,TRUE)*Transaction[[#This Row],[Qty]]</f>
        <v>18.593999999999998</v>
      </c>
      <c r="AS1152">
        <v>1102</v>
      </c>
      <c r="AT1152">
        <v>1006</v>
      </c>
    </row>
    <row r="1153" spans="36:46" x14ac:dyDescent="0.3">
      <c r="AJ1153">
        <v>45897</v>
      </c>
      <c r="AK1153" s="30">
        <v>43043</v>
      </c>
      <c r="AL1153" t="s">
        <v>375</v>
      </c>
      <c r="AM1153">
        <v>57</v>
      </c>
      <c r="AN1153" t="str">
        <f>VLOOKUP(Transaction[[#This Row],[Model No.]],$AV$2:$BD$100,2,TRUE)</f>
        <v>Familia Dante Twelve Months Oak Aged Toscana IGT Sangiovese</v>
      </c>
      <c r="AO1153" s="21">
        <f>VLOOKUP(Transaction[[#This Row],[Model No.]],$AV$2:$BD$100,6,TRUE)</f>
        <v>13.69</v>
      </c>
      <c r="AP1153" s="9">
        <v>1</v>
      </c>
      <c r="AQ1153" s="5">
        <f>Transaction[[#This Row],[Price]]*Transaction[[#This Row],[Qty]]</f>
        <v>13.69</v>
      </c>
      <c r="AR1153" s="5">
        <f>VLOOKUP(Transaction[[#This Row],[Model No.]],$AV$2:$BD$100,7,TRUE)*Transaction[[#This Row],[Qty]]</f>
        <v>1.369</v>
      </c>
      <c r="AS1153">
        <v>1107</v>
      </c>
      <c r="AT1153">
        <v>1018</v>
      </c>
    </row>
    <row r="1154" spans="36:46" x14ac:dyDescent="0.3">
      <c r="AJ1154">
        <v>70825</v>
      </c>
      <c r="AK1154" s="30">
        <v>43044</v>
      </c>
      <c r="AL1154" t="s">
        <v>1758</v>
      </c>
      <c r="AM1154">
        <v>34</v>
      </c>
      <c r="AN1154" t="str">
        <f>VLOOKUP(Transaction[[#This Row],[Model No.]],$AV$2:$BD$100,2,TRUE)</f>
        <v>The Eyrie Vineyards Pinot Gris</v>
      </c>
      <c r="AO1154" s="21">
        <f>VLOOKUP(Transaction[[#This Row],[Model No.]],$AV$2:$BD$100,6,TRUE)</f>
        <v>20.99</v>
      </c>
      <c r="AP1154" s="9">
        <v>2</v>
      </c>
      <c r="AQ1154" s="5">
        <f>Transaction[[#This Row],[Price]]*Transaction[[#This Row],[Qty]]</f>
        <v>41.98</v>
      </c>
      <c r="AR1154" s="5">
        <f>VLOOKUP(Transaction[[#This Row],[Model No.]],$AV$2:$BD$100,7,TRUE)*Transaction[[#This Row],[Qty]]</f>
        <v>8.395999999999999</v>
      </c>
      <c r="AS1154">
        <v>1105</v>
      </c>
      <c r="AT1154">
        <v>1004</v>
      </c>
    </row>
    <row r="1155" spans="36:46" x14ac:dyDescent="0.3">
      <c r="AJ1155">
        <v>99549</v>
      </c>
      <c r="AK1155" s="30">
        <v>43047</v>
      </c>
      <c r="AL1155" t="s">
        <v>1212</v>
      </c>
      <c r="AM1155">
        <v>30</v>
      </c>
      <c r="AN1155" t="str">
        <f>VLOOKUP(Transaction[[#This Row],[Model No.]],$AV$2:$BD$100,2,TRUE)</f>
        <v>Kahlua Cinnamon Spice Liqueur</v>
      </c>
      <c r="AO1155" s="21">
        <f>VLOOKUP(Transaction[[#This Row],[Model No.]],$AV$2:$BD$100,6,TRUE)</f>
        <v>22.99</v>
      </c>
      <c r="AP1155" s="9">
        <v>5</v>
      </c>
      <c r="AQ1155" s="5">
        <f>Transaction[[#This Row],[Price]]*Transaction[[#This Row],[Qty]]</f>
        <v>114.94999999999999</v>
      </c>
      <c r="AR1155" s="5">
        <f>VLOOKUP(Transaction[[#This Row],[Model No.]],$AV$2:$BD$100,7,TRUE)*Transaction[[#This Row],[Qty]]</f>
        <v>34.484999999999999</v>
      </c>
      <c r="AS1155">
        <v>1107</v>
      </c>
      <c r="AT1155">
        <v>1007</v>
      </c>
    </row>
    <row r="1156" spans="36:46" x14ac:dyDescent="0.3">
      <c r="AJ1156">
        <v>53735</v>
      </c>
      <c r="AK1156" s="30">
        <v>43049</v>
      </c>
      <c r="AL1156" t="s">
        <v>1389</v>
      </c>
      <c r="AM1156">
        <v>79</v>
      </c>
      <c r="AN1156" t="str">
        <f>VLOOKUP(Transaction[[#This Row],[Model No.]],$AV$2:$BD$100,2,TRUE)</f>
        <v>Baron Herzog Jeunesse Chardonnay</v>
      </c>
      <c r="AO1156" s="21">
        <f>VLOOKUP(Transaction[[#This Row],[Model No.]],$AV$2:$BD$100,6,TRUE)</f>
        <v>11.49</v>
      </c>
      <c r="AP1156" s="9">
        <v>1</v>
      </c>
      <c r="AQ1156" s="5">
        <f>Transaction[[#This Row],[Price]]*Transaction[[#This Row],[Qty]]</f>
        <v>11.49</v>
      </c>
      <c r="AR1156" s="5">
        <f>VLOOKUP(Transaction[[#This Row],[Model No.]],$AV$2:$BD$100,7,TRUE)*Transaction[[#This Row],[Qty]]</f>
        <v>2.298</v>
      </c>
      <c r="AS1156">
        <v>1106</v>
      </c>
      <c r="AT1156">
        <v>1016</v>
      </c>
    </row>
    <row r="1157" spans="36:46" x14ac:dyDescent="0.3">
      <c r="AJ1157">
        <v>46598</v>
      </c>
      <c r="AK1157" s="30">
        <v>43050</v>
      </c>
      <c r="AL1157" t="s">
        <v>1030</v>
      </c>
      <c r="AM1157">
        <v>3</v>
      </c>
      <c r="AN1157" t="str">
        <f>VLOOKUP(Transaction[[#This Row],[Model No.]],$AV$2:$BD$100,2,TRUE)</f>
        <v>Compass Box Orangerie Scotch Whisky</v>
      </c>
      <c r="AO1157" s="21">
        <f>VLOOKUP(Transaction[[#This Row],[Model No.]],$AV$2:$BD$100,6,TRUE)</f>
        <v>56.99</v>
      </c>
      <c r="AP1157" s="9">
        <v>3</v>
      </c>
      <c r="AQ1157" s="5">
        <f>Transaction[[#This Row],[Price]]*Transaction[[#This Row],[Qty]]</f>
        <v>170.97</v>
      </c>
      <c r="AR1157" s="5">
        <f>VLOOKUP(Transaction[[#This Row],[Model No.]],$AV$2:$BD$100,7,TRUE)*Transaction[[#This Row],[Qty]]</f>
        <v>51.291000000000004</v>
      </c>
      <c r="AS1157">
        <v>1102</v>
      </c>
      <c r="AT1157">
        <v>1013</v>
      </c>
    </row>
    <row r="1158" spans="36:46" x14ac:dyDescent="0.3">
      <c r="AJ1158">
        <v>94875</v>
      </c>
      <c r="AK1158" s="30">
        <v>43052</v>
      </c>
      <c r="AL1158" t="s">
        <v>553</v>
      </c>
      <c r="AM1158">
        <v>48</v>
      </c>
      <c r="AN1158" t="str">
        <f>VLOOKUP(Transaction[[#This Row],[Model No.]],$AV$2:$BD$100,2,TRUE)</f>
        <v>CH TOUR D'AURON</v>
      </c>
      <c r="AO1158" s="21">
        <f>VLOOKUP(Transaction[[#This Row],[Model No.]],$AV$2:$BD$100,6,TRUE)</f>
        <v>15.99</v>
      </c>
      <c r="AP1158" s="9">
        <v>5</v>
      </c>
      <c r="AQ1158" s="5">
        <f>Transaction[[#This Row],[Price]]*Transaction[[#This Row],[Qty]]</f>
        <v>79.95</v>
      </c>
      <c r="AR1158" s="5">
        <f>VLOOKUP(Transaction[[#This Row],[Model No.]],$AV$2:$BD$100,7,TRUE)*Transaction[[#This Row],[Qty]]</f>
        <v>31.980000000000004</v>
      </c>
      <c r="AS1158">
        <v>1099</v>
      </c>
      <c r="AT1158">
        <v>1007</v>
      </c>
    </row>
    <row r="1159" spans="36:46" x14ac:dyDescent="0.3">
      <c r="AJ1159">
        <v>91745</v>
      </c>
      <c r="AK1159" s="30">
        <v>43055</v>
      </c>
      <c r="AL1159" t="s">
        <v>584</v>
      </c>
      <c r="AM1159">
        <v>4</v>
      </c>
      <c r="AN1159" t="str">
        <f>VLOOKUP(Transaction[[#This Row],[Model No.]],$AV$2:$BD$100,2,TRUE)</f>
        <v>Stags' Leap Winery Cabernet Sauvignon</v>
      </c>
      <c r="AO1159" s="21">
        <f>VLOOKUP(Transaction[[#This Row],[Model No.]],$AV$2:$BD$100,6,TRUE)</f>
        <v>54.99</v>
      </c>
      <c r="AP1159" s="9">
        <v>1</v>
      </c>
      <c r="AQ1159" s="5">
        <f>Transaction[[#This Row],[Price]]*Transaction[[#This Row],[Qty]]</f>
        <v>54.99</v>
      </c>
      <c r="AR1159" s="5">
        <f>VLOOKUP(Transaction[[#This Row],[Model No.]],$AV$2:$BD$100,7,TRUE)*Transaction[[#This Row],[Qty]]</f>
        <v>5.4990000000000006</v>
      </c>
      <c r="AS1159">
        <v>1100</v>
      </c>
      <c r="AT1159">
        <v>1009</v>
      </c>
    </row>
    <row r="1160" spans="36:46" x14ac:dyDescent="0.3">
      <c r="AJ1160">
        <v>20451</v>
      </c>
      <c r="AK1160" s="30">
        <v>43056</v>
      </c>
      <c r="AL1160" t="s">
        <v>1194</v>
      </c>
      <c r="AM1160">
        <v>21</v>
      </c>
      <c r="AN1160" t="str">
        <f>VLOOKUP(Transaction[[#This Row],[Model No.]],$AV$2:$BD$100,2,TRUE)</f>
        <v>Adelsheim Ribbon Springs Auxerrois</v>
      </c>
      <c r="AO1160" s="21">
        <f>VLOOKUP(Transaction[[#This Row],[Model No.]],$AV$2:$BD$100,6,TRUE)</f>
        <v>25.99</v>
      </c>
      <c r="AP1160" s="9">
        <v>4</v>
      </c>
      <c r="AQ1160" s="5">
        <f>Transaction[[#This Row],[Price]]*Transaction[[#This Row],[Qty]]</f>
        <v>103.96</v>
      </c>
      <c r="AR1160" s="5">
        <f>VLOOKUP(Transaction[[#This Row],[Model No.]],$AV$2:$BD$100,7,TRUE)*Transaction[[#This Row],[Qty]]</f>
        <v>10.396000000000001</v>
      </c>
      <c r="AS1160">
        <v>1101</v>
      </c>
      <c r="AT1160">
        <v>1006</v>
      </c>
    </row>
    <row r="1161" spans="36:46" x14ac:dyDescent="0.3">
      <c r="AJ1161">
        <v>11375</v>
      </c>
      <c r="AK1161" s="30">
        <v>43057</v>
      </c>
      <c r="AL1161" t="s">
        <v>1180</v>
      </c>
      <c r="AM1161">
        <v>32</v>
      </c>
      <c r="AN1161" t="str">
        <f>VLOOKUP(Transaction[[#This Row],[Model No.]],$AV$2:$BD$100,2,TRUE)</f>
        <v>Sugar Island Spiced Rum</v>
      </c>
      <c r="AO1161" s="21">
        <f>VLOOKUP(Transaction[[#This Row],[Model No.]],$AV$2:$BD$100,6,TRUE)</f>
        <v>21.99</v>
      </c>
      <c r="AP1161" s="9">
        <v>5</v>
      </c>
      <c r="AQ1161" s="5">
        <f>Transaction[[#This Row],[Price]]*Transaction[[#This Row],[Qty]]</f>
        <v>109.94999999999999</v>
      </c>
      <c r="AR1161" s="5">
        <f>VLOOKUP(Transaction[[#This Row],[Model No.]],$AV$2:$BD$100,7,TRUE)*Transaction[[#This Row],[Qty]]</f>
        <v>21.99</v>
      </c>
      <c r="AS1161">
        <v>1105</v>
      </c>
      <c r="AT1161">
        <v>1014</v>
      </c>
    </row>
    <row r="1162" spans="36:46" x14ac:dyDescent="0.3">
      <c r="AJ1162">
        <v>52944</v>
      </c>
      <c r="AK1162" s="30">
        <v>43057</v>
      </c>
      <c r="AL1162" t="s">
        <v>852</v>
      </c>
      <c r="AM1162">
        <v>93</v>
      </c>
      <c r="AN1162" t="str">
        <f>VLOOKUP(Transaction[[#This Row],[Model No.]],$AV$2:$BD$100,2,TRUE)</f>
        <v>Beringer Vineyards Stone Cellars Shiraz</v>
      </c>
      <c r="AO1162" s="21">
        <f>VLOOKUP(Transaction[[#This Row],[Model No.]],$AV$2:$BD$100,6,TRUE)</f>
        <v>7.49</v>
      </c>
      <c r="AP1162" s="9">
        <v>2</v>
      </c>
      <c r="AQ1162" s="5">
        <f>Transaction[[#This Row],[Price]]*Transaction[[#This Row],[Qty]]</f>
        <v>14.98</v>
      </c>
      <c r="AR1162" s="5">
        <f>VLOOKUP(Transaction[[#This Row],[Model No.]],$AV$2:$BD$100,7,TRUE)*Transaction[[#This Row],[Qty]]</f>
        <v>1.4980000000000002</v>
      </c>
      <c r="AS1162">
        <v>1103</v>
      </c>
      <c r="AT1162">
        <v>1020</v>
      </c>
    </row>
    <row r="1163" spans="36:46" x14ac:dyDescent="0.3">
      <c r="AJ1163">
        <v>67746</v>
      </c>
      <c r="AK1163" s="30">
        <v>43060</v>
      </c>
      <c r="AL1163" t="s">
        <v>1021</v>
      </c>
      <c r="AM1163">
        <v>89</v>
      </c>
      <c r="AN1163" t="str">
        <f>VLOOKUP(Transaction[[#This Row],[Model No.]],$AV$2:$BD$100,2,TRUE)</f>
        <v>Piera Martellozzo Blu Giovello Moscato Puglia IGT Muscat</v>
      </c>
      <c r="AO1163" s="21">
        <f>VLOOKUP(Transaction[[#This Row],[Model No.]],$AV$2:$BD$100,6,TRUE)</f>
        <v>8.49</v>
      </c>
      <c r="AP1163" s="9">
        <v>3</v>
      </c>
      <c r="AQ1163" s="5">
        <f>Transaction[[#This Row],[Price]]*Transaction[[#This Row],[Qty]]</f>
        <v>25.47</v>
      </c>
      <c r="AR1163" s="5">
        <f>VLOOKUP(Transaction[[#This Row],[Model No.]],$AV$2:$BD$100,7,TRUE)*Transaction[[#This Row],[Qty]]</f>
        <v>2.5470000000000002</v>
      </c>
      <c r="AS1163">
        <v>1100</v>
      </c>
      <c r="AT1163">
        <v>1008</v>
      </c>
    </row>
    <row r="1164" spans="36:46" x14ac:dyDescent="0.3">
      <c r="AJ1164">
        <v>90609</v>
      </c>
      <c r="AK1164" s="30">
        <v>43061</v>
      </c>
      <c r="AL1164" t="s">
        <v>1838</v>
      </c>
      <c r="AM1164">
        <v>37</v>
      </c>
      <c r="AN1164" t="str">
        <f>VLOOKUP(Transaction[[#This Row],[Model No.]],$AV$2:$BD$100,2,TRUE)</f>
        <v>Francis Ford Coppola Diamond Collection Black Label Pavilion Chardonnay</v>
      </c>
      <c r="AO1164" s="21">
        <f>VLOOKUP(Transaction[[#This Row],[Model No.]],$AV$2:$BD$100,6,TRUE)</f>
        <v>19.989999999999998</v>
      </c>
      <c r="AP1164" s="9">
        <v>2</v>
      </c>
      <c r="AQ1164" s="5">
        <f>Transaction[[#This Row],[Price]]*Transaction[[#This Row],[Qty]]</f>
        <v>39.979999999999997</v>
      </c>
      <c r="AR1164" s="5">
        <f>VLOOKUP(Transaction[[#This Row],[Model No.]],$AV$2:$BD$100,7,TRUE)*Transaction[[#This Row],[Qty]]</f>
        <v>3.9979999999999998</v>
      </c>
      <c r="AS1164">
        <v>1100</v>
      </c>
      <c r="AT1164">
        <v>1016</v>
      </c>
    </row>
    <row r="1165" spans="36:46" x14ac:dyDescent="0.3">
      <c r="AJ1165">
        <v>35541</v>
      </c>
      <c r="AK1165" s="30">
        <v>43062</v>
      </c>
      <c r="AL1165" t="s">
        <v>1489</v>
      </c>
      <c r="AM1165">
        <v>41</v>
      </c>
      <c r="AN1165" t="str">
        <f>VLOOKUP(Transaction[[#This Row],[Model No.]],$AV$2:$BD$100,2,TRUE)</f>
        <v>Brunellesco Delle Venezie IGT Pinot Grigio</v>
      </c>
      <c r="AO1165" s="21">
        <f>VLOOKUP(Transaction[[#This Row],[Model No.]],$AV$2:$BD$100,6,TRUE)</f>
        <v>17.39</v>
      </c>
      <c r="AP1165" s="9">
        <v>3</v>
      </c>
      <c r="AQ1165" s="5">
        <f>Transaction[[#This Row],[Price]]*Transaction[[#This Row],[Qty]]</f>
        <v>52.17</v>
      </c>
      <c r="AR1165" s="5">
        <f>VLOOKUP(Transaction[[#This Row],[Model No.]],$AV$2:$BD$100,7,TRUE)*Transaction[[#This Row],[Qty]]</f>
        <v>5.2170000000000005</v>
      </c>
      <c r="AS1165">
        <v>1105</v>
      </c>
      <c r="AT1165">
        <v>1004</v>
      </c>
    </row>
    <row r="1166" spans="36:46" x14ac:dyDescent="0.3">
      <c r="AJ1166">
        <v>83473</v>
      </c>
      <c r="AK1166" s="30">
        <v>43064</v>
      </c>
      <c r="AL1166" t="s">
        <v>696</v>
      </c>
      <c r="AM1166">
        <v>27</v>
      </c>
      <c r="AN1166" t="str">
        <f>VLOOKUP(Transaction[[#This Row],[Model No.]],$AV$2:$BD$100,2,TRUE)</f>
        <v>Prairie Organic Gin</v>
      </c>
      <c r="AO1166" s="21">
        <f>VLOOKUP(Transaction[[#This Row],[Model No.]],$AV$2:$BD$100,6,TRUE)</f>
        <v>23.99</v>
      </c>
      <c r="AP1166" s="9">
        <v>1</v>
      </c>
      <c r="AQ1166" s="5">
        <f>Transaction[[#This Row],[Price]]*Transaction[[#This Row],[Qty]]</f>
        <v>23.99</v>
      </c>
      <c r="AR1166" s="5">
        <f>VLOOKUP(Transaction[[#This Row],[Model No.]],$AV$2:$BD$100,7,TRUE)*Transaction[[#This Row],[Qty]]</f>
        <v>9.5960000000000001</v>
      </c>
      <c r="AS1166">
        <v>1108</v>
      </c>
      <c r="AT1166">
        <v>1017</v>
      </c>
    </row>
    <row r="1167" spans="36:46" x14ac:dyDescent="0.3">
      <c r="AJ1167">
        <v>69535</v>
      </c>
      <c r="AK1167" s="30">
        <v>43067</v>
      </c>
      <c r="AL1167" t="s">
        <v>1086</v>
      </c>
      <c r="AM1167">
        <v>12</v>
      </c>
      <c r="AN1167" t="str">
        <f>VLOOKUP(Transaction[[#This Row],[Model No.]],$AV$2:$BD$100,2,TRUE)</f>
        <v>Cuvaison Pinot Noir</v>
      </c>
      <c r="AO1167" s="21">
        <f>VLOOKUP(Transaction[[#This Row],[Model No.]],$AV$2:$BD$100,6,TRUE)</f>
        <v>36.99</v>
      </c>
      <c r="AP1167" s="9">
        <v>2</v>
      </c>
      <c r="AQ1167" s="5">
        <f>Transaction[[#This Row],[Price]]*Transaction[[#This Row],[Qty]]</f>
        <v>73.98</v>
      </c>
      <c r="AR1167" s="5">
        <f>VLOOKUP(Transaction[[#This Row],[Model No.]],$AV$2:$BD$100,7,TRUE)*Transaction[[#This Row],[Qty]]</f>
        <v>7.3980000000000006</v>
      </c>
      <c r="AS1167">
        <v>1103</v>
      </c>
      <c r="AT1167">
        <v>1006</v>
      </c>
    </row>
    <row r="1168" spans="36:46" x14ac:dyDescent="0.3">
      <c r="AJ1168">
        <v>84616</v>
      </c>
      <c r="AK1168" s="30">
        <v>43069</v>
      </c>
      <c r="AL1168" t="s">
        <v>1335</v>
      </c>
      <c r="AM1168">
        <v>32</v>
      </c>
      <c r="AN1168" t="str">
        <f>VLOOKUP(Transaction[[#This Row],[Model No.]],$AV$2:$BD$100,2,TRUE)</f>
        <v>Sugar Island Spiced Rum</v>
      </c>
      <c r="AO1168" s="21">
        <f>VLOOKUP(Transaction[[#This Row],[Model No.]],$AV$2:$BD$100,6,TRUE)</f>
        <v>21.99</v>
      </c>
      <c r="AP1168" s="9">
        <v>1</v>
      </c>
      <c r="AQ1168" s="5">
        <f>Transaction[[#This Row],[Price]]*Transaction[[#This Row],[Qty]]</f>
        <v>21.99</v>
      </c>
      <c r="AR1168" s="5">
        <f>VLOOKUP(Transaction[[#This Row],[Model No.]],$AV$2:$BD$100,7,TRUE)*Transaction[[#This Row],[Qty]]</f>
        <v>4.3979999999999997</v>
      </c>
      <c r="AS1168">
        <v>1106</v>
      </c>
      <c r="AT1168">
        <v>1010</v>
      </c>
    </row>
    <row r="1169" spans="36:46" x14ac:dyDescent="0.3">
      <c r="AJ1169">
        <v>98128</v>
      </c>
      <c r="AK1169" s="30">
        <v>43071</v>
      </c>
      <c r="AL1169" t="s">
        <v>1768</v>
      </c>
      <c r="AM1169">
        <v>35</v>
      </c>
      <c r="AN1169" t="str">
        <f>VLOOKUP(Transaction[[#This Row],[Model No.]],$AV$2:$BD$100,2,TRUE)</f>
        <v>Troegenator Double Bock Can - 12 Pack</v>
      </c>
      <c r="AO1169" s="21">
        <f>VLOOKUP(Transaction[[#This Row],[Model No.]],$AV$2:$BD$100,6,TRUE)</f>
        <v>20.99</v>
      </c>
      <c r="AP1169" s="9">
        <v>5</v>
      </c>
      <c r="AQ1169" s="5">
        <f>Transaction[[#This Row],[Price]]*Transaction[[#This Row],[Qty]]</f>
        <v>104.94999999999999</v>
      </c>
      <c r="AR1169" s="5">
        <f>VLOOKUP(Transaction[[#This Row],[Model No.]],$AV$2:$BD$100,7,TRUE)*Transaction[[#This Row],[Qty]]</f>
        <v>31.484999999999999</v>
      </c>
      <c r="AS1169">
        <v>1105</v>
      </c>
      <c r="AT1169">
        <v>1004</v>
      </c>
    </row>
    <row r="1170" spans="36:46" x14ac:dyDescent="0.3">
      <c r="AJ1170">
        <v>90969</v>
      </c>
      <c r="AK1170" s="30">
        <v>43074</v>
      </c>
      <c r="AL1170" t="s">
        <v>706</v>
      </c>
      <c r="AM1170">
        <v>66</v>
      </c>
      <c r="AN1170" t="str">
        <f>VLOOKUP(Transaction[[#This Row],[Model No.]],$AV$2:$BD$100,2,TRUE)</f>
        <v>Red Horse Beer - 6 Pack</v>
      </c>
      <c r="AO1170" s="21">
        <f>VLOOKUP(Transaction[[#This Row],[Model No.]],$AV$2:$BD$100,6,TRUE)</f>
        <v>12.99</v>
      </c>
      <c r="AP1170" s="9">
        <v>1</v>
      </c>
      <c r="AQ1170" s="5">
        <f>Transaction[[#This Row],[Price]]*Transaction[[#This Row],[Qty]]</f>
        <v>12.99</v>
      </c>
      <c r="AR1170" s="5">
        <f>VLOOKUP(Transaction[[#This Row],[Model No.]],$AV$2:$BD$100,7,TRUE)*Transaction[[#This Row],[Qty]]</f>
        <v>3.8969999999999998</v>
      </c>
      <c r="AS1170">
        <v>1104</v>
      </c>
      <c r="AT1170">
        <v>1005</v>
      </c>
    </row>
    <row r="1171" spans="36:46" x14ac:dyDescent="0.3">
      <c r="AJ1171">
        <v>95910</v>
      </c>
      <c r="AK1171" s="30">
        <v>43075</v>
      </c>
      <c r="AL1171" t="s">
        <v>1055</v>
      </c>
      <c r="AM1171">
        <v>81</v>
      </c>
      <c r="AN1171" t="str">
        <f>VLOOKUP(Transaction[[#This Row],[Model No.]],$AV$2:$BD$100,2,TRUE)</f>
        <v>TerraNoble Reserva La Higuera Vineyard Carmenere</v>
      </c>
      <c r="AO1171" s="21">
        <f>VLOOKUP(Transaction[[#This Row],[Model No.]],$AV$2:$BD$100,6,TRUE)</f>
        <v>10.99</v>
      </c>
      <c r="AP1171" s="9">
        <v>3</v>
      </c>
      <c r="AQ1171" s="5">
        <f>Transaction[[#This Row],[Price]]*Transaction[[#This Row],[Qty]]</f>
        <v>32.97</v>
      </c>
      <c r="AR1171" s="5">
        <f>VLOOKUP(Transaction[[#This Row],[Model No.]],$AV$2:$BD$100,7,TRUE)*Transaction[[#This Row],[Qty]]</f>
        <v>9.891</v>
      </c>
      <c r="AS1171">
        <v>1108</v>
      </c>
      <c r="AT1171">
        <v>1000</v>
      </c>
    </row>
    <row r="1172" spans="36:46" x14ac:dyDescent="0.3">
      <c r="AJ1172">
        <v>11610</v>
      </c>
      <c r="AK1172" s="30">
        <v>43075</v>
      </c>
      <c r="AL1172" t="s">
        <v>868</v>
      </c>
      <c r="AM1172">
        <v>93</v>
      </c>
      <c r="AN1172" t="str">
        <f>VLOOKUP(Transaction[[#This Row],[Model No.]],$AV$2:$BD$100,2,TRUE)</f>
        <v>Beringer Vineyards Stone Cellars Shiraz</v>
      </c>
      <c r="AO1172" s="21">
        <f>VLOOKUP(Transaction[[#This Row],[Model No.]],$AV$2:$BD$100,6,TRUE)</f>
        <v>7.49</v>
      </c>
      <c r="AP1172" s="9">
        <v>1</v>
      </c>
      <c r="AQ1172" s="5">
        <f>Transaction[[#This Row],[Price]]*Transaction[[#This Row],[Qty]]</f>
        <v>7.49</v>
      </c>
      <c r="AR1172" s="5">
        <f>VLOOKUP(Transaction[[#This Row],[Model No.]],$AV$2:$BD$100,7,TRUE)*Transaction[[#This Row],[Qty]]</f>
        <v>0.74900000000000011</v>
      </c>
      <c r="AS1172">
        <v>1105</v>
      </c>
      <c r="AT1172">
        <v>1015</v>
      </c>
    </row>
    <row r="1173" spans="36:46" x14ac:dyDescent="0.3">
      <c r="AJ1173">
        <v>72348</v>
      </c>
      <c r="AK1173" s="30">
        <v>43076</v>
      </c>
      <c r="AL1173" t="s">
        <v>338</v>
      </c>
      <c r="AM1173">
        <v>43</v>
      </c>
      <c r="AN1173" t="str">
        <f>VLOOKUP(Transaction[[#This Row],[Model No.]],$AV$2:$BD$100,2,TRUE)</f>
        <v>Green Flash Le Freak - 4 Pack</v>
      </c>
      <c r="AO1173" s="21">
        <f>VLOOKUP(Transaction[[#This Row],[Model No.]],$AV$2:$BD$100,6,TRUE)</f>
        <v>16.989999999999998</v>
      </c>
      <c r="AP1173" s="9">
        <v>5</v>
      </c>
      <c r="AQ1173" s="5">
        <f>Transaction[[#This Row],[Price]]*Transaction[[#This Row],[Qty]]</f>
        <v>84.949999999999989</v>
      </c>
      <c r="AR1173" s="5">
        <f>VLOOKUP(Transaction[[#This Row],[Model No.]],$AV$2:$BD$100,7,TRUE)*Transaction[[#This Row],[Qty]]</f>
        <v>25.484999999999999</v>
      </c>
      <c r="AS1173">
        <v>1104</v>
      </c>
      <c r="AT1173">
        <v>1018</v>
      </c>
    </row>
    <row r="1174" spans="36:46" x14ac:dyDescent="0.3">
      <c r="AJ1174">
        <v>37377</v>
      </c>
      <c r="AK1174" s="30">
        <v>43076</v>
      </c>
      <c r="AL1174" t="s">
        <v>579</v>
      </c>
      <c r="AM1174">
        <v>46</v>
      </c>
      <c r="AN1174" t="str">
        <f>VLOOKUP(Transaction[[#This Row],[Model No.]],$AV$2:$BD$100,2,TRUE)</f>
        <v>Label 5 Classic Black Blended Scotch Whisky</v>
      </c>
      <c r="AO1174" s="21">
        <f>VLOOKUP(Transaction[[#This Row],[Model No.]],$AV$2:$BD$100,6,TRUE)</f>
        <v>15.99</v>
      </c>
      <c r="AP1174" s="9">
        <v>3</v>
      </c>
      <c r="AQ1174" s="5">
        <f>Transaction[[#This Row],[Price]]*Transaction[[#This Row],[Qty]]</f>
        <v>47.97</v>
      </c>
      <c r="AR1174" s="5">
        <f>VLOOKUP(Transaction[[#This Row],[Model No.]],$AV$2:$BD$100,7,TRUE)*Transaction[[#This Row],[Qty]]</f>
        <v>9.5940000000000012</v>
      </c>
      <c r="AS1174">
        <v>1101</v>
      </c>
      <c r="AT1174">
        <v>1005</v>
      </c>
    </row>
    <row r="1175" spans="36:46" x14ac:dyDescent="0.3">
      <c r="AJ1175">
        <v>51159</v>
      </c>
      <c r="AK1175" s="30">
        <v>43079</v>
      </c>
      <c r="AL1175" t="s">
        <v>1225</v>
      </c>
      <c r="AM1175">
        <v>6</v>
      </c>
      <c r="AN1175" t="str">
        <f>VLOOKUP(Transaction[[#This Row],[Model No.]],$AV$2:$BD$100,2,TRUE)</f>
        <v>Agricola Punica Barrua Isola Dei Nuraghi IGT Carignan</v>
      </c>
      <c r="AO1175" s="21">
        <f>VLOOKUP(Transaction[[#This Row],[Model No.]],$AV$2:$BD$100,6,TRUE)</f>
        <v>46.99</v>
      </c>
      <c r="AP1175" s="9">
        <v>4</v>
      </c>
      <c r="AQ1175" s="5">
        <f>Transaction[[#This Row],[Price]]*Transaction[[#This Row],[Qty]]</f>
        <v>187.96</v>
      </c>
      <c r="AR1175" s="5">
        <f>VLOOKUP(Transaction[[#This Row],[Model No.]],$AV$2:$BD$100,7,TRUE)*Transaction[[#This Row],[Qty]]</f>
        <v>18.796000000000003</v>
      </c>
      <c r="AS1175">
        <v>1104</v>
      </c>
      <c r="AT1175">
        <v>1009</v>
      </c>
    </row>
    <row r="1176" spans="36:46" x14ac:dyDescent="0.3">
      <c r="AJ1176">
        <v>84495</v>
      </c>
      <c r="AK1176" s="30">
        <v>43081</v>
      </c>
      <c r="AL1176" t="s">
        <v>523</v>
      </c>
      <c r="AM1176">
        <v>72</v>
      </c>
      <c r="AN1176" t="str">
        <f>VLOOKUP(Transaction[[#This Row],[Model No.]],$AV$2:$BD$100,2,TRUE)</f>
        <v>Pearl Wedding Cake Vodka</v>
      </c>
      <c r="AO1176" s="21">
        <f>VLOOKUP(Transaction[[#This Row],[Model No.]],$AV$2:$BD$100,6,TRUE)</f>
        <v>12.49</v>
      </c>
      <c r="AP1176" s="9">
        <v>3</v>
      </c>
      <c r="AQ1176" s="5">
        <f>Transaction[[#This Row],[Price]]*Transaction[[#This Row],[Qty]]</f>
        <v>37.47</v>
      </c>
      <c r="AR1176" s="5">
        <f>VLOOKUP(Transaction[[#This Row],[Model No.]],$AV$2:$BD$100,7,TRUE)*Transaction[[#This Row],[Qty]]</f>
        <v>11.241</v>
      </c>
      <c r="AS1176">
        <v>1102</v>
      </c>
      <c r="AT1176">
        <v>1011</v>
      </c>
    </row>
    <row r="1177" spans="36:46" x14ac:dyDescent="0.3">
      <c r="AJ1177">
        <v>34952</v>
      </c>
      <c r="AK1177" s="30">
        <v>43082</v>
      </c>
      <c r="AL1177" t="s">
        <v>1710</v>
      </c>
      <c r="AM1177">
        <v>26</v>
      </c>
      <c r="AN1177" t="str">
        <f>VLOOKUP(Transaction[[#This Row],[Model No.]],$AV$2:$BD$100,2,TRUE)</f>
        <v>Belhaven Scottish Stout - 4 Pack</v>
      </c>
      <c r="AO1177" s="21">
        <f>VLOOKUP(Transaction[[#This Row],[Model No.]],$AV$2:$BD$100,6,TRUE)</f>
        <v>23.99</v>
      </c>
      <c r="AP1177" s="9">
        <v>2</v>
      </c>
      <c r="AQ1177" s="5">
        <f>Transaction[[#This Row],[Price]]*Transaction[[#This Row],[Qty]]</f>
        <v>47.98</v>
      </c>
      <c r="AR1177" s="5">
        <f>VLOOKUP(Transaction[[#This Row],[Model No.]],$AV$2:$BD$100,7,TRUE)*Transaction[[#This Row],[Qty]]</f>
        <v>14.393999999999998</v>
      </c>
      <c r="AS1177">
        <v>1108</v>
      </c>
      <c r="AT1177">
        <v>1001</v>
      </c>
    </row>
    <row r="1178" spans="36:46" x14ac:dyDescent="0.3">
      <c r="AJ1178">
        <v>51962</v>
      </c>
      <c r="AK1178" s="30">
        <v>43082</v>
      </c>
      <c r="AL1178" t="s">
        <v>653</v>
      </c>
      <c r="AM1178">
        <v>28</v>
      </c>
      <c r="AN1178" t="str">
        <f>VLOOKUP(Transaction[[#This Row],[Model No.]],$AV$2:$BD$100,2,TRUE)</f>
        <v>Quinta de Soalheiro Soalheiro Alvarinho</v>
      </c>
      <c r="AO1178" s="21">
        <f>VLOOKUP(Transaction[[#This Row],[Model No.]],$AV$2:$BD$100,6,TRUE)</f>
        <v>23.99</v>
      </c>
      <c r="AP1178" s="9">
        <v>5</v>
      </c>
      <c r="AQ1178" s="5">
        <f>Transaction[[#This Row],[Price]]*Transaction[[#This Row],[Qty]]</f>
        <v>119.94999999999999</v>
      </c>
      <c r="AR1178" s="5">
        <f>VLOOKUP(Transaction[[#This Row],[Model No.]],$AV$2:$BD$100,7,TRUE)*Transaction[[#This Row],[Qty]]</f>
        <v>47.980000000000004</v>
      </c>
      <c r="AS1178">
        <v>1105</v>
      </c>
      <c r="AT1178">
        <v>1018</v>
      </c>
    </row>
    <row r="1179" spans="36:46" x14ac:dyDescent="0.3">
      <c r="AJ1179">
        <v>29092</v>
      </c>
      <c r="AK1179" s="30">
        <v>43082</v>
      </c>
      <c r="AL1179" t="s">
        <v>816</v>
      </c>
      <c r="AM1179">
        <v>30</v>
      </c>
      <c r="AN1179" t="str">
        <f>VLOOKUP(Transaction[[#This Row],[Model No.]],$AV$2:$BD$100,2,TRUE)</f>
        <v>Kahlua Cinnamon Spice Liqueur</v>
      </c>
      <c r="AO1179" s="21">
        <f>VLOOKUP(Transaction[[#This Row],[Model No.]],$AV$2:$BD$100,6,TRUE)</f>
        <v>22.99</v>
      </c>
      <c r="AP1179" s="9">
        <v>3</v>
      </c>
      <c r="AQ1179" s="5">
        <f>Transaction[[#This Row],[Price]]*Transaction[[#This Row],[Qty]]</f>
        <v>68.97</v>
      </c>
      <c r="AR1179" s="5">
        <f>VLOOKUP(Transaction[[#This Row],[Model No.]],$AV$2:$BD$100,7,TRUE)*Transaction[[#This Row],[Qty]]</f>
        <v>20.690999999999999</v>
      </c>
      <c r="AS1179">
        <v>1104</v>
      </c>
      <c r="AT1179">
        <v>1014</v>
      </c>
    </row>
    <row r="1180" spans="36:46" x14ac:dyDescent="0.3">
      <c r="AJ1180">
        <v>85714</v>
      </c>
      <c r="AK1180" s="30">
        <v>43084</v>
      </c>
      <c r="AL1180" t="s">
        <v>1788</v>
      </c>
      <c r="AM1180">
        <v>61</v>
      </c>
      <c r="AN1180" t="str">
        <f>VLOOKUP(Transaction[[#This Row],[Model No.]],$AV$2:$BD$100,2,TRUE)</f>
        <v>He'Brew Genesis Dry Hopped Session Ale - 6 Pack</v>
      </c>
      <c r="AO1180" s="21">
        <f>VLOOKUP(Transaction[[#This Row],[Model No.]],$AV$2:$BD$100,6,TRUE)</f>
        <v>12.99</v>
      </c>
      <c r="AP1180" s="9">
        <v>5</v>
      </c>
      <c r="AQ1180" s="5">
        <f>Transaction[[#This Row],[Price]]*Transaction[[#This Row],[Qty]]</f>
        <v>64.95</v>
      </c>
      <c r="AR1180" s="5">
        <f>VLOOKUP(Transaction[[#This Row],[Model No.]],$AV$2:$BD$100,7,TRUE)*Transaction[[#This Row],[Qty]]</f>
        <v>19.484999999999999</v>
      </c>
      <c r="AS1180">
        <v>1108</v>
      </c>
      <c r="AT1180">
        <v>1019</v>
      </c>
    </row>
    <row r="1181" spans="36:46" x14ac:dyDescent="0.3">
      <c r="AJ1181">
        <v>96660</v>
      </c>
      <c r="AK1181" s="30">
        <v>43086</v>
      </c>
      <c r="AL1181" t="s">
        <v>1136</v>
      </c>
      <c r="AM1181">
        <v>35</v>
      </c>
      <c r="AN1181" t="str">
        <f>VLOOKUP(Transaction[[#This Row],[Model No.]],$AV$2:$BD$100,2,TRUE)</f>
        <v>Troegenator Double Bock Can - 12 Pack</v>
      </c>
      <c r="AO1181" s="21">
        <f>VLOOKUP(Transaction[[#This Row],[Model No.]],$AV$2:$BD$100,6,TRUE)</f>
        <v>20.99</v>
      </c>
      <c r="AP1181" s="9">
        <v>4</v>
      </c>
      <c r="AQ1181" s="5">
        <f>Transaction[[#This Row],[Price]]*Transaction[[#This Row],[Qty]]</f>
        <v>83.96</v>
      </c>
      <c r="AR1181" s="5">
        <f>VLOOKUP(Transaction[[#This Row],[Model No.]],$AV$2:$BD$100,7,TRUE)*Transaction[[#This Row],[Qty]]</f>
        <v>25.187999999999999</v>
      </c>
      <c r="AS1181">
        <v>1100</v>
      </c>
      <c r="AT1181">
        <v>1021</v>
      </c>
    </row>
    <row r="1182" spans="36:46" x14ac:dyDescent="0.3">
      <c r="AJ1182">
        <v>69956</v>
      </c>
      <c r="AK1182" s="30">
        <v>43086</v>
      </c>
      <c r="AL1182" t="s">
        <v>727</v>
      </c>
      <c r="AM1182">
        <v>42</v>
      </c>
      <c r="AN1182" t="str">
        <f>VLOOKUP(Transaction[[#This Row],[Model No.]],$AV$2:$BD$100,2,TRUE)</f>
        <v>Francis Ford Coppola Sofia Brut Rose Pinot Noir</v>
      </c>
      <c r="AO1182" s="21">
        <f>VLOOKUP(Transaction[[#This Row],[Model No.]],$AV$2:$BD$100,6,TRUE)</f>
        <v>16.989999999999998</v>
      </c>
      <c r="AP1182" s="9">
        <v>5</v>
      </c>
      <c r="AQ1182" s="5">
        <f>Transaction[[#This Row],[Price]]*Transaction[[#This Row],[Qty]]</f>
        <v>84.949999999999989</v>
      </c>
      <c r="AR1182" s="5">
        <f>VLOOKUP(Transaction[[#This Row],[Model No.]],$AV$2:$BD$100,7,TRUE)*Transaction[[#This Row],[Qty]]</f>
        <v>33.979999999999997</v>
      </c>
      <c r="AS1182">
        <v>1104</v>
      </c>
      <c r="AT1182">
        <v>1017</v>
      </c>
    </row>
    <row r="1183" spans="36:46" x14ac:dyDescent="0.3">
      <c r="AJ1183">
        <v>58601</v>
      </c>
      <c r="AK1183" s="30">
        <v>43087</v>
      </c>
      <c r="AL1183" t="s">
        <v>991</v>
      </c>
      <c r="AM1183">
        <v>47</v>
      </c>
      <c r="AN1183" t="str">
        <f>VLOOKUP(Transaction[[#This Row],[Model No.]],$AV$2:$BD$100,2,TRUE)</f>
        <v>IL Tramonto Amaretto Liqueur</v>
      </c>
      <c r="AO1183" s="21">
        <f>VLOOKUP(Transaction[[#This Row],[Model No.]],$AV$2:$BD$100,6,TRUE)</f>
        <v>15.99</v>
      </c>
      <c r="AP1183" s="9">
        <v>4</v>
      </c>
      <c r="AQ1183" s="5">
        <f>Transaction[[#This Row],[Price]]*Transaction[[#This Row],[Qty]]</f>
        <v>63.96</v>
      </c>
      <c r="AR1183" s="5">
        <f>VLOOKUP(Transaction[[#This Row],[Model No.]],$AV$2:$BD$100,7,TRUE)*Transaction[[#This Row],[Qty]]</f>
        <v>19.187999999999999</v>
      </c>
      <c r="AS1183">
        <v>1105</v>
      </c>
      <c r="AT1183">
        <v>1019</v>
      </c>
    </row>
    <row r="1184" spans="36:46" x14ac:dyDescent="0.3">
      <c r="AJ1184">
        <v>97290</v>
      </c>
      <c r="AK1184" s="30">
        <v>43089</v>
      </c>
      <c r="AL1184" t="s">
        <v>798</v>
      </c>
      <c r="AM1184">
        <v>81</v>
      </c>
      <c r="AN1184" t="str">
        <f>VLOOKUP(Transaction[[#This Row],[Model No.]],$AV$2:$BD$100,2,TRUE)</f>
        <v>TerraNoble Reserva La Higuera Vineyard Carmenere</v>
      </c>
      <c r="AO1184" s="21">
        <f>VLOOKUP(Transaction[[#This Row],[Model No.]],$AV$2:$BD$100,6,TRUE)</f>
        <v>10.99</v>
      </c>
      <c r="AP1184" s="9">
        <v>2</v>
      </c>
      <c r="AQ1184" s="5">
        <f>Transaction[[#This Row],[Price]]*Transaction[[#This Row],[Qty]]</f>
        <v>21.98</v>
      </c>
      <c r="AR1184" s="5">
        <f>VLOOKUP(Transaction[[#This Row],[Model No.]],$AV$2:$BD$100,7,TRUE)*Transaction[[#This Row],[Qty]]</f>
        <v>6.5940000000000003</v>
      </c>
      <c r="AS1184">
        <v>1108</v>
      </c>
      <c r="AT1184">
        <v>1004</v>
      </c>
    </row>
    <row r="1185" spans="36:46" x14ac:dyDescent="0.3">
      <c r="AJ1185">
        <v>26215</v>
      </c>
      <c r="AK1185" s="30">
        <v>43090</v>
      </c>
      <c r="AL1185" t="s">
        <v>1583</v>
      </c>
      <c r="AM1185">
        <v>63</v>
      </c>
      <c r="AN1185" t="str">
        <f>VLOOKUP(Transaction[[#This Row],[Model No.]],$AV$2:$BD$100,2,TRUE)</f>
        <v>Troegs LaGrave - 4 Pack</v>
      </c>
      <c r="AO1185" s="21">
        <f>VLOOKUP(Transaction[[#This Row],[Model No.]],$AV$2:$BD$100,6,TRUE)</f>
        <v>12.99</v>
      </c>
      <c r="AP1185" s="9">
        <v>3</v>
      </c>
      <c r="AQ1185" s="5">
        <f>Transaction[[#This Row],[Price]]*Transaction[[#This Row],[Qty]]</f>
        <v>38.97</v>
      </c>
      <c r="AR1185" s="5">
        <f>VLOOKUP(Transaction[[#This Row],[Model No.]],$AV$2:$BD$100,7,TRUE)*Transaction[[#This Row],[Qty]]</f>
        <v>11.690999999999999</v>
      </c>
      <c r="AS1185">
        <v>1106</v>
      </c>
      <c r="AT1185">
        <v>1005</v>
      </c>
    </row>
    <row r="1186" spans="36:46" x14ac:dyDescent="0.3">
      <c r="AJ1186">
        <v>20312</v>
      </c>
      <c r="AK1186" s="30">
        <v>43090</v>
      </c>
      <c r="AL1186" t="s">
        <v>519</v>
      </c>
      <c r="AM1186">
        <v>96</v>
      </c>
      <c r="AN1186" t="str">
        <f>VLOOKUP(Transaction[[#This Row],[Model No.]],$AV$2:$BD$100,2,TRUE)</f>
        <v>Arbor Mist Blackberry Merlot</v>
      </c>
      <c r="AO1186" s="21">
        <f>VLOOKUP(Transaction[[#This Row],[Model No.]],$AV$2:$BD$100,6,TRUE)</f>
        <v>6.19</v>
      </c>
      <c r="AP1186" s="9">
        <v>5</v>
      </c>
      <c r="AQ1186" s="5">
        <f>Transaction[[#This Row],[Price]]*Transaction[[#This Row],[Qty]]</f>
        <v>30.950000000000003</v>
      </c>
      <c r="AR1186" s="5">
        <f>VLOOKUP(Transaction[[#This Row],[Model No.]],$AV$2:$BD$100,7,TRUE)*Transaction[[#This Row],[Qty]]</f>
        <v>3.0950000000000006</v>
      </c>
      <c r="AS1186">
        <v>1104</v>
      </c>
      <c r="AT1186">
        <v>1021</v>
      </c>
    </row>
    <row r="1187" spans="36:46" x14ac:dyDescent="0.3">
      <c r="AJ1187">
        <v>86559</v>
      </c>
      <c r="AK1187" s="30">
        <v>43093</v>
      </c>
      <c r="AL1187" t="s">
        <v>664</v>
      </c>
      <c r="AM1187">
        <v>72</v>
      </c>
      <c r="AN1187" t="str">
        <f>VLOOKUP(Transaction[[#This Row],[Model No.]],$AV$2:$BD$100,2,TRUE)</f>
        <v>Pearl Wedding Cake Vodka</v>
      </c>
      <c r="AO1187" s="21">
        <f>VLOOKUP(Transaction[[#This Row],[Model No.]],$AV$2:$BD$100,6,TRUE)</f>
        <v>12.49</v>
      </c>
      <c r="AP1187" s="9">
        <v>4</v>
      </c>
      <c r="AQ1187" s="5">
        <f>Transaction[[#This Row],[Price]]*Transaction[[#This Row],[Qty]]</f>
        <v>49.96</v>
      </c>
      <c r="AR1187" s="5">
        <f>VLOOKUP(Transaction[[#This Row],[Model No.]],$AV$2:$BD$100,7,TRUE)*Transaction[[#This Row],[Qty]]</f>
        <v>14.988</v>
      </c>
      <c r="AS1187">
        <v>1102</v>
      </c>
      <c r="AT1187">
        <v>1019</v>
      </c>
    </row>
    <row r="1188" spans="36:46" x14ac:dyDescent="0.3">
      <c r="AJ1188">
        <v>74399</v>
      </c>
      <c r="AK1188" s="30">
        <v>43094</v>
      </c>
      <c r="AL1188" t="s">
        <v>877</v>
      </c>
      <c r="AM1188">
        <v>15</v>
      </c>
      <c r="AN1188" t="str">
        <f>VLOOKUP(Transaction[[#This Row],[Model No.]],$AV$2:$BD$100,2,TRUE)</f>
        <v>Wild Turkey 101 Kentucky Straight Bourbon Whiskey</v>
      </c>
      <c r="AO1188" s="21">
        <f>VLOOKUP(Transaction[[#This Row],[Model No.]],$AV$2:$BD$100,6,TRUE)</f>
        <v>32.99</v>
      </c>
      <c r="AP1188" s="9">
        <v>3</v>
      </c>
      <c r="AQ1188" s="5">
        <f>Transaction[[#This Row],[Price]]*Transaction[[#This Row],[Qty]]</f>
        <v>98.97</v>
      </c>
      <c r="AR1188" s="5">
        <f>VLOOKUP(Transaction[[#This Row],[Model No.]],$AV$2:$BD$100,7,TRUE)*Transaction[[#This Row],[Qty]]</f>
        <v>19.794000000000004</v>
      </c>
      <c r="AS1188">
        <v>1103</v>
      </c>
      <c r="AT1188">
        <v>1016</v>
      </c>
    </row>
    <row r="1189" spans="36:46" x14ac:dyDescent="0.3">
      <c r="AJ1189">
        <v>95058</v>
      </c>
      <c r="AK1189" s="30">
        <v>43094</v>
      </c>
      <c r="AL1189" t="s">
        <v>1757</v>
      </c>
      <c r="AM1189">
        <v>32</v>
      </c>
      <c r="AN1189" t="str">
        <f>VLOOKUP(Transaction[[#This Row],[Model No.]],$AV$2:$BD$100,2,TRUE)</f>
        <v>Sugar Island Spiced Rum</v>
      </c>
      <c r="AO1189" s="21">
        <f>VLOOKUP(Transaction[[#This Row],[Model No.]],$AV$2:$BD$100,6,TRUE)</f>
        <v>21.99</v>
      </c>
      <c r="AP1189" s="9">
        <v>5</v>
      </c>
      <c r="AQ1189" s="5">
        <f>Transaction[[#This Row],[Price]]*Transaction[[#This Row],[Qty]]</f>
        <v>109.94999999999999</v>
      </c>
      <c r="AR1189" s="5">
        <f>VLOOKUP(Transaction[[#This Row],[Model No.]],$AV$2:$BD$100,7,TRUE)*Transaction[[#This Row],[Qty]]</f>
        <v>21.99</v>
      </c>
      <c r="AS1189">
        <v>1100</v>
      </c>
      <c r="AT1189">
        <v>1010</v>
      </c>
    </row>
    <row r="1190" spans="36:46" x14ac:dyDescent="0.3">
      <c r="AJ1190">
        <v>23919</v>
      </c>
      <c r="AK1190" s="30">
        <v>43097</v>
      </c>
      <c r="AL1190" t="s">
        <v>1548</v>
      </c>
      <c r="AM1190">
        <v>38</v>
      </c>
      <c r="AN1190" t="str">
        <f>VLOOKUP(Transaction[[#This Row],[Model No.]],$AV$2:$BD$100,2,TRUE)</f>
        <v>CiROC Red Berry Vodka</v>
      </c>
      <c r="AO1190" s="21">
        <f>VLOOKUP(Transaction[[#This Row],[Model No.]],$AV$2:$BD$100,6,TRUE)</f>
        <v>19.989999999999998</v>
      </c>
      <c r="AP1190" s="9">
        <v>4</v>
      </c>
      <c r="AQ1190" s="5">
        <f>Transaction[[#This Row],[Price]]*Transaction[[#This Row],[Qty]]</f>
        <v>79.959999999999994</v>
      </c>
      <c r="AR1190" s="5">
        <f>VLOOKUP(Transaction[[#This Row],[Model No.]],$AV$2:$BD$100,7,TRUE)*Transaction[[#This Row],[Qty]]</f>
        <v>23.987999999999996</v>
      </c>
      <c r="AS1190">
        <v>1101</v>
      </c>
      <c r="AT1190">
        <v>1006</v>
      </c>
    </row>
    <row r="1191" spans="36:46" x14ac:dyDescent="0.3">
      <c r="AJ1191">
        <v>37519</v>
      </c>
      <c r="AK1191" s="30">
        <v>43098</v>
      </c>
      <c r="AL1191" t="s">
        <v>1900</v>
      </c>
      <c r="AM1191">
        <v>13</v>
      </c>
      <c r="AN1191" t="str">
        <f>VLOOKUP(Transaction[[#This Row],[Model No.]],$AV$2:$BD$100,2,TRUE)</f>
        <v>Luxardo Maraschino Liqueur</v>
      </c>
      <c r="AO1191" s="21">
        <f>VLOOKUP(Transaction[[#This Row],[Model No.]],$AV$2:$BD$100,6,TRUE)</f>
        <v>36.99</v>
      </c>
      <c r="AP1191" s="9">
        <v>1</v>
      </c>
      <c r="AQ1191" s="5">
        <f>Transaction[[#This Row],[Price]]*Transaction[[#This Row],[Qty]]</f>
        <v>36.99</v>
      </c>
      <c r="AR1191" s="5">
        <f>VLOOKUP(Transaction[[#This Row],[Model No.]],$AV$2:$BD$100,7,TRUE)*Transaction[[#This Row],[Qty]]</f>
        <v>11.097</v>
      </c>
      <c r="AS1191">
        <v>1107</v>
      </c>
      <c r="AT1191">
        <v>1016</v>
      </c>
    </row>
    <row r="1192" spans="36:46" x14ac:dyDescent="0.3">
      <c r="AJ1192">
        <v>13533</v>
      </c>
      <c r="AK1192" s="30">
        <v>43102</v>
      </c>
      <c r="AL1192" t="s">
        <v>781</v>
      </c>
      <c r="AM1192">
        <v>23</v>
      </c>
      <c r="AN1192" t="str">
        <f>VLOOKUP(Transaction[[#This Row],[Model No.]],$AV$2:$BD$100,2,TRUE)</f>
        <v>Brinley Gold Shipwreck Mango Rum</v>
      </c>
      <c r="AO1192" s="21">
        <f>VLOOKUP(Transaction[[#This Row],[Model No.]],$AV$2:$BD$100,6,TRUE)</f>
        <v>25.99</v>
      </c>
      <c r="AP1192" s="9">
        <v>4</v>
      </c>
      <c r="AQ1192" s="5">
        <f>Transaction[[#This Row],[Price]]*Transaction[[#This Row],[Qty]]</f>
        <v>103.96</v>
      </c>
      <c r="AR1192" s="5">
        <f>VLOOKUP(Transaction[[#This Row],[Model No.]],$AV$2:$BD$100,7,TRUE)*Transaction[[#This Row],[Qty]]</f>
        <v>20.792000000000002</v>
      </c>
      <c r="AS1192">
        <v>1099</v>
      </c>
      <c r="AT1192">
        <v>1004</v>
      </c>
    </row>
    <row r="1193" spans="36:46" x14ac:dyDescent="0.3">
      <c r="AJ1193">
        <v>65676</v>
      </c>
      <c r="AK1193" s="30">
        <v>43105</v>
      </c>
      <c r="AL1193" t="s">
        <v>1114</v>
      </c>
      <c r="AM1193">
        <v>31</v>
      </c>
      <c r="AN1193" t="str">
        <f>VLOOKUP(Transaction[[#This Row],[Model No.]],$AV$2:$BD$100,2,TRUE)</f>
        <v>Gulden Draak 9000 Quadruple - 4 Pack</v>
      </c>
      <c r="AO1193" s="21">
        <f>VLOOKUP(Transaction[[#This Row],[Model No.]],$AV$2:$BD$100,6,TRUE)</f>
        <v>21.99</v>
      </c>
      <c r="AP1193" s="9">
        <v>5</v>
      </c>
      <c r="AQ1193" s="5">
        <f>Transaction[[#This Row],[Price]]*Transaction[[#This Row],[Qty]]</f>
        <v>109.94999999999999</v>
      </c>
      <c r="AR1193" s="5">
        <f>VLOOKUP(Transaction[[#This Row],[Model No.]],$AV$2:$BD$100,7,TRUE)*Transaction[[#This Row],[Qty]]</f>
        <v>32.984999999999999</v>
      </c>
      <c r="AS1193">
        <v>1103</v>
      </c>
      <c r="AT1193">
        <v>1004</v>
      </c>
    </row>
    <row r="1194" spans="36:46" x14ac:dyDescent="0.3">
      <c r="AJ1194">
        <v>62545</v>
      </c>
      <c r="AK1194" s="30">
        <v>43105</v>
      </c>
      <c r="AL1194" t="s">
        <v>799</v>
      </c>
      <c r="AM1194">
        <v>42</v>
      </c>
      <c r="AN1194" t="str">
        <f>VLOOKUP(Transaction[[#This Row],[Model No.]],$AV$2:$BD$100,2,TRUE)</f>
        <v>Francis Ford Coppola Sofia Brut Rose Pinot Noir</v>
      </c>
      <c r="AO1194" s="21">
        <f>VLOOKUP(Transaction[[#This Row],[Model No.]],$AV$2:$BD$100,6,TRUE)</f>
        <v>16.989999999999998</v>
      </c>
      <c r="AP1194" s="9">
        <v>5</v>
      </c>
      <c r="AQ1194" s="5">
        <f>Transaction[[#This Row],[Price]]*Transaction[[#This Row],[Qty]]</f>
        <v>84.949999999999989</v>
      </c>
      <c r="AR1194" s="5">
        <f>VLOOKUP(Transaction[[#This Row],[Model No.]],$AV$2:$BD$100,7,TRUE)*Transaction[[#This Row],[Qty]]</f>
        <v>33.979999999999997</v>
      </c>
      <c r="AS1194">
        <v>1102</v>
      </c>
      <c r="AT1194">
        <v>1014</v>
      </c>
    </row>
    <row r="1195" spans="36:46" x14ac:dyDescent="0.3">
      <c r="AJ1195">
        <v>62721</v>
      </c>
      <c r="AK1195" s="30">
        <v>43106</v>
      </c>
      <c r="AL1195" t="s">
        <v>884</v>
      </c>
      <c r="AM1195">
        <v>52</v>
      </c>
      <c r="AN1195" t="str">
        <f>VLOOKUP(Transaction[[#This Row],[Model No.]],$AV$2:$BD$100,2,TRUE)</f>
        <v>Finca Las Moras Barrel Select Cabernet Sauvignon</v>
      </c>
      <c r="AO1195" s="21">
        <f>VLOOKUP(Transaction[[#This Row],[Model No.]],$AV$2:$BD$100,6,TRUE)</f>
        <v>14.99</v>
      </c>
      <c r="AP1195" s="9">
        <v>4</v>
      </c>
      <c r="AQ1195" s="5">
        <f>Transaction[[#This Row],[Price]]*Transaction[[#This Row],[Qty]]</f>
        <v>59.96</v>
      </c>
      <c r="AR1195" s="5">
        <f>VLOOKUP(Transaction[[#This Row],[Model No.]],$AV$2:$BD$100,7,TRUE)*Transaction[[#This Row],[Qty]]</f>
        <v>5.9960000000000004</v>
      </c>
      <c r="AS1195">
        <v>1099</v>
      </c>
      <c r="AT1195">
        <v>1013</v>
      </c>
    </row>
    <row r="1196" spans="36:46" x14ac:dyDescent="0.3">
      <c r="AJ1196">
        <v>92294</v>
      </c>
      <c r="AK1196" s="30">
        <v>43107</v>
      </c>
      <c r="AL1196" t="s">
        <v>1084</v>
      </c>
      <c r="AM1196">
        <v>49</v>
      </c>
      <c r="AN1196" t="str">
        <f>VLOOKUP(Transaction[[#This Row],[Model No.]],$AV$2:$BD$100,2,TRUE)</f>
        <v>Marchesi di Barolo Ruvei Barbera d'Alba</v>
      </c>
      <c r="AO1196" s="21">
        <f>VLOOKUP(Transaction[[#This Row],[Model No.]],$AV$2:$BD$100,6,TRUE)</f>
        <v>15.99</v>
      </c>
      <c r="AP1196" s="9">
        <v>3</v>
      </c>
      <c r="AQ1196" s="5">
        <f>Transaction[[#This Row],[Price]]*Transaction[[#This Row],[Qty]]</f>
        <v>47.97</v>
      </c>
      <c r="AR1196" s="5">
        <f>VLOOKUP(Transaction[[#This Row],[Model No.]],$AV$2:$BD$100,7,TRUE)*Transaction[[#This Row],[Qty]]</f>
        <v>4.7970000000000006</v>
      </c>
      <c r="AS1196">
        <v>1104</v>
      </c>
      <c r="AT1196">
        <v>1013</v>
      </c>
    </row>
    <row r="1197" spans="36:46" x14ac:dyDescent="0.3">
      <c r="AJ1197">
        <v>83745</v>
      </c>
      <c r="AK1197" s="30">
        <v>43107</v>
      </c>
      <c r="AL1197" t="s">
        <v>874</v>
      </c>
      <c r="AM1197">
        <v>50</v>
      </c>
      <c r="AN1197" t="str">
        <f>VLOOKUP(Transaction[[#This Row],[Model No.]],$AV$2:$BD$100,2,TRUE)</f>
        <v>CLOS DU BOIS ROSE</v>
      </c>
      <c r="AO1197" s="21">
        <f>VLOOKUP(Transaction[[#This Row],[Model No.]],$AV$2:$BD$100,6,TRUE)</f>
        <v>14.99</v>
      </c>
      <c r="AP1197" s="9">
        <v>2</v>
      </c>
      <c r="AQ1197" s="5">
        <f>Transaction[[#This Row],[Price]]*Transaction[[#This Row],[Qty]]</f>
        <v>29.98</v>
      </c>
      <c r="AR1197" s="5">
        <f>VLOOKUP(Transaction[[#This Row],[Model No.]],$AV$2:$BD$100,7,TRUE)*Transaction[[#This Row],[Qty]]</f>
        <v>11.992000000000001</v>
      </c>
      <c r="AS1197">
        <v>1106</v>
      </c>
      <c r="AT1197">
        <v>1012</v>
      </c>
    </row>
    <row r="1198" spans="36:46" x14ac:dyDescent="0.3">
      <c r="AJ1198">
        <v>20393</v>
      </c>
      <c r="AK1198" s="30">
        <v>43107</v>
      </c>
      <c r="AL1198" t="s">
        <v>1072</v>
      </c>
      <c r="AM1198">
        <v>62</v>
      </c>
      <c r="AN1198" t="str">
        <f>VLOOKUP(Transaction[[#This Row],[Model No.]],$AV$2:$BD$100,2,TRUE)</f>
        <v>Beerlao Dark Lager - 6 Pack</v>
      </c>
      <c r="AO1198" s="21">
        <f>VLOOKUP(Transaction[[#This Row],[Model No.]],$AV$2:$BD$100,6,TRUE)</f>
        <v>12.99</v>
      </c>
      <c r="AP1198" s="9">
        <v>2</v>
      </c>
      <c r="AQ1198" s="5">
        <f>Transaction[[#This Row],[Price]]*Transaction[[#This Row],[Qty]]</f>
        <v>25.98</v>
      </c>
      <c r="AR1198" s="5">
        <f>VLOOKUP(Transaction[[#This Row],[Model No.]],$AV$2:$BD$100,7,TRUE)*Transaction[[#This Row],[Qty]]</f>
        <v>7.7939999999999996</v>
      </c>
      <c r="AS1198">
        <v>1099</v>
      </c>
      <c r="AT1198">
        <v>1008</v>
      </c>
    </row>
    <row r="1199" spans="36:46" x14ac:dyDescent="0.3">
      <c r="AJ1199">
        <v>27543</v>
      </c>
      <c r="AK1199" s="30">
        <v>43108</v>
      </c>
      <c r="AL1199" t="s">
        <v>1771</v>
      </c>
      <c r="AM1199">
        <v>12</v>
      </c>
      <c r="AN1199" t="str">
        <f>VLOOKUP(Transaction[[#This Row],[Model No.]],$AV$2:$BD$100,2,TRUE)</f>
        <v>Cuvaison Pinot Noir</v>
      </c>
      <c r="AO1199" s="21">
        <f>VLOOKUP(Transaction[[#This Row],[Model No.]],$AV$2:$BD$100,6,TRUE)</f>
        <v>36.99</v>
      </c>
      <c r="AP1199" s="9">
        <v>5</v>
      </c>
      <c r="AQ1199" s="5">
        <f>Transaction[[#This Row],[Price]]*Transaction[[#This Row],[Qty]]</f>
        <v>184.95000000000002</v>
      </c>
      <c r="AR1199" s="5">
        <f>VLOOKUP(Transaction[[#This Row],[Model No.]],$AV$2:$BD$100,7,TRUE)*Transaction[[#This Row],[Qty]]</f>
        <v>18.495000000000001</v>
      </c>
      <c r="AS1199">
        <v>1102</v>
      </c>
      <c r="AT1199">
        <v>1004</v>
      </c>
    </row>
    <row r="1200" spans="36:46" x14ac:dyDescent="0.3">
      <c r="AJ1200">
        <v>57890</v>
      </c>
      <c r="AK1200" s="30">
        <v>43108</v>
      </c>
      <c r="AL1200" t="s">
        <v>865</v>
      </c>
      <c r="AM1200">
        <v>74</v>
      </c>
      <c r="AN1200" t="str">
        <f>VLOOKUP(Transaction[[#This Row],[Model No.]],$AV$2:$BD$100,2,TRUE)</f>
        <v>UINTA PALE ALE NR - 6 Pack</v>
      </c>
      <c r="AO1200" s="21">
        <f>VLOOKUP(Transaction[[#This Row],[Model No.]],$AV$2:$BD$100,6,TRUE)</f>
        <v>11.99</v>
      </c>
      <c r="AP1200" s="9">
        <v>4</v>
      </c>
      <c r="AQ1200" s="5">
        <f>Transaction[[#This Row],[Price]]*Transaction[[#This Row],[Qty]]</f>
        <v>47.96</v>
      </c>
      <c r="AR1200" s="5">
        <f>VLOOKUP(Transaction[[#This Row],[Model No.]],$AV$2:$BD$100,7,TRUE)*Transaction[[#This Row],[Qty]]</f>
        <v>14.388</v>
      </c>
      <c r="AS1200">
        <v>1103</v>
      </c>
      <c r="AT1200">
        <v>1019</v>
      </c>
    </row>
    <row r="1201" spans="36:46" x14ac:dyDescent="0.3">
      <c r="AJ1201">
        <v>83839</v>
      </c>
      <c r="AK1201" s="30">
        <v>43111</v>
      </c>
      <c r="AL1201" t="s">
        <v>1792</v>
      </c>
      <c r="AM1201">
        <v>33</v>
      </c>
      <c r="AN1201" t="str">
        <f>VLOOKUP(Transaction[[#This Row],[Model No.]],$AV$2:$BD$100,2,TRUE)</f>
        <v>Saracina Unoaked Chardonnay</v>
      </c>
      <c r="AO1201" s="21">
        <f>VLOOKUP(Transaction[[#This Row],[Model No.]],$AV$2:$BD$100,6,TRUE)</f>
        <v>20.99</v>
      </c>
      <c r="AP1201" s="9">
        <v>1</v>
      </c>
      <c r="AQ1201" s="5">
        <f>Transaction[[#This Row],[Price]]*Transaction[[#This Row],[Qty]]</f>
        <v>20.99</v>
      </c>
      <c r="AR1201" s="5">
        <f>VLOOKUP(Transaction[[#This Row],[Model No.]],$AV$2:$BD$100,7,TRUE)*Transaction[[#This Row],[Qty]]</f>
        <v>4.1979999999999995</v>
      </c>
      <c r="AS1201">
        <v>1101</v>
      </c>
      <c r="AT1201">
        <v>1000</v>
      </c>
    </row>
    <row r="1202" spans="36:46" x14ac:dyDescent="0.3">
      <c r="AJ1202">
        <v>17150</v>
      </c>
      <c r="AK1202" s="30">
        <v>43112</v>
      </c>
      <c r="AL1202" t="s">
        <v>1301</v>
      </c>
      <c r="AM1202">
        <v>17</v>
      </c>
      <c r="AN1202" t="str">
        <f>VLOOKUP(Transaction[[#This Row],[Model No.]],$AV$2:$BD$100,2,TRUE)</f>
        <v>Miller Lite Can - 24 Pack</v>
      </c>
      <c r="AO1202" s="21">
        <f>VLOOKUP(Transaction[[#This Row],[Model No.]],$AV$2:$BD$100,6,TRUE)</f>
        <v>30.99</v>
      </c>
      <c r="AP1202" s="9">
        <v>1</v>
      </c>
      <c r="AQ1202" s="5">
        <f>Transaction[[#This Row],[Price]]*Transaction[[#This Row],[Qty]]</f>
        <v>30.99</v>
      </c>
      <c r="AR1202" s="5">
        <f>VLOOKUP(Transaction[[#This Row],[Model No.]],$AV$2:$BD$100,7,TRUE)*Transaction[[#This Row],[Qty]]</f>
        <v>9.2969999999999988</v>
      </c>
      <c r="AS1202">
        <v>1107</v>
      </c>
      <c r="AT1202">
        <v>1003</v>
      </c>
    </row>
    <row r="1203" spans="36:46" x14ac:dyDescent="0.3">
      <c r="AJ1203">
        <v>21435</v>
      </c>
      <c r="AK1203" s="30">
        <v>43115</v>
      </c>
      <c r="AL1203" t="s">
        <v>1369</v>
      </c>
      <c r="AM1203">
        <v>12</v>
      </c>
      <c r="AN1203" t="str">
        <f>VLOOKUP(Transaction[[#This Row],[Model No.]],$AV$2:$BD$100,2,TRUE)</f>
        <v>Cuvaison Pinot Noir</v>
      </c>
      <c r="AO1203" s="21">
        <f>VLOOKUP(Transaction[[#This Row],[Model No.]],$AV$2:$BD$100,6,TRUE)</f>
        <v>36.99</v>
      </c>
      <c r="AP1203" s="9">
        <v>5</v>
      </c>
      <c r="AQ1203" s="5">
        <f>Transaction[[#This Row],[Price]]*Transaction[[#This Row],[Qty]]</f>
        <v>184.95000000000002</v>
      </c>
      <c r="AR1203" s="5">
        <f>VLOOKUP(Transaction[[#This Row],[Model No.]],$AV$2:$BD$100,7,TRUE)*Transaction[[#This Row],[Qty]]</f>
        <v>18.495000000000001</v>
      </c>
      <c r="AS1203">
        <v>1107</v>
      </c>
      <c r="AT1203">
        <v>1009</v>
      </c>
    </row>
    <row r="1204" spans="36:46" x14ac:dyDescent="0.3">
      <c r="AJ1204">
        <v>42838</v>
      </c>
      <c r="AK1204" s="30">
        <v>43115</v>
      </c>
      <c r="AL1204" t="s">
        <v>1820</v>
      </c>
      <c r="AM1204">
        <v>97</v>
      </c>
      <c r="AN1204" t="str">
        <f>VLOOKUP(Transaction[[#This Row],[Model No.]],$AV$2:$BD$100,2,TRUE)</f>
        <v>Sea Ridge Cabernet Sauvignon</v>
      </c>
      <c r="AO1204" s="21">
        <f>VLOOKUP(Transaction[[#This Row],[Model No.]],$AV$2:$BD$100,6,TRUE)</f>
        <v>5.99</v>
      </c>
      <c r="AP1204" s="9">
        <v>4</v>
      </c>
      <c r="AQ1204" s="5">
        <f>Transaction[[#This Row],[Price]]*Transaction[[#This Row],[Qty]]</f>
        <v>23.96</v>
      </c>
      <c r="AR1204" s="5">
        <f>VLOOKUP(Transaction[[#This Row],[Model No.]],$AV$2:$BD$100,7,TRUE)*Transaction[[#This Row],[Qty]]</f>
        <v>2.3960000000000004</v>
      </c>
      <c r="AS1204">
        <v>1102</v>
      </c>
      <c r="AT1204">
        <v>1021</v>
      </c>
    </row>
    <row r="1205" spans="36:46" x14ac:dyDescent="0.3">
      <c r="AJ1205">
        <v>60612</v>
      </c>
      <c r="AK1205" s="30">
        <v>43117</v>
      </c>
      <c r="AL1205" t="s">
        <v>501</v>
      </c>
      <c r="AM1205">
        <v>47</v>
      </c>
      <c r="AN1205" t="str">
        <f>VLOOKUP(Transaction[[#This Row],[Model No.]],$AV$2:$BD$100,2,TRUE)</f>
        <v>IL Tramonto Amaretto Liqueur</v>
      </c>
      <c r="AO1205" s="21">
        <f>VLOOKUP(Transaction[[#This Row],[Model No.]],$AV$2:$BD$100,6,TRUE)</f>
        <v>15.99</v>
      </c>
      <c r="AP1205" s="9">
        <v>5</v>
      </c>
      <c r="AQ1205" s="5">
        <f>Transaction[[#This Row],[Price]]*Transaction[[#This Row],[Qty]]</f>
        <v>79.95</v>
      </c>
      <c r="AR1205" s="5">
        <f>VLOOKUP(Transaction[[#This Row],[Model No.]],$AV$2:$BD$100,7,TRUE)*Transaction[[#This Row],[Qty]]</f>
        <v>23.984999999999999</v>
      </c>
      <c r="AS1205">
        <v>1098</v>
      </c>
      <c r="AT1205">
        <v>1004</v>
      </c>
    </row>
    <row r="1206" spans="36:46" x14ac:dyDescent="0.3">
      <c r="AJ1206">
        <v>50651</v>
      </c>
      <c r="AK1206" s="30">
        <v>43118</v>
      </c>
      <c r="AL1206" t="s">
        <v>885</v>
      </c>
      <c r="AM1206">
        <v>61</v>
      </c>
      <c r="AN1206" t="str">
        <f>VLOOKUP(Transaction[[#This Row],[Model No.]],$AV$2:$BD$100,2,TRUE)</f>
        <v>He'Brew Genesis Dry Hopped Session Ale - 6 Pack</v>
      </c>
      <c r="AO1206" s="21">
        <f>VLOOKUP(Transaction[[#This Row],[Model No.]],$AV$2:$BD$100,6,TRUE)</f>
        <v>12.99</v>
      </c>
      <c r="AP1206" s="9">
        <v>4</v>
      </c>
      <c r="AQ1206" s="5">
        <f>Transaction[[#This Row],[Price]]*Transaction[[#This Row],[Qty]]</f>
        <v>51.96</v>
      </c>
      <c r="AR1206" s="5">
        <f>VLOOKUP(Transaction[[#This Row],[Model No.]],$AV$2:$BD$100,7,TRUE)*Transaction[[#This Row],[Qty]]</f>
        <v>15.587999999999999</v>
      </c>
      <c r="AS1206">
        <v>1098</v>
      </c>
      <c r="AT1206">
        <v>1019</v>
      </c>
    </row>
    <row r="1207" spans="36:46" x14ac:dyDescent="0.3">
      <c r="AJ1207">
        <v>61957</v>
      </c>
      <c r="AK1207" s="30">
        <v>43120</v>
      </c>
      <c r="AL1207" t="s">
        <v>1685</v>
      </c>
      <c r="AM1207">
        <v>73</v>
      </c>
      <c r="AN1207" t="str">
        <f>VLOOKUP(Transaction[[#This Row],[Model No.]],$AV$2:$BD$100,2,TRUE)</f>
        <v>Schlafly Oktoberfest - 6 Pack</v>
      </c>
      <c r="AO1207" s="21">
        <f>VLOOKUP(Transaction[[#This Row],[Model No.]],$AV$2:$BD$100,6,TRUE)</f>
        <v>11.99</v>
      </c>
      <c r="AP1207" s="9">
        <v>2</v>
      </c>
      <c r="AQ1207" s="5">
        <f>Transaction[[#This Row],[Price]]*Transaction[[#This Row],[Qty]]</f>
        <v>23.98</v>
      </c>
      <c r="AR1207" s="5">
        <f>VLOOKUP(Transaction[[#This Row],[Model No.]],$AV$2:$BD$100,7,TRUE)*Transaction[[#This Row],[Qty]]</f>
        <v>7.194</v>
      </c>
      <c r="AS1207">
        <v>1098</v>
      </c>
      <c r="AT1207">
        <v>1021</v>
      </c>
    </row>
    <row r="1208" spans="36:46" x14ac:dyDescent="0.3">
      <c r="AJ1208">
        <v>27768</v>
      </c>
      <c r="AK1208" s="30">
        <v>43120</v>
      </c>
      <c r="AL1208" t="s">
        <v>1371</v>
      </c>
      <c r="AM1208">
        <v>91</v>
      </c>
      <c r="AN1208" t="str">
        <f>VLOOKUP(Transaction[[#This Row],[Model No.]],$AV$2:$BD$100,2,TRUE)</f>
        <v>Rex Goliath Free Range Giant 47 Pound Rooster Merlot</v>
      </c>
      <c r="AO1208" s="21">
        <f>VLOOKUP(Transaction[[#This Row],[Model No.]],$AV$2:$BD$100,6,TRUE)</f>
        <v>7.79</v>
      </c>
      <c r="AP1208" s="9">
        <v>2</v>
      </c>
      <c r="AQ1208" s="5">
        <f>Transaction[[#This Row],[Price]]*Transaction[[#This Row],[Qty]]</f>
        <v>15.58</v>
      </c>
      <c r="AR1208" s="5">
        <f>VLOOKUP(Transaction[[#This Row],[Model No.]],$AV$2:$BD$100,7,TRUE)*Transaction[[#This Row],[Qty]]</f>
        <v>1.5580000000000001</v>
      </c>
      <c r="AS1208">
        <v>1102</v>
      </c>
      <c r="AT1208">
        <v>1003</v>
      </c>
    </row>
    <row r="1209" spans="36:46" x14ac:dyDescent="0.3">
      <c r="AJ1209">
        <v>80657</v>
      </c>
      <c r="AK1209" s="30">
        <v>43122</v>
      </c>
      <c r="AL1209" t="s">
        <v>554</v>
      </c>
      <c r="AM1209">
        <v>37</v>
      </c>
      <c r="AN1209" t="str">
        <f>VLOOKUP(Transaction[[#This Row],[Model No.]],$AV$2:$BD$100,2,TRUE)</f>
        <v>Francis Ford Coppola Diamond Collection Black Label Pavilion Chardonnay</v>
      </c>
      <c r="AO1209" s="21">
        <f>VLOOKUP(Transaction[[#This Row],[Model No.]],$AV$2:$BD$100,6,TRUE)</f>
        <v>19.989999999999998</v>
      </c>
      <c r="AP1209" s="9">
        <v>1</v>
      </c>
      <c r="AQ1209" s="5">
        <f>Transaction[[#This Row],[Price]]*Transaction[[#This Row],[Qty]]</f>
        <v>19.989999999999998</v>
      </c>
      <c r="AR1209" s="5">
        <f>VLOOKUP(Transaction[[#This Row],[Model No.]],$AV$2:$BD$100,7,TRUE)*Transaction[[#This Row],[Qty]]</f>
        <v>1.9989999999999999</v>
      </c>
      <c r="AS1209">
        <v>1101</v>
      </c>
      <c r="AT1209">
        <v>1014</v>
      </c>
    </row>
    <row r="1210" spans="36:46" x14ac:dyDescent="0.3">
      <c r="AJ1210">
        <v>29817</v>
      </c>
      <c r="AK1210" s="30">
        <v>43122</v>
      </c>
      <c r="AL1210" t="s">
        <v>1627</v>
      </c>
      <c r="AM1210">
        <v>95</v>
      </c>
      <c r="AN1210" t="str">
        <f>VLOOKUP(Transaction[[#This Row],[Model No.]],$AV$2:$BD$100,2,TRUE)</f>
        <v>Kuromatsu Hakushika Chokara Extra Dry Sake</v>
      </c>
      <c r="AO1210" s="21">
        <f>VLOOKUP(Transaction[[#This Row],[Model No.]],$AV$2:$BD$100,6,TRUE)</f>
        <v>7.49</v>
      </c>
      <c r="AP1210" s="9">
        <v>1</v>
      </c>
      <c r="AQ1210" s="5">
        <f>Transaction[[#This Row],[Price]]*Transaction[[#This Row],[Qty]]</f>
        <v>7.49</v>
      </c>
      <c r="AR1210" s="5">
        <f>VLOOKUP(Transaction[[#This Row],[Model No.]],$AV$2:$BD$100,7,TRUE)*Transaction[[#This Row],[Qty]]</f>
        <v>0.74900000000000011</v>
      </c>
      <c r="AS1210">
        <v>1104</v>
      </c>
      <c r="AT1210">
        <v>1016</v>
      </c>
    </row>
    <row r="1211" spans="36:46" x14ac:dyDescent="0.3">
      <c r="AJ1211">
        <v>17427</v>
      </c>
      <c r="AK1211" s="30">
        <v>43124</v>
      </c>
      <c r="AL1211" t="s">
        <v>1885</v>
      </c>
      <c r="AM1211">
        <v>52</v>
      </c>
      <c r="AN1211" t="str">
        <f>VLOOKUP(Transaction[[#This Row],[Model No.]],$AV$2:$BD$100,2,TRUE)</f>
        <v>Finca Las Moras Barrel Select Cabernet Sauvignon</v>
      </c>
      <c r="AO1211" s="21">
        <f>VLOOKUP(Transaction[[#This Row],[Model No.]],$AV$2:$BD$100,6,TRUE)</f>
        <v>14.99</v>
      </c>
      <c r="AP1211" s="9">
        <v>5</v>
      </c>
      <c r="AQ1211" s="5">
        <f>Transaction[[#This Row],[Price]]*Transaction[[#This Row],[Qty]]</f>
        <v>74.95</v>
      </c>
      <c r="AR1211" s="5">
        <f>VLOOKUP(Transaction[[#This Row],[Model No.]],$AV$2:$BD$100,7,TRUE)*Transaction[[#This Row],[Qty]]</f>
        <v>7.495000000000001</v>
      </c>
      <c r="AS1211">
        <v>1102</v>
      </c>
      <c r="AT1211">
        <v>1005</v>
      </c>
    </row>
    <row r="1212" spans="36:46" x14ac:dyDescent="0.3">
      <c r="AJ1212">
        <v>11957</v>
      </c>
      <c r="AK1212" s="30">
        <v>43124</v>
      </c>
      <c r="AL1212" t="s">
        <v>992</v>
      </c>
      <c r="AM1212">
        <v>58</v>
      </c>
      <c r="AN1212" t="str">
        <f>VLOOKUP(Transaction[[#This Row],[Model No.]],$AV$2:$BD$100,2,TRUE)</f>
        <v>Smirnoff Mango Vodka</v>
      </c>
      <c r="AO1212" s="21">
        <f>VLOOKUP(Transaction[[#This Row],[Model No.]],$AV$2:$BD$100,6,TRUE)</f>
        <v>13.49</v>
      </c>
      <c r="AP1212" s="9">
        <v>5</v>
      </c>
      <c r="AQ1212" s="5">
        <f>Transaction[[#This Row],[Price]]*Transaction[[#This Row],[Qty]]</f>
        <v>67.45</v>
      </c>
      <c r="AR1212" s="5">
        <f>VLOOKUP(Transaction[[#This Row],[Model No.]],$AV$2:$BD$100,7,TRUE)*Transaction[[#This Row],[Qty]]</f>
        <v>20.234999999999999</v>
      </c>
      <c r="AS1212">
        <v>1107</v>
      </c>
      <c r="AT1212">
        <v>1009</v>
      </c>
    </row>
    <row r="1213" spans="36:46" x14ac:dyDescent="0.3">
      <c r="AJ1213">
        <v>20556</v>
      </c>
      <c r="AK1213" s="30">
        <v>43124</v>
      </c>
      <c r="AL1213" t="s">
        <v>412</v>
      </c>
      <c r="AM1213">
        <v>68</v>
      </c>
      <c r="AN1213" t="str">
        <f>VLOOKUP(Transaction[[#This Row],[Model No.]],$AV$2:$BD$100,2,TRUE)</f>
        <v>Conti Beretta Estate Bottled Friuli Grave Pinot Grigio</v>
      </c>
      <c r="AO1213" s="21">
        <f>VLOOKUP(Transaction[[#This Row],[Model No.]],$AV$2:$BD$100,6,TRUE)</f>
        <v>12.99</v>
      </c>
      <c r="AP1213" s="9">
        <v>5</v>
      </c>
      <c r="AQ1213" s="5">
        <f>Transaction[[#This Row],[Price]]*Transaction[[#This Row],[Qty]]</f>
        <v>64.95</v>
      </c>
      <c r="AR1213" s="5">
        <f>VLOOKUP(Transaction[[#This Row],[Model No.]],$AV$2:$BD$100,7,TRUE)*Transaction[[#This Row],[Qty]]</f>
        <v>6.495000000000001</v>
      </c>
      <c r="AS1213">
        <v>1105</v>
      </c>
      <c r="AT1213">
        <v>1008</v>
      </c>
    </row>
    <row r="1214" spans="36:46" x14ac:dyDescent="0.3">
      <c r="AJ1214">
        <v>69565</v>
      </c>
      <c r="AK1214" s="30">
        <v>43125</v>
      </c>
      <c r="AL1214" t="s">
        <v>1833</v>
      </c>
      <c r="AM1214">
        <v>51</v>
      </c>
      <c r="AN1214" t="str">
        <f>VLOOKUP(Transaction[[#This Row],[Model No.]],$AV$2:$BD$100,2,TRUE)</f>
        <v>Waterbrook Cabernet Sauvignon</v>
      </c>
      <c r="AO1214" s="21">
        <f>VLOOKUP(Transaction[[#This Row],[Model No.]],$AV$2:$BD$100,6,TRUE)</f>
        <v>14.99</v>
      </c>
      <c r="AP1214" s="9">
        <v>4</v>
      </c>
      <c r="AQ1214" s="5">
        <f>Transaction[[#This Row],[Price]]*Transaction[[#This Row],[Qty]]</f>
        <v>59.96</v>
      </c>
      <c r="AR1214" s="5">
        <f>VLOOKUP(Transaction[[#This Row],[Model No.]],$AV$2:$BD$100,7,TRUE)*Transaction[[#This Row],[Qty]]</f>
        <v>5.9960000000000004</v>
      </c>
      <c r="AS1214">
        <v>1098</v>
      </c>
      <c r="AT1214">
        <v>1012</v>
      </c>
    </row>
    <row r="1215" spans="36:46" x14ac:dyDescent="0.3">
      <c r="AJ1215">
        <v>14587</v>
      </c>
      <c r="AK1215" s="30">
        <v>43126</v>
      </c>
      <c r="AL1215" t="s">
        <v>1367</v>
      </c>
      <c r="AM1215">
        <v>10</v>
      </c>
      <c r="AN1215" t="str">
        <f>VLOOKUP(Transaction[[#This Row],[Model No.]],$AV$2:$BD$100,2,TRUE)</f>
        <v>Hum Botanical Spirit Liqueur</v>
      </c>
      <c r="AO1215" s="21">
        <f>VLOOKUP(Transaction[[#This Row],[Model No.]],$AV$2:$BD$100,6,TRUE)</f>
        <v>41.99</v>
      </c>
      <c r="AP1215" s="9">
        <v>4</v>
      </c>
      <c r="AQ1215" s="5">
        <f>Transaction[[#This Row],[Price]]*Transaction[[#This Row],[Qty]]</f>
        <v>167.96</v>
      </c>
      <c r="AR1215" s="5">
        <f>VLOOKUP(Transaction[[#This Row],[Model No.]],$AV$2:$BD$100,7,TRUE)*Transaction[[#This Row],[Qty]]</f>
        <v>50.387999999999998</v>
      </c>
      <c r="AS1215">
        <v>1100</v>
      </c>
      <c r="AT1215">
        <v>1007</v>
      </c>
    </row>
    <row r="1216" spans="36:46" x14ac:dyDescent="0.3">
      <c r="AJ1216">
        <v>13358</v>
      </c>
      <c r="AK1216" s="30">
        <v>43127</v>
      </c>
      <c r="AL1216" t="s">
        <v>1307</v>
      </c>
      <c r="AM1216">
        <v>31</v>
      </c>
      <c r="AN1216" t="str">
        <f>VLOOKUP(Transaction[[#This Row],[Model No.]],$AV$2:$BD$100,2,TRUE)</f>
        <v>Gulden Draak 9000 Quadruple - 4 Pack</v>
      </c>
      <c r="AO1216" s="21">
        <f>VLOOKUP(Transaction[[#This Row],[Model No.]],$AV$2:$BD$100,6,TRUE)</f>
        <v>21.99</v>
      </c>
      <c r="AP1216" s="9">
        <v>3</v>
      </c>
      <c r="AQ1216" s="5">
        <f>Transaction[[#This Row],[Price]]*Transaction[[#This Row],[Qty]]</f>
        <v>65.97</v>
      </c>
      <c r="AR1216" s="5">
        <f>VLOOKUP(Transaction[[#This Row],[Model No.]],$AV$2:$BD$100,7,TRUE)*Transaction[[#This Row],[Qty]]</f>
        <v>19.790999999999997</v>
      </c>
      <c r="AS1216">
        <v>1102</v>
      </c>
      <c r="AT1216">
        <v>1006</v>
      </c>
    </row>
    <row r="1217" spans="36:46" x14ac:dyDescent="0.3">
      <c r="AJ1217">
        <v>51826</v>
      </c>
      <c r="AK1217" s="30">
        <v>43129</v>
      </c>
      <c r="AL1217" t="s">
        <v>1856</v>
      </c>
      <c r="AM1217">
        <v>71</v>
      </c>
      <c r="AN1217" t="str">
        <f>VLOOKUP(Transaction[[#This Row],[Model No.]],$AV$2:$BD$100,2,TRUE)</f>
        <v>Flo Merlot</v>
      </c>
      <c r="AO1217" s="21">
        <f>VLOOKUP(Transaction[[#This Row],[Model No.]],$AV$2:$BD$100,6,TRUE)</f>
        <v>12.49</v>
      </c>
      <c r="AP1217" s="9">
        <v>3</v>
      </c>
      <c r="AQ1217" s="5">
        <f>Transaction[[#This Row],[Price]]*Transaction[[#This Row],[Qty]]</f>
        <v>37.47</v>
      </c>
      <c r="AR1217" s="5">
        <f>VLOOKUP(Transaction[[#This Row],[Model No.]],$AV$2:$BD$100,7,TRUE)*Transaction[[#This Row],[Qty]]</f>
        <v>3.7470000000000003</v>
      </c>
      <c r="AS1217">
        <v>1100</v>
      </c>
      <c r="AT1217">
        <v>1005</v>
      </c>
    </row>
    <row r="1218" spans="36:46" x14ac:dyDescent="0.3">
      <c r="AJ1218">
        <v>95781</v>
      </c>
      <c r="AK1218" s="30">
        <v>43129</v>
      </c>
      <c r="AL1218" t="s">
        <v>1778</v>
      </c>
      <c r="AM1218">
        <v>94</v>
      </c>
      <c r="AN1218" t="str">
        <f>VLOOKUP(Transaction[[#This Row],[Model No.]],$AV$2:$BD$100,2,TRUE)</f>
        <v>Freixenet Blanc de Blancs Brut Cava Blend</v>
      </c>
      <c r="AO1218" s="21">
        <f>VLOOKUP(Transaction[[#This Row],[Model No.]],$AV$2:$BD$100,6,TRUE)</f>
        <v>7.49</v>
      </c>
      <c r="AP1218" s="9">
        <v>4</v>
      </c>
      <c r="AQ1218" s="5">
        <f>Transaction[[#This Row],[Price]]*Transaction[[#This Row],[Qty]]</f>
        <v>29.96</v>
      </c>
      <c r="AR1218" s="5">
        <f>VLOOKUP(Transaction[[#This Row],[Model No.]],$AV$2:$BD$100,7,TRUE)*Transaction[[#This Row],[Qty]]</f>
        <v>2.9960000000000004</v>
      </c>
      <c r="AS1218">
        <v>1106</v>
      </c>
      <c r="AT1218">
        <v>1004</v>
      </c>
    </row>
    <row r="1219" spans="36:46" x14ac:dyDescent="0.3">
      <c r="AJ1219">
        <v>15460</v>
      </c>
      <c r="AK1219" s="30">
        <v>43130</v>
      </c>
      <c r="AL1219" t="s">
        <v>1823</v>
      </c>
      <c r="AM1219">
        <v>65</v>
      </c>
      <c r="AN1219" t="str">
        <f>VLOOKUP(Transaction[[#This Row],[Model No.]],$AV$2:$BD$100,2,TRUE)</f>
        <v>Shipyard Summer Ale - 6 Pack</v>
      </c>
      <c r="AO1219" s="21">
        <f>VLOOKUP(Transaction[[#This Row],[Model No.]],$AV$2:$BD$100,6,TRUE)</f>
        <v>12.99</v>
      </c>
      <c r="AP1219" s="9">
        <v>1</v>
      </c>
      <c r="AQ1219" s="5">
        <f>Transaction[[#This Row],[Price]]*Transaction[[#This Row],[Qty]]</f>
        <v>12.99</v>
      </c>
      <c r="AR1219" s="5">
        <f>VLOOKUP(Transaction[[#This Row],[Model No.]],$AV$2:$BD$100,7,TRUE)*Transaction[[#This Row],[Qty]]</f>
        <v>3.8969999999999998</v>
      </c>
      <c r="AS1219">
        <v>1100</v>
      </c>
      <c r="AT1219">
        <v>1015</v>
      </c>
    </row>
    <row r="1220" spans="36:46" x14ac:dyDescent="0.3">
      <c r="AJ1220">
        <v>45471</v>
      </c>
      <c r="AK1220" s="30">
        <v>43133</v>
      </c>
      <c r="AL1220" t="s">
        <v>723</v>
      </c>
      <c r="AM1220">
        <v>40</v>
      </c>
      <c r="AN1220" t="str">
        <f>VLOOKUP(Transaction[[#This Row],[Model No.]],$AV$2:$BD$100,2,TRUE)</f>
        <v>Takara Can Chu Hi JPop Grapefruit - 6 Pack</v>
      </c>
      <c r="AO1220" s="21">
        <f>VLOOKUP(Transaction[[#This Row],[Model No.]],$AV$2:$BD$100,6,TRUE)</f>
        <v>17.989999999999998</v>
      </c>
      <c r="AP1220" s="9">
        <v>4</v>
      </c>
      <c r="AQ1220" s="5">
        <f>Transaction[[#This Row],[Price]]*Transaction[[#This Row],[Qty]]</f>
        <v>71.959999999999994</v>
      </c>
      <c r="AR1220" s="5">
        <f>VLOOKUP(Transaction[[#This Row],[Model No.]],$AV$2:$BD$100,7,TRUE)*Transaction[[#This Row],[Qty]]</f>
        <v>21.587999999999997</v>
      </c>
      <c r="AS1220">
        <v>1101</v>
      </c>
      <c r="AT1220">
        <v>1007</v>
      </c>
    </row>
    <row r="1221" spans="36:46" x14ac:dyDescent="0.3">
      <c r="AJ1221">
        <v>25896</v>
      </c>
      <c r="AK1221" s="30">
        <v>43134</v>
      </c>
      <c r="AL1221" t="s">
        <v>1352</v>
      </c>
      <c r="AM1221">
        <v>70</v>
      </c>
      <c r="AN1221" t="str">
        <f>VLOOKUP(Transaction[[#This Row],[Model No.]],$AV$2:$BD$100,2,TRUE)</f>
        <v>Matchbook Rose Estate Bottled Tempranillo</v>
      </c>
      <c r="AO1221" s="21">
        <f>VLOOKUP(Transaction[[#This Row],[Model No.]],$AV$2:$BD$100,6,TRUE)</f>
        <v>12.69</v>
      </c>
      <c r="AP1221" s="9">
        <v>1</v>
      </c>
      <c r="AQ1221" s="5">
        <f>Transaction[[#This Row],[Price]]*Transaction[[#This Row],[Qty]]</f>
        <v>12.69</v>
      </c>
      <c r="AR1221" s="5">
        <f>VLOOKUP(Transaction[[#This Row],[Model No.]],$AV$2:$BD$100,7,TRUE)*Transaction[[#This Row],[Qty]]</f>
        <v>1.2690000000000001</v>
      </c>
      <c r="AS1221">
        <v>1098</v>
      </c>
      <c r="AT1221">
        <v>1000</v>
      </c>
    </row>
    <row r="1222" spans="36:46" x14ac:dyDescent="0.3">
      <c r="AJ1222">
        <v>39873</v>
      </c>
      <c r="AK1222" s="30">
        <v>43136</v>
      </c>
      <c r="AL1222" t="s">
        <v>1711</v>
      </c>
      <c r="AM1222">
        <v>65</v>
      </c>
      <c r="AN1222" t="str">
        <f>VLOOKUP(Transaction[[#This Row],[Model No.]],$AV$2:$BD$100,2,TRUE)</f>
        <v>Shipyard Summer Ale - 6 Pack</v>
      </c>
      <c r="AO1222" s="21">
        <f>VLOOKUP(Transaction[[#This Row],[Model No.]],$AV$2:$BD$100,6,TRUE)</f>
        <v>12.99</v>
      </c>
      <c r="AP1222" s="9">
        <v>4</v>
      </c>
      <c r="AQ1222" s="5">
        <f>Transaction[[#This Row],[Price]]*Transaction[[#This Row],[Qty]]</f>
        <v>51.96</v>
      </c>
      <c r="AR1222" s="5">
        <f>VLOOKUP(Transaction[[#This Row],[Model No.]],$AV$2:$BD$100,7,TRUE)*Transaction[[#This Row],[Qty]]</f>
        <v>15.587999999999999</v>
      </c>
      <c r="AS1222">
        <v>1100</v>
      </c>
      <c r="AT1222">
        <v>1009</v>
      </c>
    </row>
    <row r="1223" spans="36:46" x14ac:dyDescent="0.3">
      <c r="AJ1223">
        <v>86380</v>
      </c>
      <c r="AK1223" s="30">
        <v>43138</v>
      </c>
      <c r="AL1223" t="s">
        <v>1433</v>
      </c>
      <c r="AM1223">
        <v>32</v>
      </c>
      <c r="AN1223" t="str">
        <f>VLOOKUP(Transaction[[#This Row],[Model No.]],$AV$2:$BD$100,2,TRUE)</f>
        <v>Sugar Island Spiced Rum</v>
      </c>
      <c r="AO1223" s="21">
        <f>VLOOKUP(Transaction[[#This Row],[Model No.]],$AV$2:$BD$100,6,TRUE)</f>
        <v>21.99</v>
      </c>
      <c r="AP1223" s="9">
        <v>4</v>
      </c>
      <c r="AQ1223" s="5">
        <f>Transaction[[#This Row],[Price]]*Transaction[[#This Row],[Qty]]</f>
        <v>87.96</v>
      </c>
      <c r="AR1223" s="5">
        <f>VLOOKUP(Transaction[[#This Row],[Model No.]],$AV$2:$BD$100,7,TRUE)*Transaction[[#This Row],[Qty]]</f>
        <v>17.591999999999999</v>
      </c>
      <c r="AS1223">
        <v>1098</v>
      </c>
      <c r="AT1223">
        <v>1018</v>
      </c>
    </row>
    <row r="1224" spans="36:46" x14ac:dyDescent="0.3">
      <c r="AJ1224">
        <v>79229</v>
      </c>
      <c r="AK1224" s="30">
        <v>43141</v>
      </c>
      <c r="AL1224" t="s">
        <v>575</v>
      </c>
      <c r="AM1224">
        <v>70</v>
      </c>
      <c r="AN1224" t="str">
        <f>VLOOKUP(Transaction[[#This Row],[Model No.]],$AV$2:$BD$100,2,TRUE)</f>
        <v>Matchbook Rose Estate Bottled Tempranillo</v>
      </c>
      <c r="AO1224" s="21">
        <f>VLOOKUP(Transaction[[#This Row],[Model No.]],$AV$2:$BD$100,6,TRUE)</f>
        <v>12.69</v>
      </c>
      <c r="AP1224" s="9">
        <v>2</v>
      </c>
      <c r="AQ1224" s="5">
        <f>Transaction[[#This Row],[Price]]*Transaction[[#This Row],[Qty]]</f>
        <v>25.38</v>
      </c>
      <c r="AR1224" s="5">
        <f>VLOOKUP(Transaction[[#This Row],[Model No.]],$AV$2:$BD$100,7,TRUE)*Transaction[[#This Row],[Qty]]</f>
        <v>2.5380000000000003</v>
      </c>
      <c r="AS1224">
        <v>1099</v>
      </c>
      <c r="AT1224">
        <v>1001</v>
      </c>
    </row>
    <row r="1225" spans="36:46" x14ac:dyDescent="0.3">
      <c r="AJ1225">
        <v>41028</v>
      </c>
      <c r="AK1225" s="30">
        <v>43142</v>
      </c>
      <c r="AL1225" t="s">
        <v>1840</v>
      </c>
      <c r="AM1225">
        <v>5</v>
      </c>
      <c r="AN1225" t="str">
        <f>VLOOKUP(Transaction[[#This Row],[Model No.]],$AV$2:$BD$100,2,TRUE)</f>
        <v>Old Forester 1897 Bottled in Bond Kentucky Straight Bourbon Whisky</v>
      </c>
      <c r="AO1225" s="21">
        <f>VLOOKUP(Transaction[[#This Row],[Model No.]],$AV$2:$BD$100,6,TRUE)</f>
        <v>46.99</v>
      </c>
      <c r="AP1225" s="9">
        <v>5</v>
      </c>
      <c r="AQ1225" s="5">
        <f>Transaction[[#This Row],[Price]]*Transaction[[#This Row],[Qty]]</f>
        <v>234.95000000000002</v>
      </c>
      <c r="AR1225" s="5">
        <f>VLOOKUP(Transaction[[#This Row],[Model No.]],$AV$2:$BD$100,7,TRUE)*Transaction[[#This Row],[Qty]]</f>
        <v>46.990000000000009</v>
      </c>
      <c r="AS1225">
        <v>1105</v>
      </c>
      <c r="AT1225">
        <v>1001</v>
      </c>
    </row>
    <row r="1226" spans="36:46" x14ac:dyDescent="0.3">
      <c r="AJ1226">
        <v>62466</v>
      </c>
      <c r="AK1226" s="30">
        <v>43143</v>
      </c>
      <c r="AL1226" t="s">
        <v>1463</v>
      </c>
      <c r="AM1226">
        <v>25</v>
      </c>
      <c r="AN1226" t="str">
        <f>VLOOKUP(Transaction[[#This Row],[Model No.]],$AV$2:$BD$100,2,TRUE)</f>
        <v>ICEHOUSE 4/6 LNNR - 24 Pack</v>
      </c>
      <c r="AO1226" s="21">
        <f>VLOOKUP(Transaction[[#This Row],[Model No.]],$AV$2:$BD$100,6,TRUE)</f>
        <v>23.99</v>
      </c>
      <c r="AP1226" s="9">
        <v>1</v>
      </c>
      <c r="AQ1226" s="5">
        <f>Transaction[[#This Row],[Price]]*Transaction[[#This Row],[Qty]]</f>
        <v>23.99</v>
      </c>
      <c r="AR1226" s="5">
        <f>VLOOKUP(Transaction[[#This Row],[Model No.]],$AV$2:$BD$100,7,TRUE)*Transaction[[#This Row],[Qty]]</f>
        <v>7.1969999999999992</v>
      </c>
      <c r="AS1226">
        <v>1104</v>
      </c>
      <c r="AT1226">
        <v>1008</v>
      </c>
    </row>
    <row r="1227" spans="36:46" x14ac:dyDescent="0.3">
      <c r="AJ1227">
        <v>88428</v>
      </c>
      <c r="AK1227" s="30">
        <v>43143</v>
      </c>
      <c r="AL1227" t="s">
        <v>960</v>
      </c>
      <c r="AM1227">
        <v>26</v>
      </c>
      <c r="AN1227" t="str">
        <f>VLOOKUP(Transaction[[#This Row],[Model No.]],$AV$2:$BD$100,2,TRUE)</f>
        <v>Belhaven Scottish Stout - 4 Pack</v>
      </c>
      <c r="AO1227" s="21">
        <f>VLOOKUP(Transaction[[#This Row],[Model No.]],$AV$2:$BD$100,6,TRUE)</f>
        <v>23.99</v>
      </c>
      <c r="AP1227" s="9">
        <v>5</v>
      </c>
      <c r="AQ1227" s="5">
        <f>Transaction[[#This Row],[Price]]*Transaction[[#This Row],[Qty]]</f>
        <v>119.94999999999999</v>
      </c>
      <c r="AR1227" s="5">
        <f>VLOOKUP(Transaction[[#This Row],[Model No.]],$AV$2:$BD$100,7,TRUE)*Transaction[[#This Row],[Qty]]</f>
        <v>35.984999999999999</v>
      </c>
      <c r="AS1227">
        <v>1104</v>
      </c>
      <c r="AT1227">
        <v>1013</v>
      </c>
    </row>
    <row r="1228" spans="36:46" x14ac:dyDescent="0.3">
      <c r="AJ1228">
        <v>33463</v>
      </c>
      <c r="AK1228" s="30">
        <v>43144</v>
      </c>
      <c r="AL1228" t="s">
        <v>988</v>
      </c>
      <c r="AM1228">
        <v>45</v>
      </c>
      <c r="AN1228" t="str">
        <f>VLOOKUP(Transaction[[#This Row],[Model No.]],$AV$2:$BD$100,2,TRUE)</f>
        <v>Sixpoint Resin - 6 Pack</v>
      </c>
      <c r="AO1228" s="21">
        <f>VLOOKUP(Transaction[[#This Row],[Model No.]],$AV$2:$BD$100,6,TRUE)</f>
        <v>15.99</v>
      </c>
      <c r="AP1228" s="9">
        <v>1</v>
      </c>
      <c r="AQ1228" s="5">
        <f>Transaction[[#This Row],[Price]]*Transaction[[#This Row],[Qty]]</f>
        <v>15.99</v>
      </c>
      <c r="AR1228" s="5">
        <f>VLOOKUP(Transaction[[#This Row],[Model No.]],$AV$2:$BD$100,7,TRUE)*Transaction[[#This Row],[Qty]]</f>
        <v>4.7969999999999997</v>
      </c>
      <c r="AS1228">
        <v>1105</v>
      </c>
      <c r="AT1228">
        <v>1004</v>
      </c>
    </row>
    <row r="1229" spans="36:46" x14ac:dyDescent="0.3">
      <c r="AJ1229">
        <v>53838</v>
      </c>
      <c r="AK1229" s="30">
        <v>43146</v>
      </c>
      <c r="AL1229" t="s">
        <v>352</v>
      </c>
      <c r="AM1229">
        <v>32</v>
      </c>
      <c r="AN1229" t="str">
        <f>VLOOKUP(Transaction[[#This Row],[Model No.]],$AV$2:$BD$100,2,TRUE)</f>
        <v>Sugar Island Spiced Rum</v>
      </c>
      <c r="AO1229" s="21">
        <f>VLOOKUP(Transaction[[#This Row],[Model No.]],$AV$2:$BD$100,6,TRUE)</f>
        <v>21.99</v>
      </c>
      <c r="AP1229" s="9">
        <v>1</v>
      </c>
      <c r="AQ1229" s="5">
        <f>Transaction[[#This Row],[Price]]*Transaction[[#This Row],[Qty]]</f>
        <v>21.99</v>
      </c>
      <c r="AR1229" s="5">
        <f>VLOOKUP(Transaction[[#This Row],[Model No.]],$AV$2:$BD$100,7,TRUE)*Transaction[[#This Row],[Qty]]</f>
        <v>4.3979999999999997</v>
      </c>
      <c r="AS1229">
        <v>1104</v>
      </c>
      <c r="AT1229">
        <v>1002</v>
      </c>
    </row>
    <row r="1230" spans="36:46" x14ac:dyDescent="0.3">
      <c r="AJ1230">
        <v>59799</v>
      </c>
      <c r="AK1230" s="30">
        <v>43146</v>
      </c>
      <c r="AL1230" t="s">
        <v>526</v>
      </c>
      <c r="AM1230">
        <v>74</v>
      </c>
      <c r="AN1230" t="str">
        <f>VLOOKUP(Transaction[[#This Row],[Model No.]],$AV$2:$BD$100,2,TRUE)</f>
        <v>UINTA PALE ALE NR - 6 Pack</v>
      </c>
      <c r="AO1230" s="21">
        <f>VLOOKUP(Transaction[[#This Row],[Model No.]],$AV$2:$BD$100,6,TRUE)</f>
        <v>11.99</v>
      </c>
      <c r="AP1230" s="9">
        <v>2</v>
      </c>
      <c r="AQ1230" s="5">
        <f>Transaction[[#This Row],[Price]]*Transaction[[#This Row],[Qty]]</f>
        <v>23.98</v>
      </c>
      <c r="AR1230" s="5">
        <f>VLOOKUP(Transaction[[#This Row],[Model No.]],$AV$2:$BD$100,7,TRUE)*Transaction[[#This Row],[Qty]]</f>
        <v>7.194</v>
      </c>
      <c r="AS1230">
        <v>1104</v>
      </c>
      <c r="AT1230">
        <v>1014</v>
      </c>
    </row>
    <row r="1231" spans="36:46" x14ac:dyDescent="0.3">
      <c r="AJ1231">
        <v>38744</v>
      </c>
      <c r="AK1231" s="30">
        <v>43147</v>
      </c>
      <c r="AL1231" t="s">
        <v>1353</v>
      </c>
      <c r="AM1231">
        <v>13</v>
      </c>
      <c r="AN1231" t="str">
        <f>VLOOKUP(Transaction[[#This Row],[Model No.]],$AV$2:$BD$100,2,TRUE)</f>
        <v>Luxardo Maraschino Liqueur</v>
      </c>
      <c r="AO1231" s="21">
        <f>VLOOKUP(Transaction[[#This Row],[Model No.]],$AV$2:$BD$100,6,TRUE)</f>
        <v>36.99</v>
      </c>
      <c r="AP1231" s="9">
        <v>3</v>
      </c>
      <c r="AQ1231" s="5">
        <f>Transaction[[#This Row],[Price]]*Transaction[[#This Row],[Qty]]</f>
        <v>110.97</v>
      </c>
      <c r="AR1231" s="5">
        <f>VLOOKUP(Transaction[[#This Row],[Model No.]],$AV$2:$BD$100,7,TRUE)*Transaction[[#This Row],[Qty]]</f>
        <v>33.290999999999997</v>
      </c>
      <c r="AS1231">
        <v>1101</v>
      </c>
      <c r="AT1231">
        <v>1004</v>
      </c>
    </row>
    <row r="1232" spans="36:46" x14ac:dyDescent="0.3">
      <c r="AJ1232">
        <v>84065</v>
      </c>
      <c r="AK1232" s="30">
        <v>43149</v>
      </c>
      <c r="AL1232" t="s">
        <v>767</v>
      </c>
      <c r="AM1232">
        <v>19</v>
      </c>
      <c r="AN1232" t="str">
        <f>VLOOKUP(Transaction[[#This Row],[Model No.]],$AV$2:$BD$100,2,TRUE)</f>
        <v>District Made Vodka</v>
      </c>
      <c r="AO1232" s="21">
        <f>VLOOKUP(Transaction[[#This Row],[Model No.]],$AV$2:$BD$100,6,TRUE)</f>
        <v>29.99</v>
      </c>
      <c r="AP1232" s="9">
        <v>1</v>
      </c>
      <c r="AQ1232" s="5">
        <f>Transaction[[#This Row],[Price]]*Transaction[[#This Row],[Qty]]</f>
        <v>29.99</v>
      </c>
      <c r="AR1232" s="5">
        <f>VLOOKUP(Transaction[[#This Row],[Model No.]],$AV$2:$BD$100,7,TRUE)*Transaction[[#This Row],[Qty]]</f>
        <v>8.9969999999999999</v>
      </c>
      <c r="AS1232">
        <v>1103</v>
      </c>
      <c r="AT1232">
        <v>1009</v>
      </c>
    </row>
    <row r="1233" spans="36:46" x14ac:dyDescent="0.3">
      <c r="AJ1233">
        <v>55115</v>
      </c>
      <c r="AK1233" s="30">
        <v>43149</v>
      </c>
      <c r="AL1233" t="s">
        <v>1857</v>
      </c>
      <c r="AM1233">
        <v>97</v>
      </c>
      <c r="AN1233" t="str">
        <f>VLOOKUP(Transaction[[#This Row],[Model No.]],$AV$2:$BD$100,2,TRUE)</f>
        <v>Sea Ridge Cabernet Sauvignon</v>
      </c>
      <c r="AO1233" s="21">
        <f>VLOOKUP(Transaction[[#This Row],[Model No.]],$AV$2:$BD$100,6,TRUE)</f>
        <v>5.99</v>
      </c>
      <c r="AP1233" s="9">
        <v>1</v>
      </c>
      <c r="AQ1233" s="5">
        <f>Transaction[[#This Row],[Price]]*Transaction[[#This Row],[Qty]]</f>
        <v>5.99</v>
      </c>
      <c r="AR1233" s="5">
        <f>VLOOKUP(Transaction[[#This Row],[Model No.]],$AV$2:$BD$100,7,TRUE)*Transaction[[#This Row],[Qty]]</f>
        <v>0.59900000000000009</v>
      </c>
      <c r="AS1233">
        <v>1101</v>
      </c>
      <c r="AT1233">
        <v>1009</v>
      </c>
    </row>
    <row r="1234" spans="36:46" x14ac:dyDescent="0.3">
      <c r="AJ1234">
        <v>48811</v>
      </c>
      <c r="AK1234" s="30">
        <v>43152</v>
      </c>
      <c r="AL1234" t="s">
        <v>812</v>
      </c>
      <c r="AM1234">
        <v>84</v>
      </c>
      <c r="AN1234" t="str">
        <f>VLOOKUP(Transaction[[#This Row],[Model No.]],$AV$2:$BD$100,2,TRUE)</f>
        <v>UV Blue Raspberry Vodka</v>
      </c>
      <c r="AO1234" s="21">
        <f>VLOOKUP(Transaction[[#This Row],[Model No.]],$AV$2:$BD$100,6,TRUE)</f>
        <v>10.49</v>
      </c>
      <c r="AP1234" s="9">
        <v>5</v>
      </c>
      <c r="AQ1234" s="5">
        <f>Transaction[[#This Row],[Price]]*Transaction[[#This Row],[Qty]]</f>
        <v>52.45</v>
      </c>
      <c r="AR1234" s="5">
        <f>VLOOKUP(Transaction[[#This Row],[Model No.]],$AV$2:$BD$100,7,TRUE)*Transaction[[#This Row],[Qty]]</f>
        <v>15.734999999999999</v>
      </c>
      <c r="AS1234">
        <v>1100</v>
      </c>
      <c r="AT1234">
        <v>1012</v>
      </c>
    </row>
    <row r="1235" spans="36:46" x14ac:dyDescent="0.3">
      <c r="AJ1235">
        <v>94458</v>
      </c>
      <c r="AK1235" s="30">
        <v>43152</v>
      </c>
      <c r="AL1235" t="s">
        <v>534</v>
      </c>
      <c r="AM1235">
        <v>95</v>
      </c>
      <c r="AN1235" t="str">
        <f>VLOOKUP(Transaction[[#This Row],[Model No.]],$AV$2:$BD$100,2,TRUE)</f>
        <v>Kuromatsu Hakushika Chokara Extra Dry Sake</v>
      </c>
      <c r="AO1235" s="21">
        <f>VLOOKUP(Transaction[[#This Row],[Model No.]],$AV$2:$BD$100,6,TRUE)</f>
        <v>7.49</v>
      </c>
      <c r="AP1235" s="9">
        <v>1</v>
      </c>
      <c r="AQ1235" s="5">
        <f>Transaction[[#This Row],[Price]]*Transaction[[#This Row],[Qty]]</f>
        <v>7.49</v>
      </c>
      <c r="AR1235" s="5">
        <f>VLOOKUP(Transaction[[#This Row],[Model No.]],$AV$2:$BD$100,7,TRUE)*Transaction[[#This Row],[Qty]]</f>
        <v>0.74900000000000011</v>
      </c>
      <c r="AS1235">
        <v>1106</v>
      </c>
      <c r="AT1235">
        <v>1014</v>
      </c>
    </row>
    <row r="1236" spans="36:46" x14ac:dyDescent="0.3">
      <c r="AJ1236">
        <v>28715</v>
      </c>
      <c r="AK1236" s="30">
        <v>43153</v>
      </c>
      <c r="AL1236" t="s">
        <v>356</v>
      </c>
      <c r="AM1236">
        <v>31</v>
      </c>
      <c r="AN1236" t="str">
        <f>VLOOKUP(Transaction[[#This Row],[Model No.]],$AV$2:$BD$100,2,TRUE)</f>
        <v>Gulden Draak 9000 Quadruple - 4 Pack</v>
      </c>
      <c r="AO1236" s="21">
        <f>VLOOKUP(Transaction[[#This Row],[Model No.]],$AV$2:$BD$100,6,TRUE)</f>
        <v>21.99</v>
      </c>
      <c r="AP1236" s="9">
        <v>5</v>
      </c>
      <c r="AQ1236" s="5">
        <f>Transaction[[#This Row],[Price]]*Transaction[[#This Row],[Qty]]</f>
        <v>109.94999999999999</v>
      </c>
      <c r="AR1236" s="5">
        <f>VLOOKUP(Transaction[[#This Row],[Model No.]],$AV$2:$BD$100,7,TRUE)*Transaction[[#This Row],[Qty]]</f>
        <v>32.984999999999999</v>
      </c>
      <c r="AS1236">
        <v>1102</v>
      </c>
      <c r="AT1236">
        <v>1015</v>
      </c>
    </row>
    <row r="1237" spans="36:46" x14ac:dyDescent="0.3">
      <c r="AJ1237">
        <v>49201</v>
      </c>
      <c r="AK1237" s="30">
        <v>43157</v>
      </c>
      <c r="AL1237" t="s">
        <v>662</v>
      </c>
      <c r="AM1237">
        <v>16</v>
      </c>
      <c r="AN1237" t="str">
        <f>VLOOKUP(Transaction[[#This Row],[Model No.]],$AV$2:$BD$100,2,TRUE)</f>
        <v>Hitachino Nest Red Rice Ale - 6 Pack</v>
      </c>
      <c r="AO1237" s="21">
        <f>VLOOKUP(Transaction[[#This Row],[Model No.]],$AV$2:$BD$100,6,TRUE)</f>
        <v>31.99</v>
      </c>
      <c r="AP1237" s="9">
        <v>3</v>
      </c>
      <c r="AQ1237" s="5">
        <f>Transaction[[#This Row],[Price]]*Transaction[[#This Row],[Qty]]</f>
        <v>95.97</v>
      </c>
      <c r="AR1237" s="5">
        <f>VLOOKUP(Transaction[[#This Row],[Model No.]],$AV$2:$BD$100,7,TRUE)*Transaction[[#This Row],[Qty]]</f>
        <v>28.790999999999997</v>
      </c>
      <c r="AS1237">
        <v>1106</v>
      </c>
      <c r="AT1237">
        <v>1008</v>
      </c>
    </row>
    <row r="1238" spans="36:46" x14ac:dyDescent="0.3">
      <c r="AJ1238">
        <v>67553</v>
      </c>
      <c r="AK1238" s="30">
        <v>43159</v>
      </c>
      <c r="AL1238" t="s">
        <v>912</v>
      </c>
      <c r="AM1238">
        <v>10</v>
      </c>
      <c r="AN1238" t="str">
        <f>VLOOKUP(Transaction[[#This Row],[Model No.]],$AV$2:$BD$100,2,TRUE)</f>
        <v>Hum Botanical Spirit Liqueur</v>
      </c>
      <c r="AO1238" s="21">
        <f>VLOOKUP(Transaction[[#This Row],[Model No.]],$AV$2:$BD$100,6,TRUE)</f>
        <v>41.99</v>
      </c>
      <c r="AP1238" s="9">
        <v>2</v>
      </c>
      <c r="AQ1238" s="5">
        <f>Transaction[[#This Row],[Price]]*Transaction[[#This Row],[Qty]]</f>
        <v>83.98</v>
      </c>
      <c r="AR1238" s="5">
        <f>VLOOKUP(Transaction[[#This Row],[Model No.]],$AV$2:$BD$100,7,TRUE)*Transaction[[#This Row],[Qty]]</f>
        <v>25.193999999999999</v>
      </c>
      <c r="AS1238">
        <v>1107</v>
      </c>
      <c r="AT1238">
        <v>1003</v>
      </c>
    </row>
    <row r="1239" spans="36:46" x14ac:dyDescent="0.3">
      <c r="AJ1239">
        <v>13335</v>
      </c>
      <c r="AK1239" s="30">
        <v>43159</v>
      </c>
      <c r="AL1239" t="s">
        <v>1718</v>
      </c>
      <c r="AM1239">
        <v>14</v>
      </c>
      <c r="AN1239" t="str">
        <f>VLOOKUP(Transaction[[#This Row],[Model No.]],$AV$2:$BD$100,2,TRUE)</f>
        <v>Walter Hansel Winery The Estate Vineyards Chardonnay</v>
      </c>
      <c r="AO1239" s="21">
        <f>VLOOKUP(Transaction[[#This Row],[Model No.]],$AV$2:$BD$100,6,TRUE)</f>
        <v>34.99</v>
      </c>
      <c r="AP1239" s="9">
        <v>1</v>
      </c>
      <c r="AQ1239" s="5">
        <f>Transaction[[#This Row],[Price]]*Transaction[[#This Row],[Qty]]</f>
        <v>34.99</v>
      </c>
      <c r="AR1239" s="5">
        <f>VLOOKUP(Transaction[[#This Row],[Model No.]],$AV$2:$BD$100,7,TRUE)*Transaction[[#This Row],[Qty]]</f>
        <v>6.9980000000000011</v>
      </c>
      <c r="AS1239">
        <v>1105</v>
      </c>
      <c r="AT1239">
        <v>1012</v>
      </c>
    </row>
    <row r="1240" spans="36:46" x14ac:dyDescent="0.3">
      <c r="AJ1240">
        <v>42040</v>
      </c>
      <c r="AK1240" s="30">
        <v>43159</v>
      </c>
      <c r="AL1240" t="s">
        <v>1457</v>
      </c>
      <c r="AM1240">
        <v>44</v>
      </c>
      <c r="AN1240" t="str">
        <f>VLOOKUP(Transaction[[#This Row],[Model No.]],$AV$2:$BD$100,2,TRUE)</f>
        <v>Brasserie de Silly Saison - 4 Pack</v>
      </c>
      <c r="AO1240" s="21">
        <f>VLOOKUP(Transaction[[#This Row],[Model No.]],$AV$2:$BD$100,6,TRUE)</f>
        <v>16.989999999999998</v>
      </c>
      <c r="AP1240" s="9">
        <v>4</v>
      </c>
      <c r="AQ1240" s="5">
        <f>Transaction[[#This Row],[Price]]*Transaction[[#This Row],[Qty]]</f>
        <v>67.959999999999994</v>
      </c>
      <c r="AR1240" s="5">
        <f>VLOOKUP(Transaction[[#This Row],[Model No.]],$AV$2:$BD$100,7,TRUE)*Transaction[[#This Row],[Qty]]</f>
        <v>20.387999999999998</v>
      </c>
      <c r="AS1240">
        <v>1105</v>
      </c>
      <c r="AT1240">
        <v>1013</v>
      </c>
    </row>
    <row r="1241" spans="36:46" x14ac:dyDescent="0.3">
      <c r="AJ1241">
        <v>97772</v>
      </c>
      <c r="AK1241" s="30">
        <v>43161</v>
      </c>
      <c r="AL1241" t="s">
        <v>1806</v>
      </c>
      <c r="AM1241">
        <v>38</v>
      </c>
      <c r="AN1241" t="str">
        <f>VLOOKUP(Transaction[[#This Row],[Model No.]],$AV$2:$BD$100,2,TRUE)</f>
        <v>CiROC Red Berry Vodka</v>
      </c>
      <c r="AO1241" s="21">
        <f>VLOOKUP(Transaction[[#This Row],[Model No.]],$AV$2:$BD$100,6,TRUE)</f>
        <v>19.989999999999998</v>
      </c>
      <c r="AP1241" s="9">
        <v>3</v>
      </c>
      <c r="AQ1241" s="5">
        <f>Transaction[[#This Row],[Price]]*Transaction[[#This Row],[Qty]]</f>
        <v>59.97</v>
      </c>
      <c r="AR1241" s="5">
        <f>VLOOKUP(Transaction[[#This Row],[Model No.]],$AV$2:$BD$100,7,TRUE)*Transaction[[#This Row],[Qty]]</f>
        <v>17.990999999999996</v>
      </c>
      <c r="AS1241">
        <v>1105</v>
      </c>
      <c r="AT1241">
        <v>1000</v>
      </c>
    </row>
    <row r="1242" spans="36:46" x14ac:dyDescent="0.3">
      <c r="AJ1242">
        <v>47706</v>
      </c>
      <c r="AK1242" s="30">
        <v>43161</v>
      </c>
      <c r="AL1242" t="s">
        <v>1615</v>
      </c>
      <c r="AM1242">
        <v>44</v>
      </c>
      <c r="AN1242" t="str">
        <f>VLOOKUP(Transaction[[#This Row],[Model No.]],$AV$2:$BD$100,2,TRUE)</f>
        <v>Brasserie de Silly Saison - 4 Pack</v>
      </c>
      <c r="AO1242" s="21">
        <f>VLOOKUP(Transaction[[#This Row],[Model No.]],$AV$2:$BD$100,6,TRUE)</f>
        <v>16.989999999999998</v>
      </c>
      <c r="AP1242" s="9">
        <v>4</v>
      </c>
      <c r="AQ1242" s="5">
        <f>Transaction[[#This Row],[Price]]*Transaction[[#This Row],[Qty]]</f>
        <v>67.959999999999994</v>
      </c>
      <c r="AR1242" s="5">
        <f>VLOOKUP(Transaction[[#This Row],[Model No.]],$AV$2:$BD$100,7,TRUE)*Transaction[[#This Row],[Qty]]</f>
        <v>20.387999999999998</v>
      </c>
      <c r="AS1242">
        <v>1107</v>
      </c>
      <c r="AT1242">
        <v>1019</v>
      </c>
    </row>
    <row r="1243" spans="36:46" x14ac:dyDescent="0.3">
      <c r="AJ1243">
        <v>29043</v>
      </c>
      <c r="AK1243" s="30">
        <v>43163</v>
      </c>
      <c r="AL1243" t="s">
        <v>917</v>
      </c>
      <c r="AM1243">
        <v>89</v>
      </c>
      <c r="AN1243" t="str">
        <f>VLOOKUP(Transaction[[#This Row],[Model No.]],$AV$2:$BD$100,2,TRUE)</f>
        <v>Piera Martellozzo Blu Giovello Moscato Puglia IGT Muscat</v>
      </c>
      <c r="AO1243" s="21">
        <f>VLOOKUP(Transaction[[#This Row],[Model No.]],$AV$2:$BD$100,6,TRUE)</f>
        <v>8.49</v>
      </c>
      <c r="AP1243" s="9">
        <v>4</v>
      </c>
      <c r="AQ1243" s="5">
        <f>Transaction[[#This Row],[Price]]*Transaction[[#This Row],[Qty]]</f>
        <v>33.96</v>
      </c>
      <c r="AR1243" s="5">
        <f>VLOOKUP(Transaction[[#This Row],[Model No.]],$AV$2:$BD$100,7,TRUE)*Transaction[[#This Row],[Qty]]</f>
        <v>3.3960000000000004</v>
      </c>
      <c r="AS1243">
        <v>1104</v>
      </c>
      <c r="AT1243">
        <v>1014</v>
      </c>
    </row>
    <row r="1244" spans="36:46" x14ac:dyDescent="0.3">
      <c r="AJ1244">
        <v>27108</v>
      </c>
      <c r="AK1244" s="30">
        <v>43164</v>
      </c>
      <c r="AL1244" t="s">
        <v>906</v>
      </c>
      <c r="AM1244">
        <v>54</v>
      </c>
      <c r="AN1244" t="str">
        <f>VLOOKUP(Transaction[[#This Row],[Model No.]],$AV$2:$BD$100,2,TRUE)</f>
        <v>Pucker Cherry Tease Vodka</v>
      </c>
      <c r="AO1244" s="21">
        <f>VLOOKUP(Transaction[[#This Row],[Model No.]],$AV$2:$BD$100,6,TRUE)</f>
        <v>14.99</v>
      </c>
      <c r="AP1244" s="9">
        <v>3</v>
      </c>
      <c r="AQ1244" s="5">
        <f>Transaction[[#This Row],[Price]]*Transaction[[#This Row],[Qty]]</f>
        <v>44.97</v>
      </c>
      <c r="AR1244" s="5">
        <f>VLOOKUP(Transaction[[#This Row],[Model No.]],$AV$2:$BD$100,7,TRUE)*Transaction[[#This Row],[Qty]]</f>
        <v>13.491</v>
      </c>
      <c r="AS1244">
        <v>1106</v>
      </c>
      <c r="AT1244">
        <v>1009</v>
      </c>
    </row>
    <row r="1245" spans="36:46" x14ac:dyDescent="0.3">
      <c r="AJ1245">
        <v>34506</v>
      </c>
      <c r="AK1245" s="30">
        <v>43165</v>
      </c>
      <c r="AL1245" t="s">
        <v>506</v>
      </c>
      <c r="AM1245">
        <v>5</v>
      </c>
      <c r="AN1245" t="str">
        <f>VLOOKUP(Transaction[[#This Row],[Model No.]],$AV$2:$BD$100,2,TRUE)</f>
        <v>Old Forester 1897 Bottled in Bond Kentucky Straight Bourbon Whisky</v>
      </c>
      <c r="AO1245" s="21">
        <f>VLOOKUP(Transaction[[#This Row],[Model No.]],$AV$2:$BD$100,6,TRUE)</f>
        <v>46.99</v>
      </c>
      <c r="AP1245" s="9">
        <v>4</v>
      </c>
      <c r="AQ1245" s="5">
        <f>Transaction[[#This Row],[Price]]*Transaction[[#This Row],[Qty]]</f>
        <v>187.96</v>
      </c>
      <c r="AR1245" s="5">
        <f>VLOOKUP(Transaction[[#This Row],[Model No.]],$AV$2:$BD$100,7,TRUE)*Transaction[[#This Row],[Qty]]</f>
        <v>37.592000000000006</v>
      </c>
      <c r="AS1245">
        <v>1099</v>
      </c>
      <c r="AT1245">
        <v>1019</v>
      </c>
    </row>
    <row r="1246" spans="36:46" x14ac:dyDescent="0.3">
      <c r="AJ1246">
        <v>76367</v>
      </c>
      <c r="AK1246" s="30">
        <v>43165</v>
      </c>
      <c r="AL1246" t="s">
        <v>1613</v>
      </c>
      <c r="AM1246">
        <v>32</v>
      </c>
      <c r="AN1246" t="str">
        <f>VLOOKUP(Transaction[[#This Row],[Model No.]],$AV$2:$BD$100,2,TRUE)</f>
        <v>Sugar Island Spiced Rum</v>
      </c>
      <c r="AO1246" s="21">
        <f>VLOOKUP(Transaction[[#This Row],[Model No.]],$AV$2:$BD$100,6,TRUE)</f>
        <v>21.99</v>
      </c>
      <c r="AP1246" s="9">
        <v>1</v>
      </c>
      <c r="AQ1246" s="5">
        <f>Transaction[[#This Row],[Price]]*Transaction[[#This Row],[Qty]]</f>
        <v>21.99</v>
      </c>
      <c r="AR1246" s="5">
        <f>VLOOKUP(Transaction[[#This Row],[Model No.]],$AV$2:$BD$100,7,TRUE)*Transaction[[#This Row],[Qty]]</f>
        <v>4.3979999999999997</v>
      </c>
      <c r="AS1246">
        <v>1106</v>
      </c>
      <c r="AT1246">
        <v>1019</v>
      </c>
    </row>
    <row r="1247" spans="36:46" x14ac:dyDescent="0.3">
      <c r="AJ1247">
        <v>58315</v>
      </c>
      <c r="AK1247" s="30">
        <v>43166</v>
      </c>
      <c r="AL1247" t="s">
        <v>1801</v>
      </c>
      <c r="AM1247">
        <v>48</v>
      </c>
      <c r="AN1247" t="str">
        <f>VLOOKUP(Transaction[[#This Row],[Model No.]],$AV$2:$BD$100,2,TRUE)</f>
        <v>CH TOUR D'AURON</v>
      </c>
      <c r="AO1247" s="21">
        <f>VLOOKUP(Transaction[[#This Row],[Model No.]],$AV$2:$BD$100,6,TRUE)</f>
        <v>15.99</v>
      </c>
      <c r="AP1247" s="9">
        <v>1</v>
      </c>
      <c r="AQ1247" s="5">
        <f>Transaction[[#This Row],[Price]]*Transaction[[#This Row],[Qty]]</f>
        <v>15.99</v>
      </c>
      <c r="AR1247" s="5">
        <f>VLOOKUP(Transaction[[#This Row],[Model No.]],$AV$2:$BD$100,7,TRUE)*Transaction[[#This Row],[Qty]]</f>
        <v>6.3960000000000008</v>
      </c>
      <c r="AS1247">
        <v>1099</v>
      </c>
      <c r="AT1247">
        <v>1005</v>
      </c>
    </row>
    <row r="1248" spans="36:46" x14ac:dyDescent="0.3">
      <c r="AJ1248">
        <v>32788</v>
      </c>
      <c r="AK1248" s="30">
        <v>43170</v>
      </c>
      <c r="AL1248" t="s">
        <v>1088</v>
      </c>
      <c r="AM1248">
        <v>58</v>
      </c>
      <c r="AN1248" t="str">
        <f>VLOOKUP(Transaction[[#This Row],[Model No.]],$AV$2:$BD$100,2,TRUE)</f>
        <v>Smirnoff Mango Vodka</v>
      </c>
      <c r="AO1248" s="21">
        <f>VLOOKUP(Transaction[[#This Row],[Model No.]],$AV$2:$BD$100,6,TRUE)</f>
        <v>13.49</v>
      </c>
      <c r="AP1248" s="9">
        <v>3</v>
      </c>
      <c r="AQ1248" s="5">
        <f>Transaction[[#This Row],[Price]]*Transaction[[#This Row],[Qty]]</f>
        <v>40.47</v>
      </c>
      <c r="AR1248" s="5">
        <f>VLOOKUP(Transaction[[#This Row],[Model No.]],$AV$2:$BD$100,7,TRUE)*Transaction[[#This Row],[Qty]]</f>
        <v>12.140999999999998</v>
      </c>
      <c r="AS1248">
        <v>1100</v>
      </c>
      <c r="AT1248">
        <v>1010</v>
      </c>
    </row>
    <row r="1249" spans="36:46" x14ac:dyDescent="0.3">
      <c r="AJ1249">
        <v>19039</v>
      </c>
      <c r="AK1249" s="30">
        <v>43171</v>
      </c>
      <c r="AL1249" t="s">
        <v>1496</v>
      </c>
      <c r="AM1249">
        <v>60</v>
      </c>
      <c r="AN1249" t="str">
        <f>VLOOKUP(Transaction[[#This Row],[Model No.]],$AV$2:$BD$100,2,TRUE)</f>
        <v>La Catrina Cabernet Sauvignon</v>
      </c>
      <c r="AO1249" s="21">
        <f>VLOOKUP(Transaction[[#This Row],[Model No.]],$AV$2:$BD$100,6,TRUE)</f>
        <v>12.99</v>
      </c>
      <c r="AP1249" s="9">
        <v>1</v>
      </c>
      <c r="AQ1249" s="5">
        <f>Transaction[[#This Row],[Price]]*Transaction[[#This Row],[Qty]]</f>
        <v>12.99</v>
      </c>
      <c r="AR1249" s="5">
        <f>VLOOKUP(Transaction[[#This Row],[Model No.]],$AV$2:$BD$100,7,TRUE)*Transaction[[#This Row],[Qty]]</f>
        <v>1.2990000000000002</v>
      </c>
      <c r="AS1249">
        <v>1105</v>
      </c>
      <c r="AT1249">
        <v>1003</v>
      </c>
    </row>
    <row r="1250" spans="36:46" x14ac:dyDescent="0.3">
      <c r="AJ1250">
        <v>66803</v>
      </c>
      <c r="AK1250" s="30">
        <v>43173</v>
      </c>
      <c r="AL1250" t="s">
        <v>701</v>
      </c>
      <c r="AM1250">
        <v>17</v>
      </c>
      <c r="AN1250" t="str">
        <f>VLOOKUP(Transaction[[#This Row],[Model No.]],$AV$2:$BD$100,2,TRUE)</f>
        <v>Miller Lite Can - 24 Pack</v>
      </c>
      <c r="AO1250" s="21">
        <f>VLOOKUP(Transaction[[#This Row],[Model No.]],$AV$2:$BD$100,6,TRUE)</f>
        <v>30.99</v>
      </c>
      <c r="AP1250" s="9">
        <v>5</v>
      </c>
      <c r="AQ1250" s="5">
        <f>Transaction[[#This Row],[Price]]*Transaction[[#This Row],[Qty]]</f>
        <v>154.94999999999999</v>
      </c>
      <c r="AR1250" s="5">
        <f>VLOOKUP(Transaction[[#This Row],[Model No.]],$AV$2:$BD$100,7,TRUE)*Transaction[[#This Row],[Qty]]</f>
        <v>46.484999999999992</v>
      </c>
      <c r="AS1250">
        <v>1101</v>
      </c>
      <c r="AT1250">
        <v>1015</v>
      </c>
    </row>
    <row r="1251" spans="36:46" x14ac:dyDescent="0.3">
      <c r="AJ1251">
        <v>49689</v>
      </c>
      <c r="AK1251" s="30">
        <v>43176</v>
      </c>
      <c r="AL1251" t="s">
        <v>655</v>
      </c>
      <c r="AM1251">
        <v>65</v>
      </c>
      <c r="AN1251" t="str">
        <f>VLOOKUP(Transaction[[#This Row],[Model No.]],$AV$2:$BD$100,2,TRUE)</f>
        <v>Shipyard Summer Ale - 6 Pack</v>
      </c>
      <c r="AO1251" s="21">
        <f>VLOOKUP(Transaction[[#This Row],[Model No.]],$AV$2:$BD$100,6,TRUE)</f>
        <v>12.99</v>
      </c>
      <c r="AP1251" s="9">
        <v>4</v>
      </c>
      <c r="AQ1251" s="5">
        <f>Transaction[[#This Row],[Price]]*Transaction[[#This Row],[Qty]]</f>
        <v>51.96</v>
      </c>
      <c r="AR1251" s="5">
        <f>VLOOKUP(Transaction[[#This Row],[Model No.]],$AV$2:$BD$100,7,TRUE)*Transaction[[#This Row],[Qty]]</f>
        <v>15.587999999999999</v>
      </c>
      <c r="AS1251">
        <v>1105</v>
      </c>
      <c r="AT1251">
        <v>1005</v>
      </c>
    </row>
    <row r="1252" spans="36:46" x14ac:dyDescent="0.3">
      <c r="AJ1252">
        <v>80814</v>
      </c>
      <c r="AK1252" s="30">
        <v>43178</v>
      </c>
      <c r="AL1252" t="s">
        <v>683</v>
      </c>
      <c r="AM1252">
        <v>75</v>
      </c>
      <c r="AN1252" t="str">
        <f>VLOOKUP(Transaction[[#This Row],[Model No.]],$AV$2:$BD$100,2,TRUE)</f>
        <v>Uinta Ready Set Gose - 6 Pack</v>
      </c>
      <c r="AO1252" s="21">
        <f>VLOOKUP(Transaction[[#This Row],[Model No.]],$AV$2:$BD$100,6,TRUE)</f>
        <v>11.99</v>
      </c>
      <c r="AP1252" s="9">
        <v>2</v>
      </c>
      <c r="AQ1252" s="5">
        <f>Transaction[[#This Row],[Price]]*Transaction[[#This Row],[Qty]]</f>
        <v>23.98</v>
      </c>
      <c r="AR1252" s="5">
        <f>VLOOKUP(Transaction[[#This Row],[Model No.]],$AV$2:$BD$100,7,TRUE)*Transaction[[#This Row],[Qty]]</f>
        <v>7.194</v>
      </c>
      <c r="AS1252">
        <v>1104</v>
      </c>
      <c r="AT1252">
        <v>1013</v>
      </c>
    </row>
    <row r="1253" spans="36:46" x14ac:dyDescent="0.3">
      <c r="AJ1253">
        <v>83604</v>
      </c>
      <c r="AK1253" s="30">
        <v>43178</v>
      </c>
      <c r="AL1253" t="s">
        <v>769</v>
      </c>
      <c r="AM1253">
        <v>97</v>
      </c>
      <c r="AN1253" t="str">
        <f>VLOOKUP(Transaction[[#This Row],[Model No.]],$AV$2:$BD$100,2,TRUE)</f>
        <v>Sea Ridge Cabernet Sauvignon</v>
      </c>
      <c r="AO1253" s="21">
        <f>VLOOKUP(Transaction[[#This Row],[Model No.]],$AV$2:$BD$100,6,TRUE)</f>
        <v>5.99</v>
      </c>
      <c r="AP1253" s="9">
        <v>2</v>
      </c>
      <c r="AQ1253" s="5">
        <f>Transaction[[#This Row],[Price]]*Transaction[[#This Row],[Qty]]</f>
        <v>11.98</v>
      </c>
      <c r="AR1253" s="5">
        <f>VLOOKUP(Transaction[[#This Row],[Model No.]],$AV$2:$BD$100,7,TRUE)*Transaction[[#This Row],[Qty]]</f>
        <v>1.1980000000000002</v>
      </c>
      <c r="AS1253">
        <v>1103</v>
      </c>
      <c r="AT1253">
        <v>1018</v>
      </c>
    </row>
    <row r="1254" spans="36:46" x14ac:dyDescent="0.3">
      <c r="AJ1254">
        <v>22428</v>
      </c>
      <c r="AK1254" s="30">
        <v>43179</v>
      </c>
      <c r="AL1254" t="s">
        <v>1315</v>
      </c>
      <c r="AM1254">
        <v>1</v>
      </c>
      <c r="AN1254" t="str">
        <f>VLOOKUP(Transaction[[#This Row],[Model No.]],$AV$2:$BD$100,2,TRUE)</f>
        <v>Forager's Keep 26 Year Old Single Malt Scotch Whisky</v>
      </c>
      <c r="AO1254" s="21">
        <f>VLOOKUP(Transaction[[#This Row],[Model No.]],$AV$2:$BD$100,6,TRUE)</f>
        <v>325.99</v>
      </c>
      <c r="AP1254" s="9">
        <v>1</v>
      </c>
      <c r="AQ1254" s="5">
        <f>Transaction[[#This Row],[Price]]*Transaction[[#This Row],[Qty]]</f>
        <v>325.99</v>
      </c>
      <c r="AR1254" s="5">
        <f>VLOOKUP(Transaction[[#This Row],[Model No.]],$AV$2:$BD$100,7,TRUE)*Transaction[[#This Row],[Qty]]</f>
        <v>97.796999999999997</v>
      </c>
      <c r="AS1254">
        <v>1100</v>
      </c>
      <c r="AT1254">
        <v>1015</v>
      </c>
    </row>
    <row r="1255" spans="36:46" x14ac:dyDescent="0.3">
      <c r="AJ1255">
        <v>75262</v>
      </c>
      <c r="AK1255" s="30">
        <v>43180</v>
      </c>
      <c r="AL1255" t="s">
        <v>1549</v>
      </c>
      <c r="AM1255">
        <v>18</v>
      </c>
      <c r="AN1255" t="str">
        <f>VLOOKUP(Transaction[[#This Row],[Model No.]],$AV$2:$BD$100,2,TRUE)</f>
        <v>Twenty Grand Peach Vodka</v>
      </c>
      <c r="AO1255" s="21">
        <f>VLOOKUP(Transaction[[#This Row],[Model No.]],$AV$2:$BD$100,6,TRUE)</f>
        <v>30.99</v>
      </c>
      <c r="AP1255" s="9">
        <v>2</v>
      </c>
      <c r="AQ1255" s="5">
        <f>Transaction[[#This Row],[Price]]*Transaction[[#This Row],[Qty]]</f>
        <v>61.98</v>
      </c>
      <c r="AR1255" s="5">
        <f>VLOOKUP(Transaction[[#This Row],[Model No.]],$AV$2:$BD$100,7,TRUE)*Transaction[[#This Row],[Qty]]</f>
        <v>18.593999999999998</v>
      </c>
      <c r="AS1255">
        <v>1102</v>
      </c>
      <c r="AT1255">
        <v>1014</v>
      </c>
    </row>
    <row r="1256" spans="36:46" x14ac:dyDescent="0.3">
      <c r="AJ1256">
        <v>65997</v>
      </c>
      <c r="AK1256" s="30">
        <v>43181</v>
      </c>
      <c r="AL1256" t="s">
        <v>1303</v>
      </c>
      <c r="AM1256">
        <v>24</v>
      </c>
      <c r="AN1256" t="str">
        <f>VLOOKUP(Transaction[[#This Row],[Model No.]],$AV$2:$BD$100,2,TRUE)</f>
        <v>Matchbook The Arsonist Bordeaux Blend</v>
      </c>
      <c r="AO1256" s="21">
        <f>VLOOKUP(Transaction[[#This Row],[Model No.]],$AV$2:$BD$100,6,TRUE)</f>
        <v>24.99</v>
      </c>
      <c r="AP1256" s="9">
        <v>5</v>
      </c>
      <c r="AQ1256" s="5">
        <f>Transaction[[#This Row],[Price]]*Transaction[[#This Row],[Qty]]</f>
        <v>124.94999999999999</v>
      </c>
      <c r="AR1256" s="5">
        <f>VLOOKUP(Transaction[[#This Row],[Model No.]],$AV$2:$BD$100,7,TRUE)*Transaction[[#This Row],[Qty]]</f>
        <v>12.495000000000001</v>
      </c>
      <c r="AS1256">
        <v>1102</v>
      </c>
      <c r="AT1256">
        <v>1011</v>
      </c>
    </row>
    <row r="1257" spans="36:46" x14ac:dyDescent="0.3">
      <c r="AJ1257">
        <v>16294</v>
      </c>
      <c r="AK1257" s="30">
        <v>43181</v>
      </c>
      <c r="AL1257" t="s">
        <v>1056</v>
      </c>
      <c r="AM1257">
        <v>59</v>
      </c>
      <c r="AN1257" t="str">
        <f>VLOOKUP(Transaction[[#This Row],[Model No.]],$AV$2:$BD$100,2,TRUE)</f>
        <v>Smirnoff Kissed Caramel Vodka</v>
      </c>
      <c r="AO1257" s="21">
        <f>VLOOKUP(Transaction[[#This Row],[Model No.]],$AV$2:$BD$100,6,TRUE)</f>
        <v>13.49</v>
      </c>
      <c r="AP1257" s="9">
        <v>2</v>
      </c>
      <c r="AQ1257" s="5">
        <f>Transaction[[#This Row],[Price]]*Transaction[[#This Row],[Qty]]</f>
        <v>26.98</v>
      </c>
      <c r="AR1257" s="5">
        <f>VLOOKUP(Transaction[[#This Row],[Model No.]],$AV$2:$BD$100,7,TRUE)*Transaction[[#This Row],[Qty]]</f>
        <v>8.0939999999999994</v>
      </c>
      <c r="AS1257">
        <v>1099</v>
      </c>
      <c r="AT1257">
        <v>1006</v>
      </c>
    </row>
    <row r="1258" spans="36:46" x14ac:dyDescent="0.3">
      <c r="AJ1258">
        <v>29418</v>
      </c>
      <c r="AK1258" s="30">
        <v>43182</v>
      </c>
      <c r="AL1258" t="s">
        <v>929</v>
      </c>
      <c r="AM1258">
        <v>51</v>
      </c>
      <c r="AN1258" t="str">
        <f>VLOOKUP(Transaction[[#This Row],[Model No.]],$AV$2:$BD$100,2,TRUE)</f>
        <v>Waterbrook Cabernet Sauvignon</v>
      </c>
      <c r="AO1258" s="21">
        <f>VLOOKUP(Transaction[[#This Row],[Model No.]],$AV$2:$BD$100,6,TRUE)</f>
        <v>14.99</v>
      </c>
      <c r="AP1258" s="9">
        <v>1</v>
      </c>
      <c r="AQ1258" s="5">
        <f>Transaction[[#This Row],[Price]]*Transaction[[#This Row],[Qty]]</f>
        <v>14.99</v>
      </c>
      <c r="AR1258" s="5">
        <f>VLOOKUP(Transaction[[#This Row],[Model No.]],$AV$2:$BD$100,7,TRUE)*Transaction[[#This Row],[Qty]]</f>
        <v>1.4990000000000001</v>
      </c>
      <c r="AS1258">
        <v>1101</v>
      </c>
      <c r="AT1258">
        <v>1019</v>
      </c>
    </row>
    <row r="1259" spans="36:46" x14ac:dyDescent="0.3">
      <c r="AJ1259">
        <v>19195</v>
      </c>
      <c r="AK1259" s="30">
        <v>43183</v>
      </c>
      <c r="AL1259" t="s">
        <v>1308</v>
      </c>
      <c r="AM1259">
        <v>25</v>
      </c>
      <c r="AN1259" t="str">
        <f>VLOOKUP(Transaction[[#This Row],[Model No.]],$AV$2:$BD$100,2,TRUE)</f>
        <v>ICEHOUSE 4/6 LNNR - 24 Pack</v>
      </c>
      <c r="AO1259" s="21">
        <f>VLOOKUP(Transaction[[#This Row],[Model No.]],$AV$2:$BD$100,6,TRUE)</f>
        <v>23.99</v>
      </c>
      <c r="AP1259" s="9">
        <v>4</v>
      </c>
      <c r="AQ1259" s="5">
        <f>Transaction[[#This Row],[Price]]*Transaction[[#This Row],[Qty]]</f>
        <v>95.96</v>
      </c>
      <c r="AR1259" s="5">
        <f>VLOOKUP(Transaction[[#This Row],[Model No.]],$AV$2:$BD$100,7,TRUE)*Transaction[[#This Row],[Qty]]</f>
        <v>28.787999999999997</v>
      </c>
      <c r="AS1259">
        <v>1103</v>
      </c>
      <c r="AT1259">
        <v>1008</v>
      </c>
    </row>
    <row r="1260" spans="36:46" x14ac:dyDescent="0.3">
      <c r="AJ1260">
        <v>77147</v>
      </c>
      <c r="AK1260" s="30">
        <v>43185</v>
      </c>
      <c r="AL1260" t="s">
        <v>753</v>
      </c>
      <c r="AM1260">
        <v>94</v>
      </c>
      <c r="AN1260" t="str">
        <f>VLOOKUP(Transaction[[#This Row],[Model No.]],$AV$2:$BD$100,2,TRUE)</f>
        <v>Freixenet Blanc de Blancs Brut Cava Blend</v>
      </c>
      <c r="AO1260" s="21">
        <f>VLOOKUP(Transaction[[#This Row],[Model No.]],$AV$2:$BD$100,6,TRUE)</f>
        <v>7.49</v>
      </c>
      <c r="AP1260" s="9">
        <v>1</v>
      </c>
      <c r="AQ1260" s="5">
        <f>Transaction[[#This Row],[Price]]*Transaction[[#This Row],[Qty]]</f>
        <v>7.49</v>
      </c>
      <c r="AR1260" s="5">
        <f>VLOOKUP(Transaction[[#This Row],[Model No.]],$AV$2:$BD$100,7,TRUE)*Transaction[[#This Row],[Qty]]</f>
        <v>0.74900000000000011</v>
      </c>
      <c r="AS1260">
        <v>1099</v>
      </c>
      <c r="AT1260">
        <v>1008</v>
      </c>
    </row>
    <row r="1261" spans="36:46" x14ac:dyDescent="0.3">
      <c r="AJ1261">
        <v>83791</v>
      </c>
      <c r="AK1261" s="30">
        <v>43186</v>
      </c>
      <c r="AL1261" t="s">
        <v>1137</v>
      </c>
      <c r="AM1261">
        <v>58</v>
      </c>
      <c r="AN1261" t="str">
        <f>VLOOKUP(Transaction[[#This Row],[Model No.]],$AV$2:$BD$100,2,TRUE)</f>
        <v>Smirnoff Mango Vodka</v>
      </c>
      <c r="AO1261" s="21">
        <f>VLOOKUP(Transaction[[#This Row],[Model No.]],$AV$2:$BD$100,6,TRUE)</f>
        <v>13.49</v>
      </c>
      <c r="AP1261" s="9">
        <v>4</v>
      </c>
      <c r="AQ1261" s="5">
        <f>Transaction[[#This Row],[Price]]*Transaction[[#This Row],[Qty]]</f>
        <v>53.96</v>
      </c>
      <c r="AR1261" s="5">
        <f>VLOOKUP(Transaction[[#This Row],[Model No.]],$AV$2:$BD$100,7,TRUE)*Transaction[[#This Row],[Qty]]</f>
        <v>16.187999999999999</v>
      </c>
      <c r="AS1261">
        <v>1100</v>
      </c>
      <c r="AT1261">
        <v>1016</v>
      </c>
    </row>
    <row r="1262" spans="36:46" x14ac:dyDescent="0.3">
      <c r="AJ1262">
        <v>18633</v>
      </c>
      <c r="AK1262" s="30">
        <v>43188</v>
      </c>
      <c r="AL1262" t="s">
        <v>1522</v>
      </c>
      <c r="AM1262">
        <v>35</v>
      </c>
      <c r="AN1262" t="str">
        <f>VLOOKUP(Transaction[[#This Row],[Model No.]],$AV$2:$BD$100,2,TRUE)</f>
        <v>Troegenator Double Bock Can - 12 Pack</v>
      </c>
      <c r="AO1262" s="21">
        <f>VLOOKUP(Transaction[[#This Row],[Model No.]],$AV$2:$BD$100,6,TRUE)</f>
        <v>20.99</v>
      </c>
      <c r="AP1262" s="9">
        <v>2</v>
      </c>
      <c r="AQ1262" s="5">
        <f>Transaction[[#This Row],[Price]]*Transaction[[#This Row],[Qty]]</f>
        <v>41.98</v>
      </c>
      <c r="AR1262" s="5">
        <f>VLOOKUP(Transaction[[#This Row],[Model No.]],$AV$2:$BD$100,7,TRUE)*Transaction[[#This Row],[Qty]]</f>
        <v>12.593999999999999</v>
      </c>
      <c r="AS1262">
        <v>1100</v>
      </c>
      <c r="AT1262">
        <v>1006</v>
      </c>
    </row>
    <row r="1263" spans="36:46" x14ac:dyDescent="0.3">
      <c r="AJ1263">
        <v>89409</v>
      </c>
      <c r="AK1263" s="30">
        <v>43191</v>
      </c>
      <c r="AL1263" t="s">
        <v>542</v>
      </c>
      <c r="AM1263">
        <v>54</v>
      </c>
      <c r="AN1263" t="str">
        <f>VLOOKUP(Transaction[[#This Row],[Model No.]],$AV$2:$BD$100,2,TRUE)</f>
        <v>Pucker Cherry Tease Vodka</v>
      </c>
      <c r="AO1263" s="21">
        <f>VLOOKUP(Transaction[[#This Row],[Model No.]],$AV$2:$BD$100,6,TRUE)</f>
        <v>14.99</v>
      </c>
      <c r="AP1263" s="9">
        <v>4</v>
      </c>
      <c r="AQ1263" s="5">
        <f>Transaction[[#This Row],[Price]]*Transaction[[#This Row],[Qty]]</f>
        <v>59.96</v>
      </c>
      <c r="AR1263" s="5">
        <f>VLOOKUP(Transaction[[#This Row],[Model No.]],$AV$2:$BD$100,7,TRUE)*Transaction[[#This Row],[Qty]]</f>
        <v>17.988</v>
      </c>
      <c r="AS1263">
        <v>1105</v>
      </c>
      <c r="AT1263">
        <v>1002</v>
      </c>
    </row>
    <row r="1264" spans="36:46" x14ac:dyDescent="0.3">
      <c r="AJ1264">
        <v>34548</v>
      </c>
      <c r="AK1264" s="30">
        <v>43192</v>
      </c>
      <c r="AL1264" t="s">
        <v>1649</v>
      </c>
      <c r="AM1264">
        <v>7</v>
      </c>
      <c r="AN1264" t="str">
        <f>VLOOKUP(Transaction[[#This Row],[Model No.]],$AV$2:$BD$100,2,TRUE)</f>
        <v>Glenkinchie Distillers Edition Single Malt Scotch Whisky</v>
      </c>
      <c r="AO1264" s="21">
        <f>VLOOKUP(Transaction[[#This Row],[Model No.]],$AV$2:$BD$100,6,TRUE)</f>
        <v>45.99</v>
      </c>
      <c r="AP1264" s="9">
        <v>1</v>
      </c>
      <c r="AQ1264" s="5">
        <f>Transaction[[#This Row],[Price]]*Transaction[[#This Row],[Qty]]</f>
        <v>45.99</v>
      </c>
      <c r="AR1264" s="5">
        <f>VLOOKUP(Transaction[[#This Row],[Model No.]],$AV$2:$BD$100,7,TRUE)*Transaction[[#This Row],[Qty]]</f>
        <v>13.797000000000001</v>
      </c>
      <c r="AS1264">
        <v>1107</v>
      </c>
      <c r="AT1264">
        <v>1010</v>
      </c>
    </row>
    <row r="1265" spans="36:46" x14ac:dyDescent="0.3">
      <c r="AJ1265">
        <v>75568</v>
      </c>
      <c r="AK1265" s="30">
        <v>43192</v>
      </c>
      <c r="AL1265" t="s">
        <v>596</v>
      </c>
      <c r="AM1265">
        <v>10</v>
      </c>
      <c r="AN1265" t="str">
        <f>VLOOKUP(Transaction[[#This Row],[Model No.]],$AV$2:$BD$100,2,TRUE)</f>
        <v>Hum Botanical Spirit Liqueur</v>
      </c>
      <c r="AO1265" s="21">
        <f>VLOOKUP(Transaction[[#This Row],[Model No.]],$AV$2:$BD$100,6,TRUE)</f>
        <v>41.99</v>
      </c>
      <c r="AP1265" s="9">
        <v>4</v>
      </c>
      <c r="AQ1265" s="5">
        <f>Transaction[[#This Row],[Price]]*Transaction[[#This Row],[Qty]]</f>
        <v>167.96</v>
      </c>
      <c r="AR1265" s="5">
        <f>VLOOKUP(Transaction[[#This Row],[Model No.]],$AV$2:$BD$100,7,TRUE)*Transaction[[#This Row],[Qty]]</f>
        <v>50.387999999999998</v>
      </c>
      <c r="AS1265">
        <v>1099</v>
      </c>
      <c r="AT1265">
        <v>1018</v>
      </c>
    </row>
    <row r="1266" spans="36:46" x14ac:dyDescent="0.3">
      <c r="AJ1266">
        <v>72229</v>
      </c>
      <c r="AK1266" s="30">
        <v>43192</v>
      </c>
      <c r="AL1266" t="s">
        <v>1729</v>
      </c>
      <c r="AM1266">
        <v>72</v>
      </c>
      <c r="AN1266" t="str">
        <f>VLOOKUP(Transaction[[#This Row],[Model No.]],$AV$2:$BD$100,2,TRUE)</f>
        <v>Pearl Wedding Cake Vodka</v>
      </c>
      <c r="AO1266" s="21">
        <f>VLOOKUP(Transaction[[#This Row],[Model No.]],$AV$2:$BD$100,6,TRUE)</f>
        <v>12.49</v>
      </c>
      <c r="AP1266" s="9">
        <v>3</v>
      </c>
      <c r="AQ1266" s="5">
        <f>Transaction[[#This Row],[Price]]*Transaction[[#This Row],[Qty]]</f>
        <v>37.47</v>
      </c>
      <c r="AR1266" s="5">
        <f>VLOOKUP(Transaction[[#This Row],[Model No.]],$AV$2:$BD$100,7,TRUE)*Transaction[[#This Row],[Qty]]</f>
        <v>11.241</v>
      </c>
      <c r="AS1266">
        <v>1107</v>
      </c>
      <c r="AT1266">
        <v>1013</v>
      </c>
    </row>
    <row r="1267" spans="36:46" x14ac:dyDescent="0.3">
      <c r="AJ1267">
        <v>10870</v>
      </c>
      <c r="AK1267" s="30">
        <v>43195</v>
      </c>
      <c r="AL1267" t="s">
        <v>1699</v>
      </c>
      <c r="AM1267">
        <v>6</v>
      </c>
      <c r="AN1267" t="str">
        <f>VLOOKUP(Transaction[[#This Row],[Model No.]],$AV$2:$BD$100,2,TRUE)</f>
        <v>Agricola Punica Barrua Isola Dei Nuraghi IGT Carignan</v>
      </c>
      <c r="AO1267" s="21">
        <f>VLOOKUP(Transaction[[#This Row],[Model No.]],$AV$2:$BD$100,6,TRUE)</f>
        <v>46.99</v>
      </c>
      <c r="AP1267" s="9">
        <v>1</v>
      </c>
      <c r="AQ1267" s="5">
        <f>Transaction[[#This Row],[Price]]*Transaction[[#This Row],[Qty]]</f>
        <v>46.99</v>
      </c>
      <c r="AR1267" s="5">
        <f>VLOOKUP(Transaction[[#This Row],[Model No.]],$AV$2:$BD$100,7,TRUE)*Transaction[[#This Row],[Qty]]</f>
        <v>4.6990000000000007</v>
      </c>
      <c r="AS1267">
        <v>1107</v>
      </c>
      <c r="AT1267">
        <v>1006</v>
      </c>
    </row>
    <row r="1268" spans="36:46" x14ac:dyDescent="0.3">
      <c r="AJ1268">
        <v>51701</v>
      </c>
      <c r="AK1268" s="30">
        <v>43196</v>
      </c>
      <c r="AL1268" t="s">
        <v>817</v>
      </c>
      <c r="AM1268">
        <v>3</v>
      </c>
      <c r="AN1268" t="str">
        <f>VLOOKUP(Transaction[[#This Row],[Model No.]],$AV$2:$BD$100,2,TRUE)</f>
        <v>Compass Box Orangerie Scotch Whisky</v>
      </c>
      <c r="AO1268" s="21">
        <f>VLOOKUP(Transaction[[#This Row],[Model No.]],$AV$2:$BD$100,6,TRUE)</f>
        <v>56.99</v>
      </c>
      <c r="AP1268" s="9">
        <v>3</v>
      </c>
      <c r="AQ1268" s="5">
        <f>Transaction[[#This Row],[Price]]*Transaction[[#This Row],[Qty]]</f>
        <v>170.97</v>
      </c>
      <c r="AR1268" s="5">
        <f>VLOOKUP(Transaction[[#This Row],[Model No.]],$AV$2:$BD$100,7,TRUE)*Transaction[[#This Row],[Qty]]</f>
        <v>51.291000000000004</v>
      </c>
      <c r="AS1268">
        <v>1104</v>
      </c>
      <c r="AT1268">
        <v>1019</v>
      </c>
    </row>
    <row r="1269" spans="36:46" x14ac:dyDescent="0.3">
      <c r="AJ1269">
        <v>50245</v>
      </c>
      <c r="AK1269" s="30">
        <v>43196</v>
      </c>
      <c r="AL1269" t="s">
        <v>1559</v>
      </c>
      <c r="AM1269">
        <v>43</v>
      </c>
      <c r="AN1269" t="str">
        <f>VLOOKUP(Transaction[[#This Row],[Model No.]],$AV$2:$BD$100,2,TRUE)</f>
        <v>Green Flash Le Freak - 4 Pack</v>
      </c>
      <c r="AO1269" s="21">
        <f>VLOOKUP(Transaction[[#This Row],[Model No.]],$AV$2:$BD$100,6,TRUE)</f>
        <v>16.989999999999998</v>
      </c>
      <c r="AP1269" s="9">
        <v>1</v>
      </c>
      <c r="AQ1269" s="5">
        <f>Transaction[[#This Row],[Price]]*Transaction[[#This Row],[Qty]]</f>
        <v>16.989999999999998</v>
      </c>
      <c r="AR1269" s="5">
        <f>VLOOKUP(Transaction[[#This Row],[Model No.]],$AV$2:$BD$100,7,TRUE)*Transaction[[#This Row],[Qty]]</f>
        <v>5.0969999999999995</v>
      </c>
      <c r="AS1269">
        <v>1102</v>
      </c>
      <c r="AT1269">
        <v>1013</v>
      </c>
    </row>
    <row r="1270" spans="36:46" x14ac:dyDescent="0.3">
      <c r="AJ1270">
        <v>45352</v>
      </c>
      <c r="AK1270" s="30">
        <v>43196</v>
      </c>
      <c r="AL1270" t="s">
        <v>977</v>
      </c>
      <c r="AM1270">
        <v>75</v>
      </c>
      <c r="AN1270" t="str">
        <f>VLOOKUP(Transaction[[#This Row],[Model No.]],$AV$2:$BD$100,2,TRUE)</f>
        <v>Uinta Ready Set Gose - 6 Pack</v>
      </c>
      <c r="AO1270" s="21">
        <f>VLOOKUP(Transaction[[#This Row],[Model No.]],$AV$2:$BD$100,6,TRUE)</f>
        <v>11.99</v>
      </c>
      <c r="AP1270" s="9">
        <v>2</v>
      </c>
      <c r="AQ1270" s="5">
        <f>Transaction[[#This Row],[Price]]*Transaction[[#This Row],[Qty]]</f>
        <v>23.98</v>
      </c>
      <c r="AR1270" s="5">
        <f>VLOOKUP(Transaction[[#This Row],[Model No.]],$AV$2:$BD$100,7,TRUE)*Transaction[[#This Row],[Qty]]</f>
        <v>7.194</v>
      </c>
      <c r="AS1270">
        <v>1099</v>
      </c>
      <c r="AT1270">
        <v>1009</v>
      </c>
    </row>
    <row r="1271" spans="36:46" x14ac:dyDescent="0.3">
      <c r="AJ1271">
        <v>78287</v>
      </c>
      <c r="AK1271" s="30">
        <v>43197</v>
      </c>
      <c r="AL1271" t="s">
        <v>927</v>
      </c>
      <c r="AM1271">
        <v>81</v>
      </c>
      <c r="AN1271" t="str">
        <f>VLOOKUP(Transaction[[#This Row],[Model No.]],$AV$2:$BD$100,2,TRUE)</f>
        <v>TerraNoble Reserva La Higuera Vineyard Carmenere</v>
      </c>
      <c r="AO1271" s="21">
        <f>VLOOKUP(Transaction[[#This Row],[Model No.]],$AV$2:$BD$100,6,TRUE)</f>
        <v>10.99</v>
      </c>
      <c r="AP1271" s="9">
        <v>2</v>
      </c>
      <c r="AQ1271" s="5">
        <f>Transaction[[#This Row],[Price]]*Transaction[[#This Row],[Qty]]</f>
        <v>21.98</v>
      </c>
      <c r="AR1271" s="5">
        <f>VLOOKUP(Transaction[[#This Row],[Model No.]],$AV$2:$BD$100,7,TRUE)*Transaction[[#This Row],[Qty]]</f>
        <v>6.5940000000000003</v>
      </c>
      <c r="AS1271">
        <v>1100</v>
      </c>
      <c r="AT1271">
        <v>1002</v>
      </c>
    </row>
    <row r="1272" spans="36:46" x14ac:dyDescent="0.3">
      <c r="AJ1272">
        <v>85756</v>
      </c>
      <c r="AK1272" s="30">
        <v>43199</v>
      </c>
      <c r="AL1272" t="s">
        <v>1896</v>
      </c>
      <c r="AM1272">
        <v>79</v>
      </c>
      <c r="AN1272" t="str">
        <f>VLOOKUP(Transaction[[#This Row],[Model No.]],$AV$2:$BD$100,2,TRUE)</f>
        <v>Baron Herzog Jeunesse Chardonnay</v>
      </c>
      <c r="AO1272" s="21">
        <f>VLOOKUP(Transaction[[#This Row],[Model No.]],$AV$2:$BD$100,6,TRUE)</f>
        <v>11.49</v>
      </c>
      <c r="AP1272" s="9">
        <v>1</v>
      </c>
      <c r="AQ1272" s="5">
        <f>Transaction[[#This Row],[Price]]*Transaction[[#This Row],[Qty]]</f>
        <v>11.49</v>
      </c>
      <c r="AR1272" s="5">
        <f>VLOOKUP(Transaction[[#This Row],[Model No.]],$AV$2:$BD$100,7,TRUE)*Transaction[[#This Row],[Qty]]</f>
        <v>2.298</v>
      </c>
      <c r="AS1272">
        <v>1105</v>
      </c>
      <c r="AT1272">
        <v>1011</v>
      </c>
    </row>
    <row r="1273" spans="36:46" x14ac:dyDescent="0.3">
      <c r="AJ1273">
        <v>80184</v>
      </c>
      <c r="AK1273" s="30">
        <v>43204</v>
      </c>
      <c r="AL1273" t="s">
        <v>469</v>
      </c>
      <c r="AM1273">
        <v>18</v>
      </c>
      <c r="AN1273" t="str">
        <f>VLOOKUP(Transaction[[#This Row],[Model No.]],$AV$2:$BD$100,2,TRUE)</f>
        <v>Twenty Grand Peach Vodka</v>
      </c>
      <c r="AO1273" s="21">
        <f>VLOOKUP(Transaction[[#This Row],[Model No.]],$AV$2:$BD$100,6,TRUE)</f>
        <v>30.99</v>
      </c>
      <c r="AP1273" s="9">
        <v>2</v>
      </c>
      <c r="AQ1273" s="5">
        <f>Transaction[[#This Row],[Price]]*Transaction[[#This Row],[Qty]]</f>
        <v>61.98</v>
      </c>
      <c r="AR1273" s="5">
        <f>VLOOKUP(Transaction[[#This Row],[Model No.]],$AV$2:$BD$100,7,TRUE)*Transaction[[#This Row],[Qty]]</f>
        <v>18.593999999999998</v>
      </c>
      <c r="AS1273">
        <v>1106</v>
      </c>
      <c r="AT1273">
        <v>1014</v>
      </c>
    </row>
    <row r="1274" spans="36:46" x14ac:dyDescent="0.3">
      <c r="AJ1274">
        <v>99811</v>
      </c>
      <c r="AK1274" s="30">
        <v>43204</v>
      </c>
      <c r="AL1274" t="s">
        <v>1546</v>
      </c>
      <c r="AM1274">
        <v>23</v>
      </c>
      <c r="AN1274" t="str">
        <f>VLOOKUP(Transaction[[#This Row],[Model No.]],$AV$2:$BD$100,2,TRUE)</f>
        <v>Brinley Gold Shipwreck Mango Rum</v>
      </c>
      <c r="AO1274" s="21">
        <f>VLOOKUP(Transaction[[#This Row],[Model No.]],$AV$2:$BD$100,6,TRUE)</f>
        <v>25.99</v>
      </c>
      <c r="AP1274" s="9">
        <v>5</v>
      </c>
      <c r="AQ1274" s="5">
        <f>Transaction[[#This Row],[Price]]*Transaction[[#This Row],[Qty]]</f>
        <v>129.94999999999999</v>
      </c>
      <c r="AR1274" s="5">
        <f>VLOOKUP(Transaction[[#This Row],[Model No.]],$AV$2:$BD$100,7,TRUE)*Transaction[[#This Row],[Qty]]</f>
        <v>25.990000000000002</v>
      </c>
      <c r="AS1274">
        <v>1100</v>
      </c>
      <c r="AT1274">
        <v>1004</v>
      </c>
    </row>
    <row r="1275" spans="36:46" x14ac:dyDescent="0.3">
      <c r="AJ1275">
        <v>88210</v>
      </c>
      <c r="AK1275" s="30">
        <v>43204</v>
      </c>
      <c r="AL1275" t="s">
        <v>1797</v>
      </c>
      <c r="AM1275">
        <v>59</v>
      </c>
      <c r="AN1275" t="str">
        <f>VLOOKUP(Transaction[[#This Row],[Model No.]],$AV$2:$BD$100,2,TRUE)</f>
        <v>Smirnoff Kissed Caramel Vodka</v>
      </c>
      <c r="AO1275" s="21">
        <f>VLOOKUP(Transaction[[#This Row],[Model No.]],$AV$2:$BD$100,6,TRUE)</f>
        <v>13.49</v>
      </c>
      <c r="AP1275" s="9">
        <v>3</v>
      </c>
      <c r="AQ1275" s="5">
        <f>Transaction[[#This Row],[Price]]*Transaction[[#This Row],[Qty]]</f>
        <v>40.47</v>
      </c>
      <c r="AR1275" s="5">
        <f>VLOOKUP(Transaction[[#This Row],[Model No.]],$AV$2:$BD$100,7,TRUE)*Transaction[[#This Row],[Qty]]</f>
        <v>12.140999999999998</v>
      </c>
      <c r="AS1275">
        <v>1103</v>
      </c>
      <c r="AT1275">
        <v>1007</v>
      </c>
    </row>
    <row r="1276" spans="36:46" x14ac:dyDescent="0.3">
      <c r="AJ1276">
        <v>35727</v>
      </c>
      <c r="AK1276" s="30">
        <v>43204</v>
      </c>
      <c r="AL1276" t="s">
        <v>950</v>
      </c>
      <c r="AM1276">
        <v>79</v>
      </c>
      <c r="AN1276" t="str">
        <f>VLOOKUP(Transaction[[#This Row],[Model No.]],$AV$2:$BD$100,2,TRUE)</f>
        <v>Baron Herzog Jeunesse Chardonnay</v>
      </c>
      <c r="AO1276" s="21">
        <f>VLOOKUP(Transaction[[#This Row],[Model No.]],$AV$2:$BD$100,6,TRUE)</f>
        <v>11.49</v>
      </c>
      <c r="AP1276" s="9">
        <v>5</v>
      </c>
      <c r="AQ1276" s="5">
        <f>Transaction[[#This Row],[Price]]*Transaction[[#This Row],[Qty]]</f>
        <v>57.45</v>
      </c>
      <c r="AR1276" s="5">
        <f>VLOOKUP(Transaction[[#This Row],[Model No.]],$AV$2:$BD$100,7,TRUE)*Transaction[[#This Row],[Qty]]</f>
        <v>11.49</v>
      </c>
      <c r="AS1276">
        <v>1100</v>
      </c>
      <c r="AT1276">
        <v>1010</v>
      </c>
    </row>
    <row r="1277" spans="36:46" x14ac:dyDescent="0.3">
      <c r="AJ1277">
        <v>83148</v>
      </c>
      <c r="AK1277" s="30">
        <v>43207</v>
      </c>
      <c r="AL1277" t="s">
        <v>455</v>
      </c>
      <c r="AM1277">
        <v>5</v>
      </c>
      <c r="AN1277" t="str">
        <f>VLOOKUP(Transaction[[#This Row],[Model No.]],$AV$2:$BD$100,2,TRUE)</f>
        <v>Old Forester 1897 Bottled in Bond Kentucky Straight Bourbon Whisky</v>
      </c>
      <c r="AO1277" s="21">
        <f>VLOOKUP(Transaction[[#This Row],[Model No.]],$AV$2:$BD$100,6,TRUE)</f>
        <v>46.99</v>
      </c>
      <c r="AP1277" s="9">
        <v>5</v>
      </c>
      <c r="AQ1277" s="5">
        <f>Transaction[[#This Row],[Price]]*Transaction[[#This Row],[Qty]]</f>
        <v>234.95000000000002</v>
      </c>
      <c r="AR1277" s="5">
        <f>VLOOKUP(Transaction[[#This Row],[Model No.]],$AV$2:$BD$100,7,TRUE)*Transaction[[#This Row],[Qty]]</f>
        <v>46.990000000000009</v>
      </c>
      <c r="AS1277">
        <v>1100</v>
      </c>
      <c r="AT1277">
        <v>1004</v>
      </c>
    </row>
    <row r="1278" spans="36:46" x14ac:dyDescent="0.3">
      <c r="AJ1278">
        <v>82268</v>
      </c>
      <c r="AK1278" s="30">
        <v>43209</v>
      </c>
      <c r="AL1278" t="s">
        <v>1210</v>
      </c>
      <c r="AM1278">
        <v>5</v>
      </c>
      <c r="AN1278" t="str">
        <f>VLOOKUP(Transaction[[#This Row],[Model No.]],$AV$2:$BD$100,2,TRUE)</f>
        <v>Old Forester 1897 Bottled in Bond Kentucky Straight Bourbon Whisky</v>
      </c>
      <c r="AO1278" s="21">
        <f>VLOOKUP(Transaction[[#This Row],[Model No.]],$AV$2:$BD$100,6,TRUE)</f>
        <v>46.99</v>
      </c>
      <c r="AP1278" s="9">
        <v>3</v>
      </c>
      <c r="AQ1278" s="5">
        <f>Transaction[[#This Row],[Price]]*Transaction[[#This Row],[Qty]]</f>
        <v>140.97</v>
      </c>
      <c r="AR1278" s="5">
        <f>VLOOKUP(Transaction[[#This Row],[Model No.]],$AV$2:$BD$100,7,TRUE)*Transaction[[#This Row],[Qty]]</f>
        <v>28.194000000000003</v>
      </c>
      <c r="AS1278">
        <v>1105</v>
      </c>
      <c r="AT1278">
        <v>1013</v>
      </c>
    </row>
    <row r="1279" spans="36:46" x14ac:dyDescent="0.3">
      <c r="AJ1279">
        <v>67603</v>
      </c>
      <c r="AK1279" s="30">
        <v>43209</v>
      </c>
      <c r="AL1279" t="s">
        <v>1164</v>
      </c>
      <c r="AM1279">
        <v>77</v>
      </c>
      <c r="AN1279" t="str">
        <f>VLOOKUP(Transaction[[#This Row],[Model No.]],$AV$2:$BD$100,2,TRUE)</f>
        <v>LA CHASSE PRETIGE CDR</v>
      </c>
      <c r="AO1279" s="21">
        <f>VLOOKUP(Transaction[[#This Row],[Model No.]],$AV$2:$BD$100,6,TRUE)</f>
        <v>11.99</v>
      </c>
      <c r="AP1279" s="9">
        <v>1</v>
      </c>
      <c r="AQ1279" s="5">
        <f>Transaction[[#This Row],[Price]]*Transaction[[#This Row],[Qty]]</f>
        <v>11.99</v>
      </c>
      <c r="AR1279" s="5">
        <f>VLOOKUP(Transaction[[#This Row],[Model No.]],$AV$2:$BD$100,7,TRUE)*Transaction[[#This Row],[Qty]]</f>
        <v>4.7960000000000003</v>
      </c>
      <c r="AS1279">
        <v>1106</v>
      </c>
      <c r="AT1279">
        <v>1008</v>
      </c>
    </row>
    <row r="1280" spans="36:46" x14ac:dyDescent="0.3">
      <c r="AJ1280">
        <v>90476</v>
      </c>
      <c r="AK1280" s="30">
        <v>43212</v>
      </c>
      <c r="AL1280" t="s">
        <v>1794</v>
      </c>
      <c r="AM1280">
        <v>17</v>
      </c>
      <c r="AN1280" t="str">
        <f>VLOOKUP(Transaction[[#This Row],[Model No.]],$AV$2:$BD$100,2,TRUE)</f>
        <v>Miller Lite Can - 24 Pack</v>
      </c>
      <c r="AO1280" s="21">
        <f>VLOOKUP(Transaction[[#This Row],[Model No.]],$AV$2:$BD$100,6,TRUE)</f>
        <v>30.99</v>
      </c>
      <c r="AP1280" s="9">
        <v>2</v>
      </c>
      <c r="AQ1280" s="5">
        <f>Transaction[[#This Row],[Price]]*Transaction[[#This Row],[Qty]]</f>
        <v>61.98</v>
      </c>
      <c r="AR1280" s="5">
        <f>VLOOKUP(Transaction[[#This Row],[Model No.]],$AV$2:$BD$100,7,TRUE)*Transaction[[#This Row],[Qty]]</f>
        <v>18.593999999999998</v>
      </c>
      <c r="AS1280">
        <v>1102</v>
      </c>
      <c r="AT1280">
        <v>1014</v>
      </c>
    </row>
    <row r="1281" spans="36:46" x14ac:dyDescent="0.3">
      <c r="AJ1281">
        <v>88082</v>
      </c>
      <c r="AK1281" s="30">
        <v>43214</v>
      </c>
      <c r="AL1281" t="s">
        <v>772</v>
      </c>
      <c r="AM1281">
        <v>49</v>
      </c>
      <c r="AN1281" t="str">
        <f>VLOOKUP(Transaction[[#This Row],[Model No.]],$AV$2:$BD$100,2,TRUE)</f>
        <v>Marchesi di Barolo Ruvei Barbera d'Alba</v>
      </c>
      <c r="AO1281" s="21">
        <f>VLOOKUP(Transaction[[#This Row],[Model No.]],$AV$2:$BD$100,6,TRUE)</f>
        <v>15.99</v>
      </c>
      <c r="AP1281" s="9">
        <v>1</v>
      </c>
      <c r="AQ1281" s="5">
        <f>Transaction[[#This Row],[Price]]*Transaction[[#This Row],[Qty]]</f>
        <v>15.99</v>
      </c>
      <c r="AR1281" s="5">
        <f>VLOOKUP(Transaction[[#This Row],[Model No.]],$AV$2:$BD$100,7,TRUE)*Transaction[[#This Row],[Qty]]</f>
        <v>1.5990000000000002</v>
      </c>
      <c r="AS1281">
        <v>1103</v>
      </c>
      <c r="AT1281">
        <v>1002</v>
      </c>
    </row>
    <row r="1282" spans="36:46" x14ac:dyDescent="0.3">
      <c r="AJ1282">
        <v>91891</v>
      </c>
      <c r="AK1282" s="30">
        <v>43214</v>
      </c>
      <c r="AL1282" t="s">
        <v>414</v>
      </c>
      <c r="AM1282">
        <v>76</v>
      </c>
      <c r="AN1282" t="str">
        <f>VLOOKUP(Transaction[[#This Row],[Model No.]],$AV$2:$BD$100,2,TRUE)</f>
        <v>Lagunitas Super Cluster Can - 6 Pack</v>
      </c>
      <c r="AO1282" s="21">
        <f>VLOOKUP(Transaction[[#This Row],[Model No.]],$AV$2:$BD$100,6,TRUE)</f>
        <v>11.99</v>
      </c>
      <c r="AP1282" s="9">
        <v>4</v>
      </c>
      <c r="AQ1282" s="5">
        <f>Transaction[[#This Row],[Price]]*Transaction[[#This Row],[Qty]]</f>
        <v>47.96</v>
      </c>
      <c r="AR1282" s="5">
        <f>VLOOKUP(Transaction[[#This Row],[Model No.]],$AV$2:$BD$100,7,TRUE)*Transaction[[#This Row],[Qty]]</f>
        <v>14.388</v>
      </c>
      <c r="AS1282">
        <v>1099</v>
      </c>
      <c r="AT1282">
        <v>1009</v>
      </c>
    </row>
    <row r="1283" spans="36:46" x14ac:dyDescent="0.3">
      <c r="AJ1283">
        <v>19351</v>
      </c>
      <c r="AK1283" s="30">
        <v>43215</v>
      </c>
      <c r="AL1283" t="s">
        <v>941</v>
      </c>
      <c r="AM1283">
        <v>93</v>
      </c>
      <c r="AN1283" t="str">
        <f>VLOOKUP(Transaction[[#This Row],[Model No.]],$AV$2:$BD$100,2,TRUE)</f>
        <v>Beringer Vineyards Stone Cellars Shiraz</v>
      </c>
      <c r="AO1283" s="21">
        <f>VLOOKUP(Transaction[[#This Row],[Model No.]],$AV$2:$BD$100,6,TRUE)</f>
        <v>7.49</v>
      </c>
      <c r="AP1283" s="9">
        <v>1</v>
      </c>
      <c r="AQ1283" s="5">
        <f>Transaction[[#This Row],[Price]]*Transaction[[#This Row],[Qty]]</f>
        <v>7.49</v>
      </c>
      <c r="AR1283" s="5">
        <f>VLOOKUP(Transaction[[#This Row],[Model No.]],$AV$2:$BD$100,7,TRUE)*Transaction[[#This Row],[Qty]]</f>
        <v>0.74900000000000011</v>
      </c>
      <c r="AS1283">
        <v>1107</v>
      </c>
      <c r="AT1283">
        <v>1008</v>
      </c>
    </row>
    <row r="1284" spans="36:46" x14ac:dyDescent="0.3">
      <c r="AJ1284">
        <v>73785</v>
      </c>
      <c r="AK1284" s="30">
        <v>43216</v>
      </c>
      <c r="AL1284" t="s">
        <v>947</v>
      </c>
      <c r="AM1284">
        <v>35</v>
      </c>
      <c r="AN1284" t="str">
        <f>VLOOKUP(Transaction[[#This Row],[Model No.]],$AV$2:$BD$100,2,TRUE)</f>
        <v>Troegenator Double Bock Can - 12 Pack</v>
      </c>
      <c r="AO1284" s="21">
        <f>VLOOKUP(Transaction[[#This Row],[Model No.]],$AV$2:$BD$100,6,TRUE)</f>
        <v>20.99</v>
      </c>
      <c r="AP1284" s="9">
        <v>1</v>
      </c>
      <c r="AQ1284" s="5">
        <f>Transaction[[#This Row],[Price]]*Transaction[[#This Row],[Qty]]</f>
        <v>20.99</v>
      </c>
      <c r="AR1284" s="5">
        <f>VLOOKUP(Transaction[[#This Row],[Model No.]],$AV$2:$BD$100,7,TRUE)*Transaction[[#This Row],[Qty]]</f>
        <v>6.2969999999999997</v>
      </c>
      <c r="AS1284">
        <v>1101</v>
      </c>
      <c r="AT1284">
        <v>1004</v>
      </c>
    </row>
    <row r="1285" spans="36:46" x14ac:dyDescent="0.3">
      <c r="AJ1285">
        <v>91889</v>
      </c>
      <c r="AK1285" s="30">
        <v>43216</v>
      </c>
      <c r="AL1285" t="s">
        <v>1244</v>
      </c>
      <c r="AM1285">
        <v>72</v>
      </c>
      <c r="AN1285" t="str">
        <f>VLOOKUP(Transaction[[#This Row],[Model No.]],$AV$2:$BD$100,2,TRUE)</f>
        <v>Pearl Wedding Cake Vodka</v>
      </c>
      <c r="AO1285" s="21">
        <f>VLOOKUP(Transaction[[#This Row],[Model No.]],$AV$2:$BD$100,6,TRUE)</f>
        <v>12.49</v>
      </c>
      <c r="AP1285" s="9">
        <v>3</v>
      </c>
      <c r="AQ1285" s="5">
        <f>Transaction[[#This Row],[Price]]*Transaction[[#This Row],[Qty]]</f>
        <v>37.47</v>
      </c>
      <c r="AR1285" s="5">
        <f>VLOOKUP(Transaction[[#This Row],[Model No.]],$AV$2:$BD$100,7,TRUE)*Transaction[[#This Row],[Qty]]</f>
        <v>11.241</v>
      </c>
      <c r="AS1285">
        <v>1107</v>
      </c>
      <c r="AT1285">
        <v>1002</v>
      </c>
    </row>
    <row r="1286" spans="36:46" x14ac:dyDescent="0.3">
      <c r="AJ1286">
        <v>27907</v>
      </c>
      <c r="AK1286" s="30">
        <v>43216</v>
      </c>
      <c r="AL1286" t="s">
        <v>1854</v>
      </c>
      <c r="AM1286">
        <v>73</v>
      </c>
      <c r="AN1286" t="str">
        <f>VLOOKUP(Transaction[[#This Row],[Model No.]],$AV$2:$BD$100,2,TRUE)</f>
        <v>Schlafly Oktoberfest - 6 Pack</v>
      </c>
      <c r="AO1286" s="21">
        <f>VLOOKUP(Transaction[[#This Row],[Model No.]],$AV$2:$BD$100,6,TRUE)</f>
        <v>11.99</v>
      </c>
      <c r="AP1286" s="9">
        <v>1</v>
      </c>
      <c r="AQ1286" s="5">
        <f>Transaction[[#This Row],[Price]]*Transaction[[#This Row],[Qty]]</f>
        <v>11.99</v>
      </c>
      <c r="AR1286" s="5">
        <f>VLOOKUP(Transaction[[#This Row],[Model No.]],$AV$2:$BD$100,7,TRUE)*Transaction[[#This Row],[Qty]]</f>
        <v>3.597</v>
      </c>
      <c r="AS1286">
        <v>1100</v>
      </c>
      <c r="AT1286">
        <v>1019</v>
      </c>
    </row>
    <row r="1287" spans="36:46" x14ac:dyDescent="0.3">
      <c r="AJ1287">
        <v>74967</v>
      </c>
      <c r="AK1287" s="30">
        <v>43219</v>
      </c>
      <c r="AL1287" t="s">
        <v>641</v>
      </c>
      <c r="AM1287">
        <v>29</v>
      </c>
      <c r="AN1287" t="str">
        <f>VLOOKUP(Transaction[[#This Row],[Model No.]],$AV$2:$BD$100,2,TRUE)</f>
        <v>SCHLAFLY STOUT BOUT SAMPLER   2/12 - 12 Pack</v>
      </c>
      <c r="AO1287" s="21">
        <f>VLOOKUP(Transaction[[#This Row],[Model No.]],$AV$2:$BD$100,6,TRUE)</f>
        <v>22.99</v>
      </c>
      <c r="AP1287" s="9">
        <v>4</v>
      </c>
      <c r="AQ1287" s="5">
        <f>Transaction[[#This Row],[Price]]*Transaction[[#This Row],[Qty]]</f>
        <v>91.96</v>
      </c>
      <c r="AR1287" s="5">
        <f>VLOOKUP(Transaction[[#This Row],[Model No.]],$AV$2:$BD$100,7,TRUE)*Transaction[[#This Row],[Qty]]</f>
        <v>27.587999999999997</v>
      </c>
      <c r="AS1287">
        <v>1101</v>
      </c>
      <c r="AT1287">
        <v>1012</v>
      </c>
    </row>
    <row r="1288" spans="36:46" x14ac:dyDescent="0.3">
      <c r="AJ1288">
        <v>24068</v>
      </c>
      <c r="AK1288" s="30">
        <v>43221</v>
      </c>
      <c r="AL1288" t="s">
        <v>1090</v>
      </c>
      <c r="AM1288">
        <v>20</v>
      </c>
      <c r="AN1288" t="str">
        <f>VLOOKUP(Transaction[[#This Row],[Model No.]],$AV$2:$BD$100,2,TRUE)</f>
        <v>Stonewall American Rum</v>
      </c>
      <c r="AO1288" s="21">
        <f>VLOOKUP(Transaction[[#This Row],[Model No.]],$AV$2:$BD$100,6,TRUE)</f>
        <v>27.99</v>
      </c>
      <c r="AP1288" s="9">
        <v>3</v>
      </c>
      <c r="AQ1288" s="5">
        <f>Transaction[[#This Row],[Price]]*Transaction[[#This Row],[Qty]]</f>
        <v>83.97</v>
      </c>
      <c r="AR1288" s="5">
        <f>VLOOKUP(Transaction[[#This Row],[Model No.]],$AV$2:$BD$100,7,TRUE)*Transaction[[#This Row],[Qty]]</f>
        <v>16.794</v>
      </c>
      <c r="AS1288">
        <v>1108</v>
      </c>
      <c r="AT1288">
        <v>1007</v>
      </c>
    </row>
    <row r="1289" spans="36:46" x14ac:dyDescent="0.3">
      <c r="AJ1289">
        <v>28810</v>
      </c>
      <c r="AK1289" s="30">
        <v>43222</v>
      </c>
      <c r="AL1289" t="s">
        <v>1064</v>
      </c>
      <c r="AM1289">
        <v>81</v>
      </c>
      <c r="AN1289" t="str">
        <f>VLOOKUP(Transaction[[#This Row],[Model No.]],$AV$2:$BD$100,2,TRUE)</f>
        <v>TerraNoble Reserva La Higuera Vineyard Carmenere</v>
      </c>
      <c r="AO1289" s="21">
        <f>VLOOKUP(Transaction[[#This Row],[Model No.]],$AV$2:$BD$100,6,TRUE)</f>
        <v>10.99</v>
      </c>
      <c r="AP1289" s="9">
        <v>5</v>
      </c>
      <c r="AQ1289" s="5">
        <f>Transaction[[#This Row],[Price]]*Transaction[[#This Row],[Qty]]</f>
        <v>54.95</v>
      </c>
      <c r="AR1289" s="5">
        <f>VLOOKUP(Transaction[[#This Row],[Model No.]],$AV$2:$BD$100,7,TRUE)*Transaction[[#This Row],[Qty]]</f>
        <v>16.484999999999999</v>
      </c>
      <c r="AS1289">
        <v>1101</v>
      </c>
      <c r="AT1289">
        <v>1000</v>
      </c>
    </row>
    <row r="1290" spans="36:46" x14ac:dyDescent="0.3">
      <c r="AJ1290">
        <v>98593</v>
      </c>
      <c r="AK1290" s="30">
        <v>43225</v>
      </c>
      <c r="AL1290" t="s">
        <v>1510</v>
      </c>
      <c r="AM1290">
        <v>49</v>
      </c>
      <c r="AN1290" t="str">
        <f>VLOOKUP(Transaction[[#This Row],[Model No.]],$AV$2:$BD$100,2,TRUE)</f>
        <v>Marchesi di Barolo Ruvei Barbera d'Alba</v>
      </c>
      <c r="AO1290" s="21">
        <f>VLOOKUP(Transaction[[#This Row],[Model No.]],$AV$2:$BD$100,6,TRUE)</f>
        <v>15.99</v>
      </c>
      <c r="AP1290" s="9">
        <v>3</v>
      </c>
      <c r="AQ1290" s="5">
        <f>Transaction[[#This Row],[Price]]*Transaction[[#This Row],[Qty]]</f>
        <v>47.97</v>
      </c>
      <c r="AR1290" s="5">
        <f>VLOOKUP(Transaction[[#This Row],[Model No.]],$AV$2:$BD$100,7,TRUE)*Transaction[[#This Row],[Qty]]</f>
        <v>4.7970000000000006</v>
      </c>
      <c r="AS1290">
        <v>1103</v>
      </c>
      <c r="AT1290">
        <v>1002</v>
      </c>
    </row>
    <row r="1291" spans="36:46" x14ac:dyDescent="0.3">
      <c r="AJ1291">
        <v>75385</v>
      </c>
      <c r="AK1291" s="30">
        <v>43226</v>
      </c>
      <c r="AL1291" t="s">
        <v>1492</v>
      </c>
      <c r="AM1291">
        <v>23</v>
      </c>
      <c r="AN1291" t="str">
        <f>VLOOKUP(Transaction[[#This Row],[Model No.]],$AV$2:$BD$100,2,TRUE)</f>
        <v>Brinley Gold Shipwreck Mango Rum</v>
      </c>
      <c r="AO1291" s="21">
        <f>VLOOKUP(Transaction[[#This Row],[Model No.]],$AV$2:$BD$100,6,TRUE)</f>
        <v>25.99</v>
      </c>
      <c r="AP1291" s="9">
        <v>1</v>
      </c>
      <c r="AQ1291" s="5">
        <f>Transaction[[#This Row],[Price]]*Transaction[[#This Row],[Qty]]</f>
        <v>25.99</v>
      </c>
      <c r="AR1291" s="5">
        <f>VLOOKUP(Transaction[[#This Row],[Model No.]],$AV$2:$BD$100,7,TRUE)*Transaction[[#This Row],[Qty]]</f>
        <v>5.1980000000000004</v>
      </c>
      <c r="AS1291">
        <v>1101</v>
      </c>
      <c r="AT1291">
        <v>1010</v>
      </c>
    </row>
    <row r="1292" spans="36:46" x14ac:dyDescent="0.3">
      <c r="AJ1292">
        <v>28832</v>
      </c>
      <c r="AK1292" s="30">
        <v>43226</v>
      </c>
      <c r="AL1292" t="s">
        <v>1080</v>
      </c>
      <c r="AM1292">
        <v>85</v>
      </c>
      <c r="AN1292" t="str">
        <f>VLOOKUP(Transaction[[#This Row],[Model No.]],$AV$2:$BD$100,2,TRUE)</f>
        <v>Shiner Sea Salt &amp; Lime - 6 Pack</v>
      </c>
      <c r="AO1292" s="21">
        <f>VLOOKUP(Transaction[[#This Row],[Model No.]],$AV$2:$BD$100,6,TRUE)</f>
        <v>9.99</v>
      </c>
      <c r="AP1292" s="9">
        <v>5</v>
      </c>
      <c r="AQ1292" s="5">
        <f>Transaction[[#This Row],[Price]]*Transaction[[#This Row],[Qty]]</f>
        <v>49.95</v>
      </c>
      <c r="AR1292" s="5">
        <f>VLOOKUP(Transaction[[#This Row],[Model No.]],$AV$2:$BD$100,7,TRUE)*Transaction[[#This Row],[Qty]]</f>
        <v>14.984999999999999</v>
      </c>
      <c r="AS1292">
        <v>1107</v>
      </c>
      <c r="AT1292">
        <v>1012</v>
      </c>
    </row>
    <row r="1293" spans="36:46" x14ac:dyDescent="0.3">
      <c r="AJ1293">
        <v>86119</v>
      </c>
      <c r="AK1293" s="30">
        <v>43226</v>
      </c>
      <c r="AL1293" t="s">
        <v>1495</v>
      </c>
      <c r="AM1293">
        <v>90</v>
      </c>
      <c r="AN1293" t="str">
        <f>VLOOKUP(Transaction[[#This Row],[Model No.]],$AV$2:$BD$100,2,TRUE)</f>
        <v>Carlo Rossi Moscato Sangria Muscat Blanc a Petits Grains</v>
      </c>
      <c r="AO1293" s="21">
        <f>VLOOKUP(Transaction[[#This Row],[Model No.]],$AV$2:$BD$100,6,TRUE)</f>
        <v>7.99</v>
      </c>
      <c r="AP1293" s="9">
        <v>4</v>
      </c>
      <c r="AQ1293" s="5">
        <f>Transaction[[#This Row],[Price]]*Transaction[[#This Row],[Qty]]</f>
        <v>31.96</v>
      </c>
      <c r="AR1293" s="5">
        <f>VLOOKUP(Transaction[[#This Row],[Model No.]],$AV$2:$BD$100,7,TRUE)*Transaction[[#This Row],[Qty]]</f>
        <v>6.3920000000000003</v>
      </c>
      <c r="AS1293">
        <v>1105</v>
      </c>
      <c r="AT1293">
        <v>1017</v>
      </c>
    </row>
    <row r="1294" spans="36:46" x14ac:dyDescent="0.3">
      <c r="AJ1294">
        <v>17739</v>
      </c>
      <c r="AK1294" s="30">
        <v>43226</v>
      </c>
      <c r="AL1294" t="s">
        <v>1746</v>
      </c>
      <c r="AM1294">
        <v>93</v>
      </c>
      <c r="AN1294" t="str">
        <f>VLOOKUP(Transaction[[#This Row],[Model No.]],$AV$2:$BD$100,2,TRUE)</f>
        <v>Beringer Vineyards Stone Cellars Shiraz</v>
      </c>
      <c r="AO1294" s="21">
        <f>VLOOKUP(Transaction[[#This Row],[Model No.]],$AV$2:$BD$100,6,TRUE)</f>
        <v>7.49</v>
      </c>
      <c r="AP1294" s="9">
        <v>2</v>
      </c>
      <c r="AQ1294" s="5">
        <f>Transaction[[#This Row],[Price]]*Transaction[[#This Row],[Qty]]</f>
        <v>14.98</v>
      </c>
      <c r="AR1294" s="5">
        <f>VLOOKUP(Transaction[[#This Row],[Model No.]],$AV$2:$BD$100,7,TRUE)*Transaction[[#This Row],[Qty]]</f>
        <v>1.4980000000000002</v>
      </c>
      <c r="AS1294">
        <v>1101</v>
      </c>
      <c r="AT1294">
        <v>1003</v>
      </c>
    </row>
    <row r="1295" spans="36:46" x14ac:dyDescent="0.3">
      <c r="AJ1295">
        <v>60086</v>
      </c>
      <c r="AK1295" s="30">
        <v>43227</v>
      </c>
      <c r="AL1295" t="s">
        <v>1140</v>
      </c>
      <c r="AM1295">
        <v>45</v>
      </c>
      <c r="AN1295" t="str">
        <f>VLOOKUP(Transaction[[#This Row],[Model No.]],$AV$2:$BD$100,2,TRUE)</f>
        <v>Sixpoint Resin - 6 Pack</v>
      </c>
      <c r="AO1295" s="21">
        <f>VLOOKUP(Transaction[[#This Row],[Model No.]],$AV$2:$BD$100,6,TRUE)</f>
        <v>15.99</v>
      </c>
      <c r="AP1295" s="9">
        <v>3</v>
      </c>
      <c r="AQ1295" s="5">
        <f>Transaction[[#This Row],[Price]]*Transaction[[#This Row],[Qty]]</f>
        <v>47.97</v>
      </c>
      <c r="AR1295" s="5">
        <f>VLOOKUP(Transaction[[#This Row],[Model No.]],$AV$2:$BD$100,7,TRUE)*Transaction[[#This Row],[Qty]]</f>
        <v>14.390999999999998</v>
      </c>
      <c r="AS1295">
        <v>1098</v>
      </c>
      <c r="AT1295">
        <v>1009</v>
      </c>
    </row>
    <row r="1296" spans="36:46" x14ac:dyDescent="0.3">
      <c r="AJ1296">
        <v>97486</v>
      </c>
      <c r="AK1296" s="30">
        <v>43227</v>
      </c>
      <c r="AL1296" t="s">
        <v>1558</v>
      </c>
      <c r="AM1296">
        <v>90</v>
      </c>
      <c r="AN1296" t="str">
        <f>VLOOKUP(Transaction[[#This Row],[Model No.]],$AV$2:$BD$100,2,TRUE)</f>
        <v>Carlo Rossi Moscato Sangria Muscat Blanc a Petits Grains</v>
      </c>
      <c r="AO1296" s="21">
        <f>VLOOKUP(Transaction[[#This Row],[Model No.]],$AV$2:$BD$100,6,TRUE)</f>
        <v>7.99</v>
      </c>
      <c r="AP1296" s="9">
        <v>1</v>
      </c>
      <c r="AQ1296" s="5">
        <f>Transaction[[#This Row],[Price]]*Transaction[[#This Row],[Qty]]</f>
        <v>7.99</v>
      </c>
      <c r="AR1296" s="5">
        <f>VLOOKUP(Transaction[[#This Row],[Model No.]],$AV$2:$BD$100,7,TRUE)*Transaction[[#This Row],[Qty]]</f>
        <v>1.5980000000000001</v>
      </c>
      <c r="AS1296">
        <v>1101</v>
      </c>
      <c r="AT1296">
        <v>1010</v>
      </c>
    </row>
    <row r="1297" spans="36:46" x14ac:dyDescent="0.3">
      <c r="AJ1297">
        <v>40018</v>
      </c>
      <c r="AK1297" s="30">
        <v>43228</v>
      </c>
      <c r="AL1297" t="s">
        <v>1810</v>
      </c>
      <c r="AM1297">
        <v>36</v>
      </c>
      <c r="AN1297" t="str">
        <f>VLOOKUP(Transaction[[#This Row],[Model No.]],$AV$2:$BD$100,2,TRUE)</f>
        <v>Patricius Reserve Dry Furmint</v>
      </c>
      <c r="AO1297" s="21">
        <f>VLOOKUP(Transaction[[#This Row],[Model No.]],$AV$2:$BD$100,6,TRUE)</f>
        <v>20.99</v>
      </c>
      <c r="AP1297" s="9">
        <v>4</v>
      </c>
      <c r="AQ1297" s="5">
        <f>Transaction[[#This Row],[Price]]*Transaction[[#This Row],[Qty]]</f>
        <v>83.96</v>
      </c>
      <c r="AR1297" s="5">
        <f>VLOOKUP(Transaction[[#This Row],[Model No.]],$AV$2:$BD$100,7,TRUE)*Transaction[[#This Row],[Qty]]</f>
        <v>8.395999999999999</v>
      </c>
      <c r="AS1297">
        <v>1103</v>
      </c>
      <c r="AT1297">
        <v>1017</v>
      </c>
    </row>
    <row r="1298" spans="36:46" x14ac:dyDescent="0.3">
      <c r="AJ1298">
        <v>17174</v>
      </c>
      <c r="AK1298" s="30">
        <v>43229</v>
      </c>
      <c r="AL1298" t="s">
        <v>1875</v>
      </c>
      <c r="AM1298">
        <v>20</v>
      </c>
      <c r="AN1298" t="str">
        <f>VLOOKUP(Transaction[[#This Row],[Model No.]],$AV$2:$BD$100,2,TRUE)</f>
        <v>Stonewall American Rum</v>
      </c>
      <c r="AO1298" s="21">
        <f>VLOOKUP(Transaction[[#This Row],[Model No.]],$AV$2:$BD$100,6,TRUE)</f>
        <v>27.99</v>
      </c>
      <c r="AP1298" s="9">
        <v>3</v>
      </c>
      <c r="AQ1298" s="5">
        <f>Transaction[[#This Row],[Price]]*Transaction[[#This Row],[Qty]]</f>
        <v>83.97</v>
      </c>
      <c r="AR1298" s="5">
        <f>VLOOKUP(Transaction[[#This Row],[Model No.]],$AV$2:$BD$100,7,TRUE)*Transaction[[#This Row],[Qty]]</f>
        <v>16.794</v>
      </c>
      <c r="AS1298">
        <v>1106</v>
      </c>
      <c r="AT1298">
        <v>1016</v>
      </c>
    </row>
    <row r="1299" spans="36:46" x14ac:dyDescent="0.3">
      <c r="AJ1299">
        <v>87329</v>
      </c>
      <c r="AK1299" s="30">
        <v>43231</v>
      </c>
      <c r="AL1299" t="s">
        <v>600</v>
      </c>
      <c r="AM1299">
        <v>13</v>
      </c>
      <c r="AN1299" t="str">
        <f>VLOOKUP(Transaction[[#This Row],[Model No.]],$AV$2:$BD$100,2,TRUE)</f>
        <v>Luxardo Maraschino Liqueur</v>
      </c>
      <c r="AO1299" s="21">
        <f>VLOOKUP(Transaction[[#This Row],[Model No.]],$AV$2:$BD$100,6,TRUE)</f>
        <v>36.99</v>
      </c>
      <c r="AP1299" s="9">
        <v>5</v>
      </c>
      <c r="AQ1299" s="5">
        <f>Transaction[[#This Row],[Price]]*Transaction[[#This Row],[Qty]]</f>
        <v>184.95000000000002</v>
      </c>
      <c r="AR1299" s="5">
        <f>VLOOKUP(Transaction[[#This Row],[Model No.]],$AV$2:$BD$100,7,TRUE)*Transaction[[#This Row],[Qty]]</f>
        <v>55.484999999999999</v>
      </c>
      <c r="AS1299">
        <v>1098</v>
      </c>
      <c r="AT1299">
        <v>1001</v>
      </c>
    </row>
    <row r="1300" spans="36:46" x14ac:dyDescent="0.3">
      <c r="AJ1300">
        <v>11801</v>
      </c>
      <c r="AK1300" s="30">
        <v>43233</v>
      </c>
      <c r="AL1300" t="s">
        <v>796</v>
      </c>
      <c r="AM1300">
        <v>9</v>
      </c>
      <c r="AN1300" t="str">
        <f>VLOOKUP(Transaction[[#This Row],[Model No.]],$AV$2:$BD$100,2,TRUE)</f>
        <v>Ass Kisser Double IPA - 12 Pack</v>
      </c>
      <c r="AO1300" s="21">
        <f>VLOOKUP(Transaction[[#This Row],[Model No.]],$AV$2:$BD$100,6,TRUE)</f>
        <v>43.99</v>
      </c>
      <c r="AP1300" s="9">
        <v>3</v>
      </c>
      <c r="AQ1300" s="5">
        <f>Transaction[[#This Row],[Price]]*Transaction[[#This Row],[Qty]]</f>
        <v>131.97</v>
      </c>
      <c r="AR1300" s="5">
        <f>VLOOKUP(Transaction[[#This Row],[Model No.]],$AV$2:$BD$100,7,TRUE)*Transaction[[#This Row],[Qty]]</f>
        <v>39.591000000000001</v>
      </c>
      <c r="AS1300">
        <v>1105</v>
      </c>
      <c r="AT1300">
        <v>1017</v>
      </c>
    </row>
    <row r="1301" spans="36:46" x14ac:dyDescent="0.3">
      <c r="AJ1301">
        <v>35754</v>
      </c>
      <c r="AK1301" s="30">
        <v>43233</v>
      </c>
      <c r="AL1301" t="s">
        <v>1781</v>
      </c>
      <c r="AM1301">
        <v>52</v>
      </c>
      <c r="AN1301" t="str">
        <f>VLOOKUP(Transaction[[#This Row],[Model No.]],$AV$2:$BD$100,2,TRUE)</f>
        <v>Finca Las Moras Barrel Select Cabernet Sauvignon</v>
      </c>
      <c r="AO1301" s="21">
        <f>VLOOKUP(Transaction[[#This Row],[Model No.]],$AV$2:$BD$100,6,TRUE)</f>
        <v>14.99</v>
      </c>
      <c r="AP1301" s="9">
        <v>2</v>
      </c>
      <c r="AQ1301" s="5">
        <f>Transaction[[#This Row],[Price]]*Transaction[[#This Row],[Qty]]</f>
        <v>29.98</v>
      </c>
      <c r="AR1301" s="5">
        <f>VLOOKUP(Transaction[[#This Row],[Model No.]],$AV$2:$BD$100,7,TRUE)*Transaction[[#This Row],[Qty]]</f>
        <v>2.9980000000000002</v>
      </c>
      <c r="AS1301">
        <v>1102</v>
      </c>
      <c r="AT1301">
        <v>1006</v>
      </c>
    </row>
    <row r="1302" spans="36:46" x14ac:dyDescent="0.3">
      <c r="AJ1302">
        <v>67664</v>
      </c>
      <c r="AK1302" s="30">
        <v>43236</v>
      </c>
      <c r="AL1302" t="s">
        <v>1375</v>
      </c>
      <c r="AM1302">
        <v>95</v>
      </c>
      <c r="AN1302" t="str">
        <f>VLOOKUP(Transaction[[#This Row],[Model No.]],$AV$2:$BD$100,2,TRUE)</f>
        <v>Kuromatsu Hakushika Chokara Extra Dry Sake</v>
      </c>
      <c r="AO1302" s="21">
        <f>VLOOKUP(Transaction[[#This Row],[Model No.]],$AV$2:$BD$100,6,TRUE)</f>
        <v>7.49</v>
      </c>
      <c r="AP1302" s="9">
        <v>5</v>
      </c>
      <c r="AQ1302" s="5">
        <f>Transaction[[#This Row],[Price]]*Transaction[[#This Row],[Qty]]</f>
        <v>37.450000000000003</v>
      </c>
      <c r="AR1302" s="5">
        <f>VLOOKUP(Transaction[[#This Row],[Model No.]],$AV$2:$BD$100,7,TRUE)*Transaction[[#This Row],[Qty]]</f>
        <v>3.7450000000000006</v>
      </c>
      <c r="AS1302">
        <v>1104</v>
      </c>
      <c r="AT1302">
        <v>1003</v>
      </c>
    </row>
    <row r="1303" spans="36:46" x14ac:dyDescent="0.3">
      <c r="AJ1303">
        <v>32927</v>
      </c>
      <c r="AK1303" s="30">
        <v>43239</v>
      </c>
      <c r="AL1303" t="s">
        <v>1785</v>
      </c>
      <c r="AM1303">
        <v>73</v>
      </c>
      <c r="AN1303" t="str">
        <f>VLOOKUP(Transaction[[#This Row],[Model No.]],$AV$2:$BD$100,2,TRUE)</f>
        <v>Schlafly Oktoberfest - 6 Pack</v>
      </c>
      <c r="AO1303" s="21">
        <f>VLOOKUP(Transaction[[#This Row],[Model No.]],$AV$2:$BD$100,6,TRUE)</f>
        <v>11.99</v>
      </c>
      <c r="AP1303" s="9">
        <v>5</v>
      </c>
      <c r="AQ1303" s="5">
        <f>Transaction[[#This Row],[Price]]*Transaction[[#This Row],[Qty]]</f>
        <v>59.95</v>
      </c>
      <c r="AR1303" s="5">
        <f>VLOOKUP(Transaction[[#This Row],[Model No.]],$AV$2:$BD$100,7,TRUE)*Transaction[[#This Row],[Qty]]</f>
        <v>17.984999999999999</v>
      </c>
      <c r="AS1303">
        <v>1108</v>
      </c>
      <c r="AT1303">
        <v>1013</v>
      </c>
    </row>
    <row r="1304" spans="36:46" x14ac:dyDescent="0.3">
      <c r="AJ1304">
        <v>46549</v>
      </c>
      <c r="AK1304" s="30">
        <v>43240</v>
      </c>
      <c r="AL1304" t="s">
        <v>794</v>
      </c>
      <c r="AM1304">
        <v>81</v>
      </c>
      <c r="AN1304" t="str">
        <f>VLOOKUP(Transaction[[#This Row],[Model No.]],$AV$2:$BD$100,2,TRUE)</f>
        <v>TerraNoble Reserva La Higuera Vineyard Carmenere</v>
      </c>
      <c r="AO1304" s="21">
        <f>VLOOKUP(Transaction[[#This Row],[Model No.]],$AV$2:$BD$100,6,TRUE)</f>
        <v>10.99</v>
      </c>
      <c r="AP1304" s="9">
        <v>5</v>
      </c>
      <c r="AQ1304" s="5">
        <f>Transaction[[#This Row],[Price]]*Transaction[[#This Row],[Qty]]</f>
        <v>54.95</v>
      </c>
      <c r="AR1304" s="5">
        <f>VLOOKUP(Transaction[[#This Row],[Model No.]],$AV$2:$BD$100,7,TRUE)*Transaction[[#This Row],[Qty]]</f>
        <v>16.484999999999999</v>
      </c>
      <c r="AS1304">
        <v>1099</v>
      </c>
      <c r="AT1304">
        <v>1020</v>
      </c>
    </row>
    <row r="1305" spans="36:46" x14ac:dyDescent="0.3">
      <c r="AJ1305">
        <v>15716</v>
      </c>
      <c r="AK1305" s="30">
        <v>43242</v>
      </c>
      <c r="AL1305" t="s">
        <v>936</v>
      </c>
      <c r="AM1305">
        <v>50</v>
      </c>
      <c r="AN1305" t="str">
        <f>VLOOKUP(Transaction[[#This Row],[Model No.]],$AV$2:$BD$100,2,TRUE)</f>
        <v>CLOS DU BOIS ROSE</v>
      </c>
      <c r="AO1305" s="21">
        <f>VLOOKUP(Transaction[[#This Row],[Model No.]],$AV$2:$BD$100,6,TRUE)</f>
        <v>14.99</v>
      </c>
      <c r="AP1305" s="9">
        <v>1</v>
      </c>
      <c r="AQ1305" s="5">
        <f>Transaction[[#This Row],[Price]]*Transaction[[#This Row],[Qty]]</f>
        <v>14.99</v>
      </c>
      <c r="AR1305" s="5">
        <f>VLOOKUP(Transaction[[#This Row],[Model No.]],$AV$2:$BD$100,7,TRUE)*Transaction[[#This Row],[Qty]]</f>
        <v>5.9960000000000004</v>
      </c>
      <c r="AS1305">
        <v>1103</v>
      </c>
      <c r="AT1305">
        <v>1003</v>
      </c>
    </row>
    <row r="1306" spans="36:46" x14ac:dyDescent="0.3">
      <c r="AJ1306">
        <v>29322</v>
      </c>
      <c r="AK1306" s="30">
        <v>43245</v>
      </c>
      <c r="AL1306" t="s">
        <v>458</v>
      </c>
      <c r="AM1306">
        <v>39</v>
      </c>
      <c r="AN1306" t="str">
        <f>VLOOKUP(Transaction[[#This Row],[Model No.]],$AV$2:$BD$100,2,TRUE)</f>
        <v>Moorhouse's English Owd Ale - 4 Pack</v>
      </c>
      <c r="AO1306" s="21">
        <f>VLOOKUP(Transaction[[#This Row],[Model No.]],$AV$2:$BD$100,6,TRUE)</f>
        <v>18.989999999999998</v>
      </c>
      <c r="AP1306" s="9">
        <v>4</v>
      </c>
      <c r="AQ1306" s="5">
        <f>Transaction[[#This Row],[Price]]*Transaction[[#This Row],[Qty]]</f>
        <v>75.959999999999994</v>
      </c>
      <c r="AR1306" s="5">
        <f>VLOOKUP(Transaction[[#This Row],[Model No.]],$AV$2:$BD$100,7,TRUE)*Transaction[[#This Row],[Qty]]</f>
        <v>22.787999999999997</v>
      </c>
      <c r="AS1306">
        <v>1102</v>
      </c>
      <c r="AT1306">
        <v>1021</v>
      </c>
    </row>
    <row r="1307" spans="36:46" x14ac:dyDescent="0.3">
      <c r="AJ1307">
        <v>54240</v>
      </c>
      <c r="AK1307" s="30">
        <v>43246</v>
      </c>
      <c r="AL1307" t="s">
        <v>1509</v>
      </c>
      <c r="AM1307">
        <v>2</v>
      </c>
      <c r="AN1307" t="str">
        <f>VLOOKUP(Transaction[[#This Row],[Model No.]],$AV$2:$BD$100,2,TRUE)</f>
        <v>Grand Marnier Cuvee 1880 Liqueur</v>
      </c>
      <c r="AO1307" s="21">
        <f>VLOOKUP(Transaction[[#This Row],[Model No.]],$AV$2:$BD$100,6,TRUE)</f>
        <v>286.99</v>
      </c>
      <c r="AP1307" s="9">
        <v>2</v>
      </c>
      <c r="AQ1307" s="5">
        <f>Transaction[[#This Row],[Price]]*Transaction[[#This Row],[Qty]]</f>
        <v>573.98</v>
      </c>
      <c r="AR1307" s="5">
        <f>VLOOKUP(Transaction[[#This Row],[Model No.]],$AV$2:$BD$100,7,TRUE)*Transaction[[#This Row],[Qty]]</f>
        <v>172.19399999999999</v>
      </c>
      <c r="AS1307">
        <v>1101</v>
      </c>
      <c r="AT1307">
        <v>1001</v>
      </c>
    </row>
    <row r="1308" spans="36:46" x14ac:dyDescent="0.3">
      <c r="AJ1308">
        <v>53959</v>
      </c>
      <c r="AK1308" s="30">
        <v>43248</v>
      </c>
      <c r="AL1308" t="s">
        <v>986</v>
      </c>
      <c r="AM1308">
        <v>4</v>
      </c>
      <c r="AN1308" t="str">
        <f>VLOOKUP(Transaction[[#This Row],[Model No.]],$AV$2:$BD$100,2,TRUE)</f>
        <v>Stags' Leap Winery Cabernet Sauvignon</v>
      </c>
      <c r="AO1308" s="21">
        <f>VLOOKUP(Transaction[[#This Row],[Model No.]],$AV$2:$BD$100,6,TRUE)</f>
        <v>54.99</v>
      </c>
      <c r="AP1308" s="9">
        <v>5</v>
      </c>
      <c r="AQ1308" s="5">
        <f>Transaction[[#This Row],[Price]]*Transaction[[#This Row],[Qty]]</f>
        <v>274.95</v>
      </c>
      <c r="AR1308" s="5">
        <f>VLOOKUP(Transaction[[#This Row],[Model No.]],$AV$2:$BD$100,7,TRUE)*Transaction[[#This Row],[Qty]]</f>
        <v>27.495000000000005</v>
      </c>
      <c r="AS1308">
        <v>1104</v>
      </c>
      <c r="AT1308">
        <v>1014</v>
      </c>
    </row>
    <row r="1309" spans="36:46" x14ac:dyDescent="0.3">
      <c r="AJ1309">
        <v>33948</v>
      </c>
      <c r="AK1309" s="30">
        <v>43248</v>
      </c>
      <c r="AL1309" t="s">
        <v>1747</v>
      </c>
      <c r="AM1309">
        <v>5</v>
      </c>
      <c r="AN1309" t="str">
        <f>VLOOKUP(Transaction[[#This Row],[Model No.]],$AV$2:$BD$100,2,TRUE)</f>
        <v>Old Forester 1897 Bottled in Bond Kentucky Straight Bourbon Whisky</v>
      </c>
      <c r="AO1309" s="21">
        <f>VLOOKUP(Transaction[[#This Row],[Model No.]],$AV$2:$BD$100,6,TRUE)</f>
        <v>46.99</v>
      </c>
      <c r="AP1309" s="9">
        <v>3</v>
      </c>
      <c r="AQ1309" s="5">
        <f>Transaction[[#This Row],[Price]]*Transaction[[#This Row],[Qty]]</f>
        <v>140.97</v>
      </c>
      <c r="AR1309" s="5">
        <f>VLOOKUP(Transaction[[#This Row],[Model No.]],$AV$2:$BD$100,7,TRUE)*Transaction[[#This Row],[Qty]]</f>
        <v>28.194000000000003</v>
      </c>
      <c r="AS1309">
        <v>1108</v>
      </c>
      <c r="AT1309">
        <v>1020</v>
      </c>
    </row>
    <row r="1310" spans="36:46" x14ac:dyDescent="0.3">
      <c r="AJ1310">
        <v>80304</v>
      </c>
      <c r="AK1310" s="30">
        <v>43250</v>
      </c>
      <c r="AL1310" t="s">
        <v>1497</v>
      </c>
      <c r="AM1310">
        <v>25</v>
      </c>
      <c r="AN1310" t="str">
        <f>VLOOKUP(Transaction[[#This Row],[Model No.]],$AV$2:$BD$100,2,TRUE)</f>
        <v>ICEHOUSE 4/6 LNNR - 24 Pack</v>
      </c>
      <c r="AO1310" s="21">
        <f>VLOOKUP(Transaction[[#This Row],[Model No.]],$AV$2:$BD$100,6,TRUE)</f>
        <v>23.99</v>
      </c>
      <c r="AP1310" s="9">
        <v>5</v>
      </c>
      <c r="AQ1310" s="5">
        <f>Transaction[[#This Row],[Price]]*Transaction[[#This Row],[Qty]]</f>
        <v>119.94999999999999</v>
      </c>
      <c r="AR1310" s="5">
        <f>VLOOKUP(Transaction[[#This Row],[Model No.]],$AV$2:$BD$100,7,TRUE)*Transaction[[#This Row],[Qty]]</f>
        <v>35.984999999999999</v>
      </c>
      <c r="AS1310">
        <v>1103</v>
      </c>
      <c r="AT1310">
        <v>1006</v>
      </c>
    </row>
    <row r="1311" spans="36:46" x14ac:dyDescent="0.3">
      <c r="AJ1311">
        <v>76925</v>
      </c>
      <c r="AK1311" s="30">
        <v>43250</v>
      </c>
      <c r="AL1311" t="s">
        <v>1679</v>
      </c>
      <c r="AM1311">
        <v>83</v>
      </c>
      <c r="AN1311" t="str">
        <f>VLOOKUP(Transaction[[#This Row],[Model No.]],$AV$2:$BD$100,2,TRUE)</f>
        <v>Pinnacle Cherry Whipped Vodka</v>
      </c>
      <c r="AO1311" s="21">
        <f>VLOOKUP(Transaction[[#This Row],[Model No.]],$AV$2:$BD$100,6,TRUE)</f>
        <v>10.99</v>
      </c>
      <c r="AP1311" s="9">
        <v>4</v>
      </c>
      <c r="AQ1311" s="5">
        <f>Transaction[[#This Row],[Price]]*Transaction[[#This Row],[Qty]]</f>
        <v>43.96</v>
      </c>
      <c r="AR1311" s="5">
        <f>VLOOKUP(Transaction[[#This Row],[Model No.]],$AV$2:$BD$100,7,TRUE)*Transaction[[#This Row],[Qty]]</f>
        <v>13.188000000000001</v>
      </c>
      <c r="AS1311">
        <v>1108</v>
      </c>
      <c r="AT1311">
        <v>1003</v>
      </c>
    </row>
    <row r="1312" spans="36:46" x14ac:dyDescent="0.3">
      <c r="AJ1312">
        <v>88140</v>
      </c>
      <c r="AK1312" s="30">
        <v>43256</v>
      </c>
      <c r="AL1312" t="s">
        <v>1726</v>
      </c>
      <c r="AM1312">
        <v>91</v>
      </c>
      <c r="AN1312" t="str">
        <f>VLOOKUP(Transaction[[#This Row],[Model No.]],$AV$2:$BD$100,2,TRUE)</f>
        <v>Rex Goliath Free Range Giant 47 Pound Rooster Merlot</v>
      </c>
      <c r="AO1312" s="21">
        <f>VLOOKUP(Transaction[[#This Row],[Model No.]],$AV$2:$BD$100,6,TRUE)</f>
        <v>7.79</v>
      </c>
      <c r="AP1312" s="9">
        <v>3</v>
      </c>
      <c r="AQ1312" s="5">
        <f>Transaction[[#This Row],[Price]]*Transaction[[#This Row],[Qty]]</f>
        <v>23.37</v>
      </c>
      <c r="AR1312" s="5">
        <f>VLOOKUP(Transaction[[#This Row],[Model No.]],$AV$2:$BD$100,7,TRUE)*Transaction[[#This Row],[Qty]]</f>
        <v>2.3370000000000002</v>
      </c>
      <c r="AS1312">
        <v>1101</v>
      </c>
      <c r="AT1312">
        <v>1009</v>
      </c>
    </row>
    <row r="1313" spans="36:46" x14ac:dyDescent="0.3">
      <c r="AJ1313">
        <v>66849</v>
      </c>
      <c r="AK1313" s="30">
        <v>43257</v>
      </c>
      <c r="AL1313" t="s">
        <v>1019</v>
      </c>
      <c r="AM1313">
        <v>4</v>
      </c>
      <c r="AN1313" t="str">
        <f>VLOOKUP(Transaction[[#This Row],[Model No.]],$AV$2:$BD$100,2,TRUE)</f>
        <v>Stags' Leap Winery Cabernet Sauvignon</v>
      </c>
      <c r="AO1313" s="21">
        <f>VLOOKUP(Transaction[[#This Row],[Model No.]],$AV$2:$BD$100,6,TRUE)</f>
        <v>54.99</v>
      </c>
      <c r="AP1313" s="9">
        <v>2</v>
      </c>
      <c r="AQ1313" s="5">
        <f>Transaction[[#This Row],[Price]]*Transaction[[#This Row],[Qty]]</f>
        <v>109.98</v>
      </c>
      <c r="AR1313" s="5">
        <f>VLOOKUP(Transaction[[#This Row],[Model No.]],$AV$2:$BD$100,7,TRUE)*Transaction[[#This Row],[Qty]]</f>
        <v>10.998000000000001</v>
      </c>
      <c r="AS1313">
        <v>1100</v>
      </c>
      <c r="AT1313">
        <v>1014</v>
      </c>
    </row>
    <row r="1314" spans="36:46" x14ac:dyDescent="0.3">
      <c r="AJ1314">
        <v>47079</v>
      </c>
      <c r="AK1314" s="30">
        <v>43258</v>
      </c>
      <c r="AL1314" t="s">
        <v>610</v>
      </c>
      <c r="AM1314">
        <v>41</v>
      </c>
      <c r="AN1314" t="str">
        <f>VLOOKUP(Transaction[[#This Row],[Model No.]],$AV$2:$BD$100,2,TRUE)</f>
        <v>Brunellesco Delle Venezie IGT Pinot Grigio</v>
      </c>
      <c r="AO1314" s="21">
        <f>VLOOKUP(Transaction[[#This Row],[Model No.]],$AV$2:$BD$100,6,TRUE)</f>
        <v>17.39</v>
      </c>
      <c r="AP1314" s="9">
        <v>4</v>
      </c>
      <c r="AQ1314" s="5">
        <f>Transaction[[#This Row],[Price]]*Transaction[[#This Row],[Qty]]</f>
        <v>69.56</v>
      </c>
      <c r="AR1314" s="5">
        <f>VLOOKUP(Transaction[[#This Row],[Model No.]],$AV$2:$BD$100,7,TRUE)*Transaction[[#This Row],[Qty]]</f>
        <v>6.9560000000000004</v>
      </c>
      <c r="AS1314">
        <v>1107</v>
      </c>
      <c r="AT1314">
        <v>1002</v>
      </c>
    </row>
    <row r="1315" spans="36:46" x14ac:dyDescent="0.3">
      <c r="AJ1315">
        <v>79932</v>
      </c>
      <c r="AK1315" s="30">
        <v>43258</v>
      </c>
      <c r="AL1315" t="s">
        <v>1426</v>
      </c>
      <c r="AM1315">
        <v>86</v>
      </c>
      <c r="AN1315" t="str">
        <f>VLOOKUP(Transaction[[#This Row],[Model No.]],$AV$2:$BD$100,2,TRUE)</f>
        <v>Bully Hill Vineyards Love My Goat Baco Noir</v>
      </c>
      <c r="AO1315" s="21">
        <f>VLOOKUP(Transaction[[#This Row],[Model No.]],$AV$2:$BD$100,6,TRUE)</f>
        <v>9.49</v>
      </c>
      <c r="AP1315" s="9">
        <v>3</v>
      </c>
      <c r="AQ1315" s="5">
        <f>Transaction[[#This Row],[Price]]*Transaction[[#This Row],[Qty]]</f>
        <v>28.47</v>
      </c>
      <c r="AR1315" s="5">
        <f>VLOOKUP(Transaction[[#This Row],[Model No.]],$AV$2:$BD$100,7,TRUE)*Transaction[[#This Row],[Qty]]</f>
        <v>2.8470000000000004</v>
      </c>
      <c r="AS1315">
        <v>1102</v>
      </c>
      <c r="AT1315">
        <v>1016</v>
      </c>
    </row>
    <row r="1316" spans="36:46" x14ac:dyDescent="0.3">
      <c r="AJ1316">
        <v>21864</v>
      </c>
      <c r="AK1316" s="30">
        <v>43260</v>
      </c>
      <c r="AL1316" t="s">
        <v>787</v>
      </c>
      <c r="AM1316">
        <v>2</v>
      </c>
      <c r="AN1316" t="str">
        <f>VLOOKUP(Transaction[[#This Row],[Model No.]],$AV$2:$BD$100,2,TRUE)</f>
        <v>Grand Marnier Cuvee 1880 Liqueur</v>
      </c>
      <c r="AO1316" s="21">
        <f>VLOOKUP(Transaction[[#This Row],[Model No.]],$AV$2:$BD$100,6,TRUE)</f>
        <v>286.99</v>
      </c>
      <c r="AP1316" s="9">
        <v>1</v>
      </c>
      <c r="AQ1316" s="5">
        <f>Transaction[[#This Row],[Price]]*Transaction[[#This Row],[Qty]]</f>
        <v>286.99</v>
      </c>
      <c r="AR1316" s="5">
        <f>VLOOKUP(Transaction[[#This Row],[Model No.]],$AV$2:$BD$100,7,TRUE)*Transaction[[#This Row],[Qty]]</f>
        <v>86.096999999999994</v>
      </c>
      <c r="AS1316">
        <v>1108</v>
      </c>
      <c r="AT1316">
        <v>1011</v>
      </c>
    </row>
    <row r="1317" spans="36:46" x14ac:dyDescent="0.3">
      <c r="AJ1317">
        <v>96505</v>
      </c>
      <c r="AK1317" s="30">
        <v>43260</v>
      </c>
      <c r="AL1317" t="s">
        <v>1821</v>
      </c>
      <c r="AM1317">
        <v>80</v>
      </c>
      <c r="AN1317" t="str">
        <f>VLOOKUP(Transaction[[#This Row],[Model No.]],$AV$2:$BD$100,2,TRUE)</f>
        <v>Evolution Craft Stalker Hefeweizen - 6 Pack</v>
      </c>
      <c r="AO1317" s="21">
        <f>VLOOKUP(Transaction[[#This Row],[Model No.]],$AV$2:$BD$100,6,TRUE)</f>
        <v>10.99</v>
      </c>
      <c r="AP1317" s="9">
        <v>1</v>
      </c>
      <c r="AQ1317" s="5">
        <f>Transaction[[#This Row],[Price]]*Transaction[[#This Row],[Qty]]</f>
        <v>10.99</v>
      </c>
      <c r="AR1317" s="5">
        <f>VLOOKUP(Transaction[[#This Row],[Model No.]],$AV$2:$BD$100,7,TRUE)*Transaction[[#This Row],[Qty]]</f>
        <v>3.2970000000000002</v>
      </c>
      <c r="AS1317">
        <v>1108</v>
      </c>
      <c r="AT1317">
        <v>1003</v>
      </c>
    </row>
    <row r="1318" spans="36:46" x14ac:dyDescent="0.3">
      <c r="AJ1318">
        <v>41154</v>
      </c>
      <c r="AK1318" s="30">
        <v>43261</v>
      </c>
      <c r="AL1318" t="s">
        <v>1312</v>
      </c>
      <c r="AM1318">
        <v>23</v>
      </c>
      <c r="AN1318" t="str">
        <f>VLOOKUP(Transaction[[#This Row],[Model No.]],$AV$2:$BD$100,2,TRUE)</f>
        <v>Brinley Gold Shipwreck Mango Rum</v>
      </c>
      <c r="AO1318" s="21">
        <f>VLOOKUP(Transaction[[#This Row],[Model No.]],$AV$2:$BD$100,6,TRUE)</f>
        <v>25.99</v>
      </c>
      <c r="AP1318" s="9">
        <v>3</v>
      </c>
      <c r="AQ1318" s="5">
        <f>Transaction[[#This Row],[Price]]*Transaction[[#This Row],[Qty]]</f>
        <v>77.97</v>
      </c>
      <c r="AR1318" s="5">
        <f>VLOOKUP(Transaction[[#This Row],[Model No.]],$AV$2:$BD$100,7,TRUE)*Transaction[[#This Row],[Qty]]</f>
        <v>15.594000000000001</v>
      </c>
      <c r="AS1318">
        <v>1103</v>
      </c>
      <c r="AT1318">
        <v>1001</v>
      </c>
    </row>
    <row r="1319" spans="36:46" x14ac:dyDescent="0.3">
      <c r="AJ1319">
        <v>95422</v>
      </c>
      <c r="AK1319" s="30">
        <v>43263</v>
      </c>
      <c r="AL1319" t="s">
        <v>1655</v>
      </c>
      <c r="AM1319">
        <v>94</v>
      </c>
      <c r="AN1319" t="str">
        <f>VLOOKUP(Transaction[[#This Row],[Model No.]],$AV$2:$BD$100,2,TRUE)</f>
        <v>Freixenet Blanc de Blancs Brut Cava Blend</v>
      </c>
      <c r="AO1319" s="21">
        <f>VLOOKUP(Transaction[[#This Row],[Model No.]],$AV$2:$BD$100,6,TRUE)</f>
        <v>7.49</v>
      </c>
      <c r="AP1319" s="9">
        <v>4</v>
      </c>
      <c r="AQ1319" s="5">
        <f>Transaction[[#This Row],[Price]]*Transaction[[#This Row],[Qty]]</f>
        <v>29.96</v>
      </c>
      <c r="AR1319" s="5">
        <f>VLOOKUP(Transaction[[#This Row],[Model No.]],$AV$2:$BD$100,7,TRUE)*Transaction[[#This Row],[Qty]]</f>
        <v>2.9960000000000004</v>
      </c>
      <c r="AS1319">
        <v>1100</v>
      </c>
      <c r="AT1319">
        <v>1016</v>
      </c>
    </row>
    <row r="1320" spans="36:46" x14ac:dyDescent="0.3">
      <c r="AJ1320">
        <v>72223</v>
      </c>
      <c r="AK1320" s="30">
        <v>43264</v>
      </c>
      <c r="AL1320" t="s">
        <v>804</v>
      </c>
      <c r="AM1320">
        <v>15</v>
      </c>
      <c r="AN1320" t="str">
        <f>VLOOKUP(Transaction[[#This Row],[Model No.]],$AV$2:$BD$100,2,TRUE)</f>
        <v>Wild Turkey 101 Kentucky Straight Bourbon Whiskey</v>
      </c>
      <c r="AO1320" s="21">
        <f>VLOOKUP(Transaction[[#This Row],[Model No.]],$AV$2:$BD$100,6,TRUE)</f>
        <v>32.99</v>
      </c>
      <c r="AP1320" s="9">
        <v>5</v>
      </c>
      <c r="AQ1320" s="5">
        <f>Transaction[[#This Row],[Price]]*Transaction[[#This Row],[Qty]]</f>
        <v>164.95000000000002</v>
      </c>
      <c r="AR1320" s="5">
        <f>VLOOKUP(Transaction[[#This Row],[Model No.]],$AV$2:$BD$100,7,TRUE)*Transaction[[#This Row],[Qty]]</f>
        <v>32.99</v>
      </c>
      <c r="AS1320">
        <v>1106</v>
      </c>
      <c r="AT1320">
        <v>1016</v>
      </c>
    </row>
    <row r="1321" spans="36:46" x14ac:dyDescent="0.3">
      <c r="AJ1321">
        <v>57319</v>
      </c>
      <c r="AK1321" s="30">
        <v>43264</v>
      </c>
      <c r="AL1321" t="s">
        <v>1764</v>
      </c>
      <c r="AM1321">
        <v>52</v>
      </c>
      <c r="AN1321" t="str">
        <f>VLOOKUP(Transaction[[#This Row],[Model No.]],$AV$2:$BD$100,2,TRUE)</f>
        <v>Finca Las Moras Barrel Select Cabernet Sauvignon</v>
      </c>
      <c r="AO1321" s="21">
        <f>VLOOKUP(Transaction[[#This Row],[Model No.]],$AV$2:$BD$100,6,TRUE)</f>
        <v>14.99</v>
      </c>
      <c r="AP1321" s="9">
        <v>2</v>
      </c>
      <c r="AQ1321" s="5">
        <f>Transaction[[#This Row],[Price]]*Transaction[[#This Row],[Qty]]</f>
        <v>29.98</v>
      </c>
      <c r="AR1321" s="5">
        <f>VLOOKUP(Transaction[[#This Row],[Model No.]],$AV$2:$BD$100,7,TRUE)*Transaction[[#This Row],[Qty]]</f>
        <v>2.9980000000000002</v>
      </c>
      <c r="AS1321">
        <v>1107</v>
      </c>
      <c r="AT1321">
        <v>1021</v>
      </c>
    </row>
    <row r="1322" spans="36:46" x14ac:dyDescent="0.3">
      <c r="AJ1322">
        <v>35339</v>
      </c>
      <c r="AK1322" s="30">
        <v>43266</v>
      </c>
      <c r="AL1322" t="s">
        <v>1498</v>
      </c>
      <c r="AM1322">
        <v>19</v>
      </c>
      <c r="AN1322" t="str">
        <f>VLOOKUP(Transaction[[#This Row],[Model No.]],$AV$2:$BD$100,2,TRUE)</f>
        <v>District Made Vodka</v>
      </c>
      <c r="AO1322" s="21">
        <f>VLOOKUP(Transaction[[#This Row],[Model No.]],$AV$2:$BD$100,6,TRUE)</f>
        <v>29.99</v>
      </c>
      <c r="AP1322" s="9">
        <v>4</v>
      </c>
      <c r="AQ1322" s="5">
        <f>Transaction[[#This Row],[Price]]*Transaction[[#This Row],[Qty]]</f>
        <v>119.96</v>
      </c>
      <c r="AR1322" s="5">
        <f>VLOOKUP(Transaction[[#This Row],[Model No.]],$AV$2:$BD$100,7,TRUE)*Transaction[[#This Row],[Qty]]</f>
        <v>35.988</v>
      </c>
      <c r="AS1322">
        <v>1102</v>
      </c>
      <c r="AT1322">
        <v>1017</v>
      </c>
    </row>
    <row r="1323" spans="36:46" x14ac:dyDescent="0.3">
      <c r="AJ1323">
        <v>69711</v>
      </c>
      <c r="AK1323" s="30">
        <v>43268</v>
      </c>
      <c r="AL1323" t="s">
        <v>1366</v>
      </c>
      <c r="AM1323">
        <v>4</v>
      </c>
      <c r="AN1323" t="str">
        <f>VLOOKUP(Transaction[[#This Row],[Model No.]],$AV$2:$BD$100,2,TRUE)</f>
        <v>Stags' Leap Winery Cabernet Sauvignon</v>
      </c>
      <c r="AO1323" s="21">
        <f>VLOOKUP(Transaction[[#This Row],[Model No.]],$AV$2:$BD$100,6,TRUE)</f>
        <v>54.99</v>
      </c>
      <c r="AP1323" s="9">
        <v>1</v>
      </c>
      <c r="AQ1323" s="5">
        <f>Transaction[[#This Row],[Price]]*Transaction[[#This Row],[Qty]]</f>
        <v>54.99</v>
      </c>
      <c r="AR1323" s="5">
        <f>VLOOKUP(Transaction[[#This Row],[Model No.]],$AV$2:$BD$100,7,TRUE)*Transaction[[#This Row],[Qty]]</f>
        <v>5.4990000000000006</v>
      </c>
      <c r="AS1323">
        <v>1106</v>
      </c>
      <c r="AT1323">
        <v>1000</v>
      </c>
    </row>
    <row r="1324" spans="36:46" x14ac:dyDescent="0.3">
      <c r="AJ1324">
        <v>28469</v>
      </c>
      <c r="AK1324" s="30">
        <v>43268</v>
      </c>
      <c r="AL1324" t="s">
        <v>1085</v>
      </c>
      <c r="AM1324">
        <v>70</v>
      </c>
      <c r="AN1324" t="str">
        <f>VLOOKUP(Transaction[[#This Row],[Model No.]],$AV$2:$BD$100,2,TRUE)</f>
        <v>Matchbook Rose Estate Bottled Tempranillo</v>
      </c>
      <c r="AO1324" s="21">
        <f>VLOOKUP(Transaction[[#This Row],[Model No.]],$AV$2:$BD$100,6,TRUE)</f>
        <v>12.69</v>
      </c>
      <c r="AP1324" s="9">
        <v>4</v>
      </c>
      <c r="AQ1324" s="5">
        <f>Transaction[[#This Row],[Price]]*Transaction[[#This Row],[Qty]]</f>
        <v>50.76</v>
      </c>
      <c r="AR1324" s="5">
        <f>VLOOKUP(Transaction[[#This Row],[Model No.]],$AV$2:$BD$100,7,TRUE)*Transaction[[#This Row],[Qty]]</f>
        <v>5.0760000000000005</v>
      </c>
      <c r="AS1324">
        <v>1101</v>
      </c>
      <c r="AT1324">
        <v>1018</v>
      </c>
    </row>
    <row r="1325" spans="36:46" x14ac:dyDescent="0.3">
      <c r="AJ1325">
        <v>44601</v>
      </c>
      <c r="AK1325" s="30">
        <v>43269</v>
      </c>
      <c r="AL1325" t="s">
        <v>930</v>
      </c>
      <c r="AM1325">
        <v>30</v>
      </c>
      <c r="AN1325" t="str">
        <f>VLOOKUP(Transaction[[#This Row],[Model No.]],$AV$2:$BD$100,2,TRUE)</f>
        <v>Kahlua Cinnamon Spice Liqueur</v>
      </c>
      <c r="AO1325" s="21">
        <f>VLOOKUP(Transaction[[#This Row],[Model No.]],$AV$2:$BD$100,6,TRUE)</f>
        <v>22.99</v>
      </c>
      <c r="AP1325" s="9">
        <v>5</v>
      </c>
      <c r="AQ1325" s="5">
        <f>Transaction[[#This Row],[Price]]*Transaction[[#This Row],[Qty]]</f>
        <v>114.94999999999999</v>
      </c>
      <c r="AR1325" s="5">
        <f>VLOOKUP(Transaction[[#This Row],[Model No.]],$AV$2:$BD$100,7,TRUE)*Transaction[[#This Row],[Qty]]</f>
        <v>34.484999999999999</v>
      </c>
      <c r="AS1325">
        <v>1107</v>
      </c>
      <c r="AT1325">
        <v>1011</v>
      </c>
    </row>
    <row r="1326" spans="36:46" x14ac:dyDescent="0.3">
      <c r="AJ1326">
        <v>39138</v>
      </c>
      <c r="AK1326" s="30">
        <v>43269</v>
      </c>
      <c r="AL1326" t="s">
        <v>581</v>
      </c>
      <c r="AM1326">
        <v>85</v>
      </c>
      <c r="AN1326" t="str">
        <f>VLOOKUP(Transaction[[#This Row],[Model No.]],$AV$2:$BD$100,2,TRUE)</f>
        <v>Shiner Sea Salt &amp; Lime - 6 Pack</v>
      </c>
      <c r="AO1326" s="21">
        <f>VLOOKUP(Transaction[[#This Row],[Model No.]],$AV$2:$BD$100,6,TRUE)</f>
        <v>9.99</v>
      </c>
      <c r="AP1326" s="9">
        <v>4</v>
      </c>
      <c r="AQ1326" s="5">
        <f>Transaction[[#This Row],[Price]]*Transaction[[#This Row],[Qty]]</f>
        <v>39.96</v>
      </c>
      <c r="AR1326" s="5">
        <f>VLOOKUP(Transaction[[#This Row],[Model No.]],$AV$2:$BD$100,7,TRUE)*Transaction[[#This Row],[Qty]]</f>
        <v>11.988</v>
      </c>
      <c r="AS1326">
        <v>1100</v>
      </c>
      <c r="AT1326">
        <v>1014</v>
      </c>
    </row>
    <row r="1327" spans="36:46" x14ac:dyDescent="0.3">
      <c r="AJ1327">
        <v>23431</v>
      </c>
      <c r="AK1327" s="30">
        <v>43273</v>
      </c>
      <c r="AL1327" t="s">
        <v>1341</v>
      </c>
      <c r="AM1327">
        <v>69</v>
      </c>
      <c r="AN1327" t="str">
        <f>VLOOKUP(Transaction[[#This Row],[Model No.]],$AV$2:$BD$100,2,TRUE)</f>
        <v>Castillo de Maluenda Vinas Viejas Punto y Coma Garnacha</v>
      </c>
      <c r="AO1327" s="21">
        <f>VLOOKUP(Transaction[[#This Row],[Model No.]],$AV$2:$BD$100,6,TRUE)</f>
        <v>12.99</v>
      </c>
      <c r="AP1327" s="9">
        <v>5</v>
      </c>
      <c r="AQ1327" s="5">
        <f>Transaction[[#This Row],[Price]]*Transaction[[#This Row],[Qty]]</f>
        <v>64.95</v>
      </c>
      <c r="AR1327" s="5">
        <f>VLOOKUP(Transaction[[#This Row],[Model No.]],$AV$2:$BD$100,7,TRUE)*Transaction[[#This Row],[Qty]]</f>
        <v>25.980000000000004</v>
      </c>
      <c r="AS1327">
        <v>1099</v>
      </c>
      <c r="AT1327">
        <v>1001</v>
      </c>
    </row>
    <row r="1328" spans="36:46" x14ac:dyDescent="0.3">
      <c r="AJ1328">
        <v>45284</v>
      </c>
      <c r="AK1328" s="30">
        <v>43275</v>
      </c>
      <c r="AL1328" t="s">
        <v>1468</v>
      </c>
      <c r="AM1328">
        <v>70</v>
      </c>
      <c r="AN1328" t="str">
        <f>VLOOKUP(Transaction[[#This Row],[Model No.]],$AV$2:$BD$100,2,TRUE)</f>
        <v>Matchbook Rose Estate Bottled Tempranillo</v>
      </c>
      <c r="AO1328" s="21">
        <f>VLOOKUP(Transaction[[#This Row],[Model No.]],$AV$2:$BD$100,6,TRUE)</f>
        <v>12.69</v>
      </c>
      <c r="AP1328" s="9">
        <v>2</v>
      </c>
      <c r="AQ1328" s="5">
        <f>Transaction[[#This Row],[Price]]*Transaction[[#This Row],[Qty]]</f>
        <v>25.38</v>
      </c>
      <c r="AR1328" s="5">
        <f>VLOOKUP(Transaction[[#This Row],[Model No.]],$AV$2:$BD$100,7,TRUE)*Transaction[[#This Row],[Qty]]</f>
        <v>2.5380000000000003</v>
      </c>
      <c r="AS1328">
        <v>1102</v>
      </c>
      <c r="AT1328">
        <v>1004</v>
      </c>
    </row>
    <row r="1329" spans="36:46" x14ac:dyDescent="0.3">
      <c r="AJ1329">
        <v>10154</v>
      </c>
      <c r="AK1329" s="30">
        <v>43276</v>
      </c>
      <c r="AL1329" t="s">
        <v>938</v>
      </c>
      <c r="AM1329">
        <v>89</v>
      </c>
      <c r="AN1329" t="str">
        <f>VLOOKUP(Transaction[[#This Row],[Model No.]],$AV$2:$BD$100,2,TRUE)</f>
        <v>Piera Martellozzo Blu Giovello Moscato Puglia IGT Muscat</v>
      </c>
      <c r="AO1329" s="21">
        <f>VLOOKUP(Transaction[[#This Row],[Model No.]],$AV$2:$BD$100,6,TRUE)</f>
        <v>8.49</v>
      </c>
      <c r="AP1329" s="9">
        <v>2</v>
      </c>
      <c r="AQ1329" s="5">
        <f>Transaction[[#This Row],[Price]]*Transaction[[#This Row],[Qty]]</f>
        <v>16.98</v>
      </c>
      <c r="AR1329" s="5">
        <f>VLOOKUP(Transaction[[#This Row],[Model No.]],$AV$2:$BD$100,7,TRUE)*Transaction[[#This Row],[Qty]]</f>
        <v>1.6980000000000002</v>
      </c>
      <c r="AS1329">
        <v>1102</v>
      </c>
      <c r="AT1329">
        <v>1020</v>
      </c>
    </row>
    <row r="1330" spans="36:46" x14ac:dyDescent="0.3">
      <c r="AJ1330">
        <v>49803</v>
      </c>
      <c r="AK1330" s="30">
        <v>43277</v>
      </c>
      <c r="AL1330" t="s">
        <v>1054</v>
      </c>
      <c r="AM1330">
        <v>64</v>
      </c>
      <c r="AN1330" t="str">
        <f>VLOOKUP(Transaction[[#This Row],[Model No.]],$AV$2:$BD$100,2,TRUE)</f>
        <v>Maui Brewing Big Swell IPA - 6 Pack</v>
      </c>
      <c r="AO1330" s="21">
        <f>VLOOKUP(Transaction[[#This Row],[Model No.]],$AV$2:$BD$100,6,TRUE)</f>
        <v>12.99</v>
      </c>
      <c r="AP1330" s="9">
        <v>3</v>
      </c>
      <c r="AQ1330" s="5">
        <f>Transaction[[#This Row],[Price]]*Transaction[[#This Row],[Qty]]</f>
        <v>38.97</v>
      </c>
      <c r="AR1330" s="5">
        <f>VLOOKUP(Transaction[[#This Row],[Model No.]],$AV$2:$BD$100,7,TRUE)*Transaction[[#This Row],[Qty]]</f>
        <v>11.690999999999999</v>
      </c>
      <c r="AS1330">
        <v>1108</v>
      </c>
      <c r="AT1330">
        <v>1002</v>
      </c>
    </row>
    <row r="1331" spans="36:46" x14ac:dyDescent="0.3">
      <c r="AJ1331">
        <v>51376</v>
      </c>
      <c r="AK1331" s="30">
        <v>43280</v>
      </c>
      <c r="AL1331" t="s">
        <v>1170</v>
      </c>
      <c r="AM1331">
        <v>53</v>
      </c>
      <c r="AN1331" t="str">
        <f>VLOOKUP(Transaction[[#This Row],[Model No.]],$AV$2:$BD$100,2,TRUE)</f>
        <v>Ommegang Hennepin - 4 Pack</v>
      </c>
      <c r="AO1331" s="21">
        <f>VLOOKUP(Transaction[[#This Row],[Model No.]],$AV$2:$BD$100,6,TRUE)</f>
        <v>14.99</v>
      </c>
      <c r="AP1331" s="9">
        <v>1</v>
      </c>
      <c r="AQ1331" s="5">
        <f>Transaction[[#This Row],[Price]]*Transaction[[#This Row],[Qty]]</f>
        <v>14.99</v>
      </c>
      <c r="AR1331" s="5">
        <f>VLOOKUP(Transaction[[#This Row],[Model No.]],$AV$2:$BD$100,7,TRUE)*Transaction[[#This Row],[Qty]]</f>
        <v>4.4969999999999999</v>
      </c>
      <c r="AS1331">
        <v>1103</v>
      </c>
      <c r="AT1331">
        <v>1008</v>
      </c>
    </row>
    <row r="1332" spans="36:46" x14ac:dyDescent="0.3">
      <c r="AJ1332">
        <v>37043</v>
      </c>
      <c r="AK1332" s="30">
        <v>43281</v>
      </c>
      <c r="AL1332" t="s">
        <v>690</v>
      </c>
      <c r="AM1332">
        <v>94</v>
      </c>
      <c r="AN1332" t="str">
        <f>VLOOKUP(Transaction[[#This Row],[Model No.]],$AV$2:$BD$100,2,TRUE)</f>
        <v>Freixenet Blanc de Blancs Brut Cava Blend</v>
      </c>
      <c r="AO1332" s="21">
        <f>VLOOKUP(Transaction[[#This Row],[Model No.]],$AV$2:$BD$100,6,TRUE)</f>
        <v>7.49</v>
      </c>
      <c r="AP1332" s="9">
        <v>2</v>
      </c>
      <c r="AQ1332" s="5">
        <f>Transaction[[#This Row],[Price]]*Transaction[[#This Row],[Qty]]</f>
        <v>14.98</v>
      </c>
      <c r="AR1332" s="5">
        <f>VLOOKUP(Transaction[[#This Row],[Model No.]],$AV$2:$BD$100,7,TRUE)*Transaction[[#This Row],[Qty]]</f>
        <v>1.4980000000000002</v>
      </c>
      <c r="AS1332">
        <v>1098</v>
      </c>
      <c r="AT1332">
        <v>1006</v>
      </c>
    </row>
    <row r="1333" spans="36:46" x14ac:dyDescent="0.3">
      <c r="AJ1333">
        <v>46236</v>
      </c>
      <c r="AK1333" s="30">
        <v>43282</v>
      </c>
      <c r="AL1333" t="s">
        <v>1731</v>
      </c>
      <c r="AM1333">
        <v>32</v>
      </c>
      <c r="AN1333" t="str">
        <f>VLOOKUP(Transaction[[#This Row],[Model No.]],$AV$2:$BD$100,2,TRUE)</f>
        <v>Sugar Island Spiced Rum</v>
      </c>
      <c r="AO1333" s="21">
        <f>VLOOKUP(Transaction[[#This Row],[Model No.]],$AV$2:$BD$100,6,TRUE)</f>
        <v>21.99</v>
      </c>
      <c r="AP1333" s="9">
        <v>3</v>
      </c>
      <c r="AQ1333" s="5">
        <f>Transaction[[#This Row],[Price]]*Transaction[[#This Row],[Qty]]</f>
        <v>65.97</v>
      </c>
      <c r="AR1333" s="5">
        <f>VLOOKUP(Transaction[[#This Row],[Model No.]],$AV$2:$BD$100,7,TRUE)*Transaction[[#This Row],[Qty]]</f>
        <v>13.193999999999999</v>
      </c>
      <c r="AS1333">
        <v>1105</v>
      </c>
      <c r="AT1333">
        <v>1004</v>
      </c>
    </row>
    <row r="1334" spans="36:46" x14ac:dyDescent="0.3">
      <c r="AJ1334">
        <v>43733</v>
      </c>
      <c r="AK1334" s="30">
        <v>43284</v>
      </c>
      <c r="AL1334" t="s">
        <v>1395</v>
      </c>
      <c r="AM1334">
        <v>35</v>
      </c>
      <c r="AN1334" t="str">
        <f>VLOOKUP(Transaction[[#This Row],[Model No.]],$AV$2:$BD$100,2,TRUE)</f>
        <v>Troegenator Double Bock Can - 12 Pack</v>
      </c>
      <c r="AO1334" s="21">
        <f>VLOOKUP(Transaction[[#This Row],[Model No.]],$AV$2:$BD$100,6,TRUE)</f>
        <v>20.99</v>
      </c>
      <c r="AP1334" s="9">
        <v>2</v>
      </c>
      <c r="AQ1334" s="5">
        <f>Transaction[[#This Row],[Price]]*Transaction[[#This Row],[Qty]]</f>
        <v>41.98</v>
      </c>
      <c r="AR1334" s="5">
        <f>VLOOKUP(Transaction[[#This Row],[Model No.]],$AV$2:$BD$100,7,TRUE)*Transaction[[#This Row],[Qty]]</f>
        <v>12.593999999999999</v>
      </c>
      <c r="AS1334">
        <v>1104</v>
      </c>
      <c r="AT1334">
        <v>1019</v>
      </c>
    </row>
    <row r="1335" spans="36:46" x14ac:dyDescent="0.3">
      <c r="AJ1335">
        <v>15924</v>
      </c>
      <c r="AK1335" s="30">
        <v>43286</v>
      </c>
      <c r="AL1335" t="s">
        <v>1129</v>
      </c>
      <c r="AM1335">
        <v>29</v>
      </c>
      <c r="AN1335" t="str">
        <f>VLOOKUP(Transaction[[#This Row],[Model No.]],$AV$2:$BD$100,2,TRUE)</f>
        <v>SCHLAFLY STOUT BOUT SAMPLER   2/12 - 12 Pack</v>
      </c>
      <c r="AO1335" s="21">
        <f>VLOOKUP(Transaction[[#This Row],[Model No.]],$AV$2:$BD$100,6,TRUE)</f>
        <v>22.99</v>
      </c>
      <c r="AP1335" s="9">
        <v>3</v>
      </c>
      <c r="AQ1335" s="5">
        <f>Transaction[[#This Row],[Price]]*Transaction[[#This Row],[Qty]]</f>
        <v>68.97</v>
      </c>
      <c r="AR1335" s="5">
        <f>VLOOKUP(Transaction[[#This Row],[Model No.]],$AV$2:$BD$100,7,TRUE)*Transaction[[#This Row],[Qty]]</f>
        <v>20.690999999999999</v>
      </c>
      <c r="AS1335">
        <v>1107</v>
      </c>
      <c r="AT1335">
        <v>1016</v>
      </c>
    </row>
    <row r="1336" spans="36:46" x14ac:dyDescent="0.3">
      <c r="AJ1336">
        <v>76360</v>
      </c>
      <c r="AK1336" s="30">
        <v>43287</v>
      </c>
      <c r="AL1336" t="s">
        <v>1453</v>
      </c>
      <c r="AM1336">
        <v>15</v>
      </c>
      <c r="AN1336" t="str">
        <f>VLOOKUP(Transaction[[#This Row],[Model No.]],$AV$2:$BD$100,2,TRUE)</f>
        <v>Wild Turkey 101 Kentucky Straight Bourbon Whiskey</v>
      </c>
      <c r="AO1336" s="21">
        <f>VLOOKUP(Transaction[[#This Row],[Model No.]],$AV$2:$BD$100,6,TRUE)</f>
        <v>32.99</v>
      </c>
      <c r="AP1336" s="9">
        <v>1</v>
      </c>
      <c r="AQ1336" s="5">
        <f>Transaction[[#This Row],[Price]]*Transaction[[#This Row],[Qty]]</f>
        <v>32.99</v>
      </c>
      <c r="AR1336" s="5">
        <f>VLOOKUP(Transaction[[#This Row],[Model No.]],$AV$2:$BD$100,7,TRUE)*Transaction[[#This Row],[Qty]]</f>
        <v>6.5980000000000008</v>
      </c>
      <c r="AS1336">
        <v>1100</v>
      </c>
      <c r="AT1336">
        <v>1000</v>
      </c>
    </row>
    <row r="1337" spans="36:46" x14ac:dyDescent="0.3">
      <c r="AJ1337">
        <v>36565</v>
      </c>
      <c r="AK1337" s="30">
        <v>43287</v>
      </c>
      <c r="AL1337" t="s">
        <v>1745</v>
      </c>
      <c r="AM1337">
        <v>18</v>
      </c>
      <c r="AN1337" t="str">
        <f>VLOOKUP(Transaction[[#This Row],[Model No.]],$AV$2:$BD$100,2,TRUE)</f>
        <v>Twenty Grand Peach Vodka</v>
      </c>
      <c r="AO1337" s="21">
        <f>VLOOKUP(Transaction[[#This Row],[Model No.]],$AV$2:$BD$100,6,TRUE)</f>
        <v>30.99</v>
      </c>
      <c r="AP1337" s="9">
        <v>2</v>
      </c>
      <c r="AQ1337" s="5">
        <f>Transaction[[#This Row],[Price]]*Transaction[[#This Row],[Qty]]</f>
        <v>61.98</v>
      </c>
      <c r="AR1337" s="5">
        <f>VLOOKUP(Transaction[[#This Row],[Model No.]],$AV$2:$BD$100,7,TRUE)*Transaction[[#This Row],[Qty]]</f>
        <v>18.593999999999998</v>
      </c>
      <c r="AS1337">
        <v>1107</v>
      </c>
      <c r="AT1337">
        <v>1015</v>
      </c>
    </row>
    <row r="1338" spans="36:46" x14ac:dyDescent="0.3">
      <c r="AJ1338">
        <v>23083</v>
      </c>
      <c r="AK1338" s="30">
        <v>43288</v>
      </c>
      <c r="AL1338" t="s">
        <v>340</v>
      </c>
      <c r="AM1338">
        <v>50</v>
      </c>
      <c r="AN1338" t="str">
        <f>VLOOKUP(Transaction[[#This Row],[Model No.]],$AV$2:$BD$100,2,TRUE)</f>
        <v>CLOS DU BOIS ROSE</v>
      </c>
      <c r="AO1338" s="21">
        <f>VLOOKUP(Transaction[[#This Row],[Model No.]],$AV$2:$BD$100,6,TRUE)</f>
        <v>14.99</v>
      </c>
      <c r="AP1338" s="9">
        <v>2</v>
      </c>
      <c r="AQ1338" s="5">
        <f>Transaction[[#This Row],[Price]]*Transaction[[#This Row],[Qty]]</f>
        <v>29.98</v>
      </c>
      <c r="AR1338" s="5">
        <f>VLOOKUP(Transaction[[#This Row],[Model No.]],$AV$2:$BD$100,7,TRUE)*Transaction[[#This Row],[Qty]]</f>
        <v>11.992000000000001</v>
      </c>
      <c r="AS1338">
        <v>1103</v>
      </c>
      <c r="AT1338">
        <v>1003</v>
      </c>
    </row>
    <row r="1339" spans="36:46" x14ac:dyDescent="0.3">
      <c r="AJ1339">
        <v>66312</v>
      </c>
      <c r="AK1339" s="30">
        <v>43289</v>
      </c>
      <c r="AL1339" t="s">
        <v>1534</v>
      </c>
      <c r="AM1339">
        <v>96</v>
      </c>
      <c r="AN1339" t="str">
        <f>VLOOKUP(Transaction[[#This Row],[Model No.]],$AV$2:$BD$100,2,TRUE)</f>
        <v>Arbor Mist Blackberry Merlot</v>
      </c>
      <c r="AO1339" s="21">
        <f>VLOOKUP(Transaction[[#This Row],[Model No.]],$AV$2:$BD$100,6,TRUE)</f>
        <v>6.19</v>
      </c>
      <c r="AP1339" s="9">
        <v>2</v>
      </c>
      <c r="AQ1339" s="5">
        <f>Transaction[[#This Row],[Price]]*Transaction[[#This Row],[Qty]]</f>
        <v>12.38</v>
      </c>
      <c r="AR1339" s="5">
        <f>VLOOKUP(Transaction[[#This Row],[Model No.]],$AV$2:$BD$100,7,TRUE)*Transaction[[#This Row],[Qty]]</f>
        <v>1.2380000000000002</v>
      </c>
      <c r="AS1339">
        <v>1104</v>
      </c>
      <c r="AT1339">
        <v>1004</v>
      </c>
    </row>
    <row r="1340" spans="36:46" x14ac:dyDescent="0.3">
      <c r="AJ1340">
        <v>71921</v>
      </c>
      <c r="AK1340" s="30">
        <v>43292</v>
      </c>
      <c r="AL1340" t="s">
        <v>620</v>
      </c>
      <c r="AM1340">
        <v>64</v>
      </c>
      <c r="AN1340" t="str">
        <f>VLOOKUP(Transaction[[#This Row],[Model No.]],$AV$2:$BD$100,2,TRUE)</f>
        <v>Maui Brewing Big Swell IPA - 6 Pack</v>
      </c>
      <c r="AO1340" s="21">
        <f>VLOOKUP(Transaction[[#This Row],[Model No.]],$AV$2:$BD$100,6,TRUE)</f>
        <v>12.99</v>
      </c>
      <c r="AP1340" s="9">
        <v>5</v>
      </c>
      <c r="AQ1340" s="5">
        <f>Transaction[[#This Row],[Price]]*Transaction[[#This Row],[Qty]]</f>
        <v>64.95</v>
      </c>
      <c r="AR1340" s="5">
        <f>VLOOKUP(Transaction[[#This Row],[Model No.]],$AV$2:$BD$100,7,TRUE)*Transaction[[#This Row],[Qty]]</f>
        <v>19.484999999999999</v>
      </c>
      <c r="AS1340">
        <v>1099</v>
      </c>
      <c r="AT1340">
        <v>1014</v>
      </c>
    </row>
    <row r="1341" spans="36:46" x14ac:dyDescent="0.3">
      <c r="AJ1341">
        <v>77529</v>
      </c>
      <c r="AK1341" s="30">
        <v>43293</v>
      </c>
      <c r="AL1341" t="s">
        <v>1598</v>
      </c>
      <c r="AM1341">
        <v>26</v>
      </c>
      <c r="AN1341" t="str">
        <f>VLOOKUP(Transaction[[#This Row],[Model No.]],$AV$2:$BD$100,2,TRUE)</f>
        <v>Belhaven Scottish Stout - 4 Pack</v>
      </c>
      <c r="AO1341" s="21">
        <f>VLOOKUP(Transaction[[#This Row],[Model No.]],$AV$2:$BD$100,6,TRUE)</f>
        <v>23.99</v>
      </c>
      <c r="AP1341" s="9">
        <v>1</v>
      </c>
      <c r="AQ1341" s="5">
        <f>Transaction[[#This Row],[Price]]*Transaction[[#This Row],[Qty]]</f>
        <v>23.99</v>
      </c>
      <c r="AR1341" s="5">
        <f>VLOOKUP(Transaction[[#This Row],[Model No.]],$AV$2:$BD$100,7,TRUE)*Transaction[[#This Row],[Qty]]</f>
        <v>7.1969999999999992</v>
      </c>
      <c r="AS1341">
        <v>1102</v>
      </c>
      <c r="AT1341">
        <v>1008</v>
      </c>
    </row>
    <row r="1342" spans="36:46" x14ac:dyDescent="0.3">
      <c r="AJ1342">
        <v>76547</v>
      </c>
      <c r="AK1342" s="30">
        <v>43294</v>
      </c>
      <c r="AL1342" t="s">
        <v>377</v>
      </c>
      <c r="AM1342">
        <v>69</v>
      </c>
      <c r="AN1342" t="str">
        <f>VLOOKUP(Transaction[[#This Row],[Model No.]],$AV$2:$BD$100,2,TRUE)</f>
        <v>Castillo de Maluenda Vinas Viejas Punto y Coma Garnacha</v>
      </c>
      <c r="AO1342" s="21">
        <f>VLOOKUP(Transaction[[#This Row],[Model No.]],$AV$2:$BD$100,6,TRUE)</f>
        <v>12.99</v>
      </c>
      <c r="AP1342" s="9">
        <v>2</v>
      </c>
      <c r="AQ1342" s="5">
        <f>Transaction[[#This Row],[Price]]*Transaction[[#This Row],[Qty]]</f>
        <v>25.98</v>
      </c>
      <c r="AR1342" s="5">
        <f>VLOOKUP(Transaction[[#This Row],[Model No.]],$AV$2:$BD$100,7,TRUE)*Transaction[[#This Row],[Qty]]</f>
        <v>10.392000000000001</v>
      </c>
      <c r="AS1342">
        <v>1105</v>
      </c>
      <c r="AT1342">
        <v>1017</v>
      </c>
    </row>
    <row r="1343" spans="36:46" x14ac:dyDescent="0.3">
      <c r="AJ1343">
        <v>85131</v>
      </c>
      <c r="AK1343" s="30">
        <v>43295</v>
      </c>
      <c r="AL1343" t="s">
        <v>1483</v>
      </c>
      <c r="AM1343">
        <v>28</v>
      </c>
      <c r="AN1343" t="str">
        <f>VLOOKUP(Transaction[[#This Row],[Model No.]],$AV$2:$BD$100,2,TRUE)</f>
        <v>Quinta de Soalheiro Soalheiro Alvarinho</v>
      </c>
      <c r="AO1343" s="21">
        <f>VLOOKUP(Transaction[[#This Row],[Model No.]],$AV$2:$BD$100,6,TRUE)</f>
        <v>23.99</v>
      </c>
      <c r="AP1343" s="9">
        <v>4</v>
      </c>
      <c r="AQ1343" s="5">
        <f>Transaction[[#This Row],[Price]]*Transaction[[#This Row],[Qty]]</f>
        <v>95.96</v>
      </c>
      <c r="AR1343" s="5">
        <f>VLOOKUP(Transaction[[#This Row],[Model No.]],$AV$2:$BD$100,7,TRUE)*Transaction[[#This Row],[Qty]]</f>
        <v>38.384</v>
      </c>
      <c r="AS1343">
        <v>1102</v>
      </c>
      <c r="AT1343">
        <v>1014</v>
      </c>
    </row>
    <row r="1344" spans="36:46" x14ac:dyDescent="0.3">
      <c r="AJ1344">
        <v>89891</v>
      </c>
      <c r="AK1344" s="30">
        <v>43297</v>
      </c>
      <c r="AL1344" t="s">
        <v>505</v>
      </c>
      <c r="AM1344">
        <v>95</v>
      </c>
      <c r="AN1344" t="str">
        <f>VLOOKUP(Transaction[[#This Row],[Model No.]],$AV$2:$BD$100,2,TRUE)</f>
        <v>Kuromatsu Hakushika Chokara Extra Dry Sake</v>
      </c>
      <c r="AO1344" s="21">
        <f>VLOOKUP(Transaction[[#This Row],[Model No.]],$AV$2:$BD$100,6,TRUE)</f>
        <v>7.49</v>
      </c>
      <c r="AP1344" s="9">
        <v>5</v>
      </c>
      <c r="AQ1344" s="5">
        <f>Transaction[[#This Row],[Price]]*Transaction[[#This Row],[Qty]]</f>
        <v>37.450000000000003</v>
      </c>
      <c r="AR1344" s="5">
        <f>VLOOKUP(Transaction[[#This Row],[Model No.]],$AV$2:$BD$100,7,TRUE)*Transaction[[#This Row],[Qty]]</f>
        <v>3.7450000000000006</v>
      </c>
      <c r="AS1344">
        <v>1105</v>
      </c>
      <c r="AT1344">
        <v>1004</v>
      </c>
    </row>
    <row r="1345" spans="36:46" x14ac:dyDescent="0.3">
      <c r="AJ1345">
        <v>98938</v>
      </c>
      <c r="AK1345" s="30">
        <v>43298</v>
      </c>
      <c r="AL1345" t="s">
        <v>1695</v>
      </c>
      <c r="AM1345">
        <v>68</v>
      </c>
      <c r="AN1345" t="str">
        <f>VLOOKUP(Transaction[[#This Row],[Model No.]],$AV$2:$BD$100,2,TRUE)</f>
        <v>Conti Beretta Estate Bottled Friuli Grave Pinot Grigio</v>
      </c>
      <c r="AO1345" s="21">
        <f>VLOOKUP(Transaction[[#This Row],[Model No.]],$AV$2:$BD$100,6,TRUE)</f>
        <v>12.99</v>
      </c>
      <c r="AP1345" s="9">
        <v>4</v>
      </c>
      <c r="AQ1345" s="5">
        <f>Transaction[[#This Row],[Price]]*Transaction[[#This Row],[Qty]]</f>
        <v>51.96</v>
      </c>
      <c r="AR1345" s="5">
        <f>VLOOKUP(Transaction[[#This Row],[Model No.]],$AV$2:$BD$100,7,TRUE)*Transaction[[#This Row],[Qty]]</f>
        <v>5.1960000000000006</v>
      </c>
      <c r="AS1345">
        <v>1101</v>
      </c>
      <c r="AT1345">
        <v>1017</v>
      </c>
    </row>
    <row r="1346" spans="36:46" x14ac:dyDescent="0.3">
      <c r="AJ1346">
        <v>84404</v>
      </c>
      <c r="AK1346" s="30">
        <v>43299</v>
      </c>
      <c r="AL1346" t="s">
        <v>334</v>
      </c>
      <c r="AM1346">
        <v>22</v>
      </c>
      <c r="AN1346" t="str">
        <f>VLOOKUP(Transaction[[#This Row],[Model No.]],$AV$2:$BD$100,2,TRUE)</f>
        <v>Efe Raki Black Triple Distilled Liqueur</v>
      </c>
      <c r="AO1346" s="21">
        <f>VLOOKUP(Transaction[[#This Row],[Model No.]],$AV$2:$BD$100,6,TRUE)</f>
        <v>25.99</v>
      </c>
      <c r="AP1346" s="9">
        <v>3</v>
      </c>
      <c r="AQ1346" s="5">
        <f>Transaction[[#This Row],[Price]]*Transaction[[#This Row],[Qty]]</f>
        <v>77.97</v>
      </c>
      <c r="AR1346" s="5">
        <f>VLOOKUP(Transaction[[#This Row],[Model No.]],$AV$2:$BD$100,7,TRUE)*Transaction[[#This Row],[Qty]]</f>
        <v>23.390999999999998</v>
      </c>
      <c r="AS1346">
        <v>1101</v>
      </c>
      <c r="AT1346">
        <v>1019</v>
      </c>
    </row>
    <row r="1347" spans="36:46" x14ac:dyDescent="0.3">
      <c r="AJ1347">
        <v>78237</v>
      </c>
      <c r="AK1347" s="30">
        <v>43299</v>
      </c>
      <c r="AL1347" t="s">
        <v>1504</v>
      </c>
      <c r="AM1347">
        <v>64</v>
      </c>
      <c r="AN1347" t="str">
        <f>VLOOKUP(Transaction[[#This Row],[Model No.]],$AV$2:$BD$100,2,TRUE)</f>
        <v>Maui Brewing Big Swell IPA - 6 Pack</v>
      </c>
      <c r="AO1347" s="21">
        <f>VLOOKUP(Transaction[[#This Row],[Model No.]],$AV$2:$BD$100,6,TRUE)</f>
        <v>12.99</v>
      </c>
      <c r="AP1347" s="9">
        <v>2</v>
      </c>
      <c r="AQ1347" s="5">
        <f>Transaction[[#This Row],[Price]]*Transaction[[#This Row],[Qty]]</f>
        <v>25.98</v>
      </c>
      <c r="AR1347" s="5">
        <f>VLOOKUP(Transaction[[#This Row],[Model No.]],$AV$2:$BD$100,7,TRUE)*Transaction[[#This Row],[Qty]]</f>
        <v>7.7939999999999996</v>
      </c>
      <c r="AS1347">
        <v>1107</v>
      </c>
      <c r="AT1347">
        <v>1001</v>
      </c>
    </row>
    <row r="1348" spans="36:46" x14ac:dyDescent="0.3">
      <c r="AJ1348">
        <v>67058</v>
      </c>
      <c r="AK1348" s="30">
        <v>43300</v>
      </c>
      <c r="AL1348" t="s">
        <v>370</v>
      </c>
      <c r="AM1348">
        <v>23</v>
      </c>
      <c r="AN1348" t="str">
        <f>VLOOKUP(Transaction[[#This Row],[Model No.]],$AV$2:$BD$100,2,TRUE)</f>
        <v>Brinley Gold Shipwreck Mango Rum</v>
      </c>
      <c r="AO1348" s="21">
        <f>VLOOKUP(Transaction[[#This Row],[Model No.]],$AV$2:$BD$100,6,TRUE)</f>
        <v>25.99</v>
      </c>
      <c r="AP1348" s="9">
        <v>2</v>
      </c>
      <c r="AQ1348" s="5">
        <f>Transaction[[#This Row],[Price]]*Transaction[[#This Row],[Qty]]</f>
        <v>51.98</v>
      </c>
      <c r="AR1348" s="5">
        <f>VLOOKUP(Transaction[[#This Row],[Model No.]],$AV$2:$BD$100,7,TRUE)*Transaction[[#This Row],[Qty]]</f>
        <v>10.396000000000001</v>
      </c>
      <c r="AS1348">
        <v>1098</v>
      </c>
      <c r="AT1348">
        <v>1019</v>
      </c>
    </row>
    <row r="1349" spans="36:46" x14ac:dyDescent="0.3">
      <c r="AJ1349">
        <v>63136</v>
      </c>
      <c r="AK1349" s="30">
        <v>43302</v>
      </c>
      <c r="AL1349" t="s">
        <v>1550</v>
      </c>
      <c r="AM1349">
        <v>4</v>
      </c>
      <c r="AN1349" t="str">
        <f>VLOOKUP(Transaction[[#This Row],[Model No.]],$AV$2:$BD$100,2,TRUE)</f>
        <v>Stags' Leap Winery Cabernet Sauvignon</v>
      </c>
      <c r="AO1349" s="21">
        <f>VLOOKUP(Transaction[[#This Row],[Model No.]],$AV$2:$BD$100,6,TRUE)</f>
        <v>54.99</v>
      </c>
      <c r="AP1349" s="9">
        <v>5</v>
      </c>
      <c r="AQ1349" s="5">
        <f>Transaction[[#This Row],[Price]]*Transaction[[#This Row],[Qty]]</f>
        <v>274.95</v>
      </c>
      <c r="AR1349" s="5">
        <f>VLOOKUP(Transaction[[#This Row],[Model No.]],$AV$2:$BD$100,7,TRUE)*Transaction[[#This Row],[Qty]]</f>
        <v>27.495000000000005</v>
      </c>
      <c r="AS1349">
        <v>1102</v>
      </c>
      <c r="AT1349">
        <v>1010</v>
      </c>
    </row>
    <row r="1350" spans="36:46" x14ac:dyDescent="0.3">
      <c r="AJ1350">
        <v>99928</v>
      </c>
      <c r="AK1350" s="30">
        <v>43302</v>
      </c>
      <c r="AL1350" t="s">
        <v>741</v>
      </c>
      <c r="AM1350">
        <v>7</v>
      </c>
      <c r="AN1350" t="str">
        <f>VLOOKUP(Transaction[[#This Row],[Model No.]],$AV$2:$BD$100,2,TRUE)</f>
        <v>Glenkinchie Distillers Edition Single Malt Scotch Whisky</v>
      </c>
      <c r="AO1350" s="21">
        <f>VLOOKUP(Transaction[[#This Row],[Model No.]],$AV$2:$BD$100,6,TRUE)</f>
        <v>45.99</v>
      </c>
      <c r="AP1350" s="9">
        <v>2</v>
      </c>
      <c r="AQ1350" s="5">
        <f>Transaction[[#This Row],[Price]]*Transaction[[#This Row],[Qty]]</f>
        <v>91.98</v>
      </c>
      <c r="AR1350" s="5">
        <f>VLOOKUP(Transaction[[#This Row],[Model No.]],$AV$2:$BD$100,7,TRUE)*Transaction[[#This Row],[Qty]]</f>
        <v>27.594000000000001</v>
      </c>
      <c r="AS1350">
        <v>1098</v>
      </c>
      <c r="AT1350">
        <v>1009</v>
      </c>
    </row>
    <row r="1351" spans="36:46" x14ac:dyDescent="0.3">
      <c r="AJ1351">
        <v>32755</v>
      </c>
      <c r="AK1351" s="30">
        <v>43304</v>
      </c>
      <c r="AL1351" t="s">
        <v>1623</v>
      </c>
      <c r="AM1351">
        <v>1</v>
      </c>
      <c r="AN1351" t="str">
        <f>VLOOKUP(Transaction[[#This Row],[Model No.]],$AV$2:$BD$100,2,TRUE)</f>
        <v>Forager's Keep 26 Year Old Single Malt Scotch Whisky</v>
      </c>
      <c r="AO1351" s="21">
        <f>VLOOKUP(Transaction[[#This Row],[Model No.]],$AV$2:$BD$100,6,TRUE)</f>
        <v>325.99</v>
      </c>
      <c r="AP1351" s="9">
        <v>1</v>
      </c>
      <c r="AQ1351" s="5">
        <f>Transaction[[#This Row],[Price]]*Transaction[[#This Row],[Qty]]</f>
        <v>325.99</v>
      </c>
      <c r="AR1351" s="5">
        <f>VLOOKUP(Transaction[[#This Row],[Model No.]],$AV$2:$BD$100,7,TRUE)*Transaction[[#This Row],[Qty]]</f>
        <v>97.796999999999997</v>
      </c>
      <c r="AS1351">
        <v>1101</v>
      </c>
      <c r="AT1351">
        <v>1001</v>
      </c>
    </row>
    <row r="1352" spans="36:46" x14ac:dyDescent="0.3">
      <c r="AJ1352">
        <v>39851</v>
      </c>
      <c r="AK1352" s="30">
        <v>43304</v>
      </c>
      <c r="AL1352" t="s">
        <v>756</v>
      </c>
      <c r="AM1352">
        <v>13</v>
      </c>
      <c r="AN1352" t="str">
        <f>VLOOKUP(Transaction[[#This Row],[Model No.]],$AV$2:$BD$100,2,TRUE)</f>
        <v>Luxardo Maraschino Liqueur</v>
      </c>
      <c r="AO1352" s="21">
        <f>VLOOKUP(Transaction[[#This Row],[Model No.]],$AV$2:$BD$100,6,TRUE)</f>
        <v>36.99</v>
      </c>
      <c r="AP1352" s="9">
        <v>1</v>
      </c>
      <c r="AQ1352" s="5">
        <f>Transaction[[#This Row],[Price]]*Transaction[[#This Row],[Qty]]</f>
        <v>36.99</v>
      </c>
      <c r="AR1352" s="5">
        <f>VLOOKUP(Transaction[[#This Row],[Model No.]],$AV$2:$BD$100,7,TRUE)*Transaction[[#This Row],[Qty]]</f>
        <v>11.097</v>
      </c>
      <c r="AS1352">
        <v>1106</v>
      </c>
      <c r="AT1352">
        <v>1013</v>
      </c>
    </row>
    <row r="1353" spans="36:46" x14ac:dyDescent="0.3">
      <c r="AJ1353">
        <v>70244</v>
      </c>
      <c r="AK1353" s="30">
        <v>43307</v>
      </c>
      <c r="AL1353" t="s">
        <v>1603</v>
      </c>
      <c r="AM1353">
        <v>34</v>
      </c>
      <c r="AN1353" t="str">
        <f>VLOOKUP(Transaction[[#This Row],[Model No.]],$AV$2:$BD$100,2,TRUE)</f>
        <v>The Eyrie Vineyards Pinot Gris</v>
      </c>
      <c r="AO1353" s="21">
        <f>VLOOKUP(Transaction[[#This Row],[Model No.]],$AV$2:$BD$100,6,TRUE)</f>
        <v>20.99</v>
      </c>
      <c r="AP1353" s="9">
        <v>4</v>
      </c>
      <c r="AQ1353" s="5">
        <f>Transaction[[#This Row],[Price]]*Transaction[[#This Row],[Qty]]</f>
        <v>83.96</v>
      </c>
      <c r="AR1353" s="5">
        <f>VLOOKUP(Transaction[[#This Row],[Model No.]],$AV$2:$BD$100,7,TRUE)*Transaction[[#This Row],[Qty]]</f>
        <v>16.791999999999998</v>
      </c>
      <c r="AS1353">
        <v>1105</v>
      </c>
      <c r="AT1353">
        <v>1009</v>
      </c>
    </row>
    <row r="1354" spans="36:46" x14ac:dyDescent="0.3">
      <c r="AJ1354">
        <v>64633</v>
      </c>
      <c r="AK1354" s="30">
        <v>43307</v>
      </c>
      <c r="AL1354" t="s">
        <v>1618</v>
      </c>
      <c r="AM1354">
        <v>74</v>
      </c>
      <c r="AN1354" t="str">
        <f>VLOOKUP(Transaction[[#This Row],[Model No.]],$AV$2:$BD$100,2,TRUE)</f>
        <v>UINTA PALE ALE NR - 6 Pack</v>
      </c>
      <c r="AO1354" s="21">
        <f>VLOOKUP(Transaction[[#This Row],[Model No.]],$AV$2:$BD$100,6,TRUE)</f>
        <v>11.99</v>
      </c>
      <c r="AP1354" s="9">
        <v>4</v>
      </c>
      <c r="AQ1354" s="5">
        <f>Transaction[[#This Row],[Price]]*Transaction[[#This Row],[Qty]]</f>
        <v>47.96</v>
      </c>
      <c r="AR1354" s="5">
        <f>VLOOKUP(Transaction[[#This Row],[Model No.]],$AV$2:$BD$100,7,TRUE)*Transaction[[#This Row],[Qty]]</f>
        <v>14.388</v>
      </c>
      <c r="AS1354">
        <v>1099</v>
      </c>
      <c r="AT1354">
        <v>1004</v>
      </c>
    </row>
    <row r="1355" spans="36:46" x14ac:dyDescent="0.3">
      <c r="AJ1355">
        <v>91132</v>
      </c>
      <c r="AK1355" s="30">
        <v>43313</v>
      </c>
      <c r="AL1355" t="s">
        <v>1796</v>
      </c>
      <c r="AM1355">
        <v>18</v>
      </c>
      <c r="AN1355" t="str">
        <f>VLOOKUP(Transaction[[#This Row],[Model No.]],$AV$2:$BD$100,2,TRUE)</f>
        <v>Twenty Grand Peach Vodka</v>
      </c>
      <c r="AO1355" s="21">
        <f>VLOOKUP(Transaction[[#This Row],[Model No.]],$AV$2:$BD$100,6,TRUE)</f>
        <v>30.99</v>
      </c>
      <c r="AP1355" s="9">
        <v>5</v>
      </c>
      <c r="AQ1355" s="5">
        <f>Transaction[[#This Row],[Price]]*Transaction[[#This Row],[Qty]]</f>
        <v>154.94999999999999</v>
      </c>
      <c r="AR1355" s="5">
        <f>VLOOKUP(Transaction[[#This Row],[Model No.]],$AV$2:$BD$100,7,TRUE)*Transaction[[#This Row],[Qty]]</f>
        <v>46.484999999999992</v>
      </c>
      <c r="AS1355">
        <v>1107</v>
      </c>
      <c r="AT1355">
        <v>1000</v>
      </c>
    </row>
    <row r="1356" spans="36:46" x14ac:dyDescent="0.3">
      <c r="AJ1356">
        <v>57562</v>
      </c>
      <c r="AK1356" s="30">
        <v>43313</v>
      </c>
      <c r="AL1356" t="s">
        <v>1566</v>
      </c>
      <c r="AM1356">
        <v>80</v>
      </c>
      <c r="AN1356" t="str">
        <f>VLOOKUP(Transaction[[#This Row],[Model No.]],$AV$2:$BD$100,2,TRUE)</f>
        <v>Evolution Craft Stalker Hefeweizen - 6 Pack</v>
      </c>
      <c r="AO1356" s="21">
        <f>VLOOKUP(Transaction[[#This Row],[Model No.]],$AV$2:$BD$100,6,TRUE)</f>
        <v>10.99</v>
      </c>
      <c r="AP1356" s="9">
        <v>4</v>
      </c>
      <c r="AQ1356" s="5">
        <f>Transaction[[#This Row],[Price]]*Transaction[[#This Row],[Qty]]</f>
        <v>43.96</v>
      </c>
      <c r="AR1356" s="5">
        <f>VLOOKUP(Transaction[[#This Row],[Model No.]],$AV$2:$BD$100,7,TRUE)*Transaction[[#This Row],[Qty]]</f>
        <v>13.188000000000001</v>
      </c>
      <c r="AS1356">
        <v>1099</v>
      </c>
      <c r="AT1356">
        <v>1016</v>
      </c>
    </row>
    <row r="1357" spans="36:46" x14ac:dyDescent="0.3">
      <c r="AJ1357">
        <v>61701</v>
      </c>
      <c r="AK1357" s="30">
        <v>43315</v>
      </c>
      <c r="AL1357" t="s">
        <v>675</v>
      </c>
      <c r="AM1357">
        <v>10</v>
      </c>
      <c r="AN1357" t="str">
        <f>VLOOKUP(Transaction[[#This Row],[Model No.]],$AV$2:$BD$100,2,TRUE)</f>
        <v>Hum Botanical Spirit Liqueur</v>
      </c>
      <c r="AO1357" s="21">
        <f>VLOOKUP(Transaction[[#This Row],[Model No.]],$AV$2:$BD$100,6,TRUE)</f>
        <v>41.99</v>
      </c>
      <c r="AP1357" s="9">
        <v>2</v>
      </c>
      <c r="AQ1357" s="5">
        <f>Transaction[[#This Row],[Price]]*Transaction[[#This Row],[Qty]]</f>
        <v>83.98</v>
      </c>
      <c r="AR1357" s="5">
        <f>VLOOKUP(Transaction[[#This Row],[Model No.]],$AV$2:$BD$100,7,TRUE)*Transaction[[#This Row],[Qty]]</f>
        <v>25.193999999999999</v>
      </c>
      <c r="AS1357">
        <v>1100</v>
      </c>
      <c r="AT1357">
        <v>1007</v>
      </c>
    </row>
    <row r="1358" spans="36:46" x14ac:dyDescent="0.3">
      <c r="AJ1358">
        <v>32180</v>
      </c>
      <c r="AK1358" s="30">
        <v>43316</v>
      </c>
      <c r="AL1358" t="s">
        <v>879</v>
      </c>
      <c r="AM1358">
        <v>34</v>
      </c>
      <c r="AN1358" t="str">
        <f>VLOOKUP(Transaction[[#This Row],[Model No.]],$AV$2:$BD$100,2,TRUE)</f>
        <v>The Eyrie Vineyards Pinot Gris</v>
      </c>
      <c r="AO1358" s="21">
        <f>VLOOKUP(Transaction[[#This Row],[Model No.]],$AV$2:$BD$100,6,TRUE)</f>
        <v>20.99</v>
      </c>
      <c r="AP1358" s="9">
        <v>1</v>
      </c>
      <c r="AQ1358" s="5">
        <f>Transaction[[#This Row],[Price]]*Transaction[[#This Row],[Qty]]</f>
        <v>20.99</v>
      </c>
      <c r="AR1358" s="5">
        <f>VLOOKUP(Transaction[[#This Row],[Model No.]],$AV$2:$BD$100,7,TRUE)*Transaction[[#This Row],[Qty]]</f>
        <v>4.1979999999999995</v>
      </c>
      <c r="AS1358">
        <v>1100</v>
      </c>
      <c r="AT1358">
        <v>1017</v>
      </c>
    </row>
    <row r="1359" spans="36:46" x14ac:dyDescent="0.3">
      <c r="AJ1359">
        <v>22855</v>
      </c>
      <c r="AK1359" s="30">
        <v>43316</v>
      </c>
      <c r="AL1359" t="s">
        <v>1853</v>
      </c>
      <c r="AM1359">
        <v>70</v>
      </c>
      <c r="AN1359" t="str">
        <f>VLOOKUP(Transaction[[#This Row],[Model No.]],$AV$2:$BD$100,2,TRUE)</f>
        <v>Matchbook Rose Estate Bottled Tempranillo</v>
      </c>
      <c r="AO1359" s="21">
        <f>VLOOKUP(Transaction[[#This Row],[Model No.]],$AV$2:$BD$100,6,TRUE)</f>
        <v>12.69</v>
      </c>
      <c r="AP1359" s="9">
        <v>4</v>
      </c>
      <c r="AQ1359" s="5">
        <f>Transaction[[#This Row],[Price]]*Transaction[[#This Row],[Qty]]</f>
        <v>50.76</v>
      </c>
      <c r="AR1359" s="5">
        <f>VLOOKUP(Transaction[[#This Row],[Model No.]],$AV$2:$BD$100,7,TRUE)*Transaction[[#This Row],[Qty]]</f>
        <v>5.0760000000000005</v>
      </c>
      <c r="AS1359">
        <v>1098</v>
      </c>
      <c r="AT1359">
        <v>1000</v>
      </c>
    </row>
    <row r="1360" spans="36:46" x14ac:dyDescent="0.3">
      <c r="AJ1360">
        <v>68737</v>
      </c>
      <c r="AK1360" s="30">
        <v>43318</v>
      </c>
      <c r="AL1360" t="s">
        <v>598</v>
      </c>
      <c r="AM1360">
        <v>88</v>
      </c>
      <c r="AN1360" t="str">
        <f>VLOOKUP(Transaction[[#This Row],[Model No.]],$AV$2:$BD$100,2,TRUE)</f>
        <v>Ermita de Petrer Tinto Organic Alicante</v>
      </c>
      <c r="AO1360" s="21">
        <f>VLOOKUP(Transaction[[#This Row],[Model No.]],$AV$2:$BD$100,6,TRUE)</f>
        <v>8.99</v>
      </c>
      <c r="AP1360" s="9">
        <v>2</v>
      </c>
      <c r="AQ1360" s="5">
        <f>Transaction[[#This Row],[Price]]*Transaction[[#This Row],[Qty]]</f>
        <v>17.98</v>
      </c>
      <c r="AR1360" s="5">
        <f>VLOOKUP(Transaction[[#This Row],[Model No.]],$AV$2:$BD$100,7,TRUE)*Transaction[[#This Row],[Qty]]</f>
        <v>7.1920000000000002</v>
      </c>
      <c r="AS1360">
        <v>1106</v>
      </c>
      <c r="AT1360">
        <v>1010</v>
      </c>
    </row>
    <row r="1361" spans="36:46" x14ac:dyDescent="0.3">
      <c r="AJ1361">
        <v>36459</v>
      </c>
      <c r="AK1361" s="30">
        <v>43319</v>
      </c>
      <c r="AL1361" t="s">
        <v>484</v>
      </c>
      <c r="AM1361">
        <v>36</v>
      </c>
      <c r="AN1361" t="str">
        <f>VLOOKUP(Transaction[[#This Row],[Model No.]],$AV$2:$BD$100,2,TRUE)</f>
        <v>Patricius Reserve Dry Furmint</v>
      </c>
      <c r="AO1361" s="21">
        <f>VLOOKUP(Transaction[[#This Row],[Model No.]],$AV$2:$BD$100,6,TRUE)</f>
        <v>20.99</v>
      </c>
      <c r="AP1361" s="9">
        <v>5</v>
      </c>
      <c r="AQ1361" s="5">
        <f>Transaction[[#This Row],[Price]]*Transaction[[#This Row],[Qty]]</f>
        <v>104.94999999999999</v>
      </c>
      <c r="AR1361" s="5">
        <f>VLOOKUP(Transaction[[#This Row],[Model No.]],$AV$2:$BD$100,7,TRUE)*Transaction[[#This Row],[Qty]]</f>
        <v>10.494999999999999</v>
      </c>
      <c r="AS1361">
        <v>1104</v>
      </c>
      <c r="AT1361">
        <v>1020</v>
      </c>
    </row>
    <row r="1362" spans="36:46" x14ac:dyDescent="0.3">
      <c r="AJ1362">
        <v>64248</v>
      </c>
      <c r="AK1362" s="30">
        <v>43319</v>
      </c>
      <c r="AL1362" t="s">
        <v>1123</v>
      </c>
      <c r="AM1362">
        <v>35</v>
      </c>
      <c r="AN1362" t="str">
        <f>VLOOKUP(Transaction[[#This Row],[Model No.]],$AV$2:$BD$100,2,TRUE)</f>
        <v>Troegenator Double Bock Can - 12 Pack</v>
      </c>
      <c r="AO1362" s="21">
        <f>VLOOKUP(Transaction[[#This Row],[Model No.]],$AV$2:$BD$100,6,TRUE)</f>
        <v>20.99</v>
      </c>
      <c r="AP1362" s="9">
        <v>3</v>
      </c>
      <c r="AQ1362" s="5">
        <f>Transaction[[#This Row],[Price]]*Transaction[[#This Row],[Qty]]</f>
        <v>62.97</v>
      </c>
      <c r="AR1362" s="5">
        <f>VLOOKUP(Transaction[[#This Row],[Model No.]],$AV$2:$BD$100,7,TRUE)*Transaction[[#This Row],[Qty]]</f>
        <v>18.890999999999998</v>
      </c>
      <c r="AS1362">
        <v>1104</v>
      </c>
      <c r="AT1362">
        <v>1016</v>
      </c>
    </row>
    <row r="1363" spans="36:46" x14ac:dyDescent="0.3">
      <c r="AJ1363">
        <v>93859</v>
      </c>
      <c r="AK1363" s="30">
        <v>43321</v>
      </c>
      <c r="AL1363" t="s">
        <v>916</v>
      </c>
      <c r="AM1363">
        <v>52</v>
      </c>
      <c r="AN1363" t="str">
        <f>VLOOKUP(Transaction[[#This Row],[Model No.]],$AV$2:$BD$100,2,TRUE)</f>
        <v>Finca Las Moras Barrel Select Cabernet Sauvignon</v>
      </c>
      <c r="AO1363" s="21">
        <f>VLOOKUP(Transaction[[#This Row],[Model No.]],$AV$2:$BD$100,6,TRUE)</f>
        <v>14.99</v>
      </c>
      <c r="AP1363" s="9">
        <v>3</v>
      </c>
      <c r="AQ1363" s="5">
        <f>Transaction[[#This Row],[Price]]*Transaction[[#This Row],[Qty]]</f>
        <v>44.97</v>
      </c>
      <c r="AR1363" s="5">
        <f>VLOOKUP(Transaction[[#This Row],[Model No.]],$AV$2:$BD$100,7,TRUE)*Transaction[[#This Row],[Qty]]</f>
        <v>4.4969999999999999</v>
      </c>
      <c r="AS1363">
        <v>1099</v>
      </c>
      <c r="AT1363">
        <v>1001</v>
      </c>
    </row>
    <row r="1364" spans="36:46" x14ac:dyDescent="0.3">
      <c r="AJ1364">
        <v>45288</v>
      </c>
      <c r="AK1364" s="30">
        <v>43324</v>
      </c>
      <c r="AL1364" t="s">
        <v>1038</v>
      </c>
      <c r="AM1364">
        <v>33</v>
      </c>
      <c r="AN1364" t="str">
        <f>VLOOKUP(Transaction[[#This Row],[Model No.]],$AV$2:$BD$100,2,TRUE)</f>
        <v>Saracina Unoaked Chardonnay</v>
      </c>
      <c r="AO1364" s="21">
        <f>VLOOKUP(Transaction[[#This Row],[Model No.]],$AV$2:$BD$100,6,TRUE)</f>
        <v>20.99</v>
      </c>
      <c r="AP1364" s="9">
        <v>1</v>
      </c>
      <c r="AQ1364" s="5">
        <f>Transaction[[#This Row],[Price]]*Transaction[[#This Row],[Qty]]</f>
        <v>20.99</v>
      </c>
      <c r="AR1364" s="5">
        <f>VLOOKUP(Transaction[[#This Row],[Model No.]],$AV$2:$BD$100,7,TRUE)*Transaction[[#This Row],[Qty]]</f>
        <v>4.1979999999999995</v>
      </c>
      <c r="AS1364">
        <v>1098</v>
      </c>
      <c r="AT1364">
        <v>1006</v>
      </c>
    </row>
    <row r="1365" spans="36:46" x14ac:dyDescent="0.3">
      <c r="AJ1365">
        <v>69161</v>
      </c>
      <c r="AK1365" s="30">
        <v>43324</v>
      </c>
      <c r="AL1365" t="s">
        <v>1914</v>
      </c>
      <c r="AM1365">
        <v>61</v>
      </c>
      <c r="AN1365" t="str">
        <f>VLOOKUP(Transaction[[#This Row],[Model No.]],$AV$2:$BD$100,2,TRUE)</f>
        <v>He'Brew Genesis Dry Hopped Session Ale - 6 Pack</v>
      </c>
      <c r="AO1365" s="21">
        <f>VLOOKUP(Transaction[[#This Row],[Model No.]],$AV$2:$BD$100,6,TRUE)</f>
        <v>12.99</v>
      </c>
      <c r="AP1365" s="9">
        <v>2</v>
      </c>
      <c r="AQ1365" s="5">
        <f>Transaction[[#This Row],[Price]]*Transaction[[#This Row],[Qty]]</f>
        <v>25.98</v>
      </c>
      <c r="AR1365" s="5">
        <f>VLOOKUP(Transaction[[#This Row],[Model No.]],$AV$2:$BD$100,7,TRUE)*Transaction[[#This Row],[Qty]]</f>
        <v>7.7939999999999996</v>
      </c>
      <c r="AS1365">
        <v>1100</v>
      </c>
      <c r="AT1365">
        <v>1001</v>
      </c>
    </row>
    <row r="1366" spans="36:46" x14ac:dyDescent="0.3">
      <c r="AJ1366">
        <v>49296</v>
      </c>
      <c r="AK1366" s="30">
        <v>43326</v>
      </c>
      <c r="AL1366" t="s">
        <v>815</v>
      </c>
      <c r="AM1366">
        <v>9</v>
      </c>
      <c r="AN1366" t="str">
        <f>VLOOKUP(Transaction[[#This Row],[Model No.]],$AV$2:$BD$100,2,TRUE)</f>
        <v>Ass Kisser Double IPA - 12 Pack</v>
      </c>
      <c r="AO1366" s="21">
        <f>VLOOKUP(Transaction[[#This Row],[Model No.]],$AV$2:$BD$100,6,TRUE)</f>
        <v>43.99</v>
      </c>
      <c r="AP1366" s="9">
        <v>5</v>
      </c>
      <c r="AQ1366" s="5">
        <f>Transaction[[#This Row],[Price]]*Transaction[[#This Row],[Qty]]</f>
        <v>219.95000000000002</v>
      </c>
      <c r="AR1366" s="5">
        <f>VLOOKUP(Transaction[[#This Row],[Model No.]],$AV$2:$BD$100,7,TRUE)*Transaction[[#This Row],[Qty]]</f>
        <v>65.984999999999999</v>
      </c>
      <c r="AS1366">
        <v>1108</v>
      </c>
      <c r="AT1366">
        <v>1011</v>
      </c>
    </row>
    <row r="1367" spans="36:46" x14ac:dyDescent="0.3">
      <c r="AJ1367">
        <v>55023</v>
      </c>
      <c r="AK1367" s="30">
        <v>43326</v>
      </c>
      <c r="AL1367" t="s">
        <v>1211</v>
      </c>
      <c r="AM1367">
        <v>53</v>
      </c>
      <c r="AN1367" t="str">
        <f>VLOOKUP(Transaction[[#This Row],[Model No.]],$AV$2:$BD$100,2,TRUE)</f>
        <v>Ommegang Hennepin - 4 Pack</v>
      </c>
      <c r="AO1367" s="21">
        <f>VLOOKUP(Transaction[[#This Row],[Model No.]],$AV$2:$BD$100,6,TRUE)</f>
        <v>14.99</v>
      </c>
      <c r="AP1367" s="9">
        <v>2</v>
      </c>
      <c r="AQ1367" s="5">
        <f>Transaction[[#This Row],[Price]]*Transaction[[#This Row],[Qty]]</f>
        <v>29.98</v>
      </c>
      <c r="AR1367" s="5">
        <f>VLOOKUP(Transaction[[#This Row],[Model No.]],$AV$2:$BD$100,7,TRUE)*Transaction[[#This Row],[Qty]]</f>
        <v>8.9939999999999998</v>
      </c>
      <c r="AS1367">
        <v>1104</v>
      </c>
      <c r="AT1367">
        <v>1003</v>
      </c>
    </row>
    <row r="1368" spans="36:46" x14ac:dyDescent="0.3">
      <c r="AJ1368">
        <v>24659</v>
      </c>
      <c r="AK1368" s="30">
        <v>43328</v>
      </c>
      <c r="AL1368" t="s">
        <v>496</v>
      </c>
      <c r="AM1368">
        <v>10</v>
      </c>
      <c r="AN1368" t="str">
        <f>VLOOKUP(Transaction[[#This Row],[Model No.]],$AV$2:$BD$100,2,TRUE)</f>
        <v>Hum Botanical Spirit Liqueur</v>
      </c>
      <c r="AO1368" s="21">
        <f>VLOOKUP(Transaction[[#This Row],[Model No.]],$AV$2:$BD$100,6,TRUE)</f>
        <v>41.99</v>
      </c>
      <c r="AP1368" s="9">
        <v>4</v>
      </c>
      <c r="AQ1368" s="5">
        <f>Transaction[[#This Row],[Price]]*Transaction[[#This Row],[Qty]]</f>
        <v>167.96</v>
      </c>
      <c r="AR1368" s="5">
        <f>VLOOKUP(Transaction[[#This Row],[Model No.]],$AV$2:$BD$100,7,TRUE)*Transaction[[#This Row],[Qty]]</f>
        <v>50.387999999999998</v>
      </c>
      <c r="AS1368">
        <v>1100</v>
      </c>
      <c r="AT1368">
        <v>1008</v>
      </c>
    </row>
    <row r="1369" spans="36:46" x14ac:dyDescent="0.3">
      <c r="AJ1369">
        <v>96354</v>
      </c>
      <c r="AK1369" s="30">
        <v>43328</v>
      </c>
      <c r="AL1369" t="s">
        <v>745</v>
      </c>
      <c r="AM1369">
        <v>25</v>
      </c>
      <c r="AN1369" t="str">
        <f>VLOOKUP(Transaction[[#This Row],[Model No.]],$AV$2:$BD$100,2,TRUE)</f>
        <v>ICEHOUSE 4/6 LNNR - 24 Pack</v>
      </c>
      <c r="AO1369" s="21">
        <f>VLOOKUP(Transaction[[#This Row],[Model No.]],$AV$2:$BD$100,6,TRUE)</f>
        <v>23.99</v>
      </c>
      <c r="AP1369" s="9">
        <v>4</v>
      </c>
      <c r="AQ1369" s="5">
        <f>Transaction[[#This Row],[Price]]*Transaction[[#This Row],[Qty]]</f>
        <v>95.96</v>
      </c>
      <c r="AR1369" s="5">
        <f>VLOOKUP(Transaction[[#This Row],[Model No.]],$AV$2:$BD$100,7,TRUE)*Transaction[[#This Row],[Qty]]</f>
        <v>28.787999999999997</v>
      </c>
      <c r="AS1369">
        <v>1098</v>
      </c>
      <c r="AT1369">
        <v>1015</v>
      </c>
    </row>
    <row r="1370" spans="36:46" x14ac:dyDescent="0.3">
      <c r="AJ1370">
        <v>48108</v>
      </c>
      <c r="AK1370" s="30">
        <v>43328</v>
      </c>
      <c r="AL1370" t="s">
        <v>1888</v>
      </c>
      <c r="AM1370">
        <v>28</v>
      </c>
      <c r="AN1370" t="str">
        <f>VLOOKUP(Transaction[[#This Row],[Model No.]],$AV$2:$BD$100,2,TRUE)</f>
        <v>Quinta de Soalheiro Soalheiro Alvarinho</v>
      </c>
      <c r="AO1370" s="21">
        <f>VLOOKUP(Transaction[[#This Row],[Model No.]],$AV$2:$BD$100,6,TRUE)</f>
        <v>23.99</v>
      </c>
      <c r="AP1370" s="9">
        <v>4</v>
      </c>
      <c r="AQ1370" s="5">
        <f>Transaction[[#This Row],[Price]]*Transaction[[#This Row],[Qty]]</f>
        <v>95.96</v>
      </c>
      <c r="AR1370" s="5">
        <f>VLOOKUP(Transaction[[#This Row],[Model No.]],$AV$2:$BD$100,7,TRUE)*Transaction[[#This Row],[Qty]]</f>
        <v>38.384</v>
      </c>
      <c r="AS1370">
        <v>1101</v>
      </c>
      <c r="AT1370">
        <v>1000</v>
      </c>
    </row>
    <row r="1371" spans="36:46" x14ac:dyDescent="0.3">
      <c r="AJ1371">
        <v>78468</v>
      </c>
      <c r="AK1371" s="30">
        <v>43328</v>
      </c>
      <c r="AL1371" t="s">
        <v>460</v>
      </c>
      <c r="AM1371">
        <v>60</v>
      </c>
      <c r="AN1371" t="str">
        <f>VLOOKUP(Transaction[[#This Row],[Model No.]],$AV$2:$BD$100,2,TRUE)</f>
        <v>La Catrina Cabernet Sauvignon</v>
      </c>
      <c r="AO1371" s="21">
        <f>VLOOKUP(Transaction[[#This Row],[Model No.]],$AV$2:$BD$100,6,TRUE)</f>
        <v>12.99</v>
      </c>
      <c r="AP1371" s="9">
        <v>5</v>
      </c>
      <c r="AQ1371" s="5">
        <f>Transaction[[#This Row],[Price]]*Transaction[[#This Row],[Qty]]</f>
        <v>64.95</v>
      </c>
      <c r="AR1371" s="5">
        <f>VLOOKUP(Transaction[[#This Row],[Model No.]],$AV$2:$BD$100,7,TRUE)*Transaction[[#This Row],[Qty]]</f>
        <v>6.495000000000001</v>
      </c>
      <c r="AS1371">
        <v>1098</v>
      </c>
      <c r="AT1371">
        <v>1004</v>
      </c>
    </row>
    <row r="1372" spans="36:46" x14ac:dyDescent="0.3">
      <c r="AJ1372">
        <v>65224</v>
      </c>
      <c r="AK1372" s="30">
        <v>43328</v>
      </c>
      <c r="AL1372" t="s">
        <v>1061</v>
      </c>
      <c r="AM1372">
        <v>84</v>
      </c>
      <c r="AN1372" t="str">
        <f>VLOOKUP(Transaction[[#This Row],[Model No.]],$AV$2:$BD$100,2,TRUE)</f>
        <v>UV Blue Raspberry Vodka</v>
      </c>
      <c r="AO1372" s="21">
        <f>VLOOKUP(Transaction[[#This Row],[Model No.]],$AV$2:$BD$100,6,TRUE)</f>
        <v>10.49</v>
      </c>
      <c r="AP1372" s="9">
        <v>4</v>
      </c>
      <c r="AQ1372" s="5">
        <f>Transaction[[#This Row],[Price]]*Transaction[[#This Row],[Qty]]</f>
        <v>41.96</v>
      </c>
      <c r="AR1372" s="5">
        <f>VLOOKUP(Transaction[[#This Row],[Model No.]],$AV$2:$BD$100,7,TRUE)*Transaction[[#This Row],[Qty]]</f>
        <v>12.587999999999999</v>
      </c>
      <c r="AS1372">
        <v>1104</v>
      </c>
      <c r="AT1372">
        <v>1015</v>
      </c>
    </row>
    <row r="1373" spans="36:46" x14ac:dyDescent="0.3">
      <c r="AJ1373">
        <v>57355</v>
      </c>
      <c r="AK1373" s="30">
        <v>43331</v>
      </c>
      <c r="AL1373" t="s">
        <v>1340</v>
      </c>
      <c r="AM1373">
        <v>12</v>
      </c>
      <c r="AN1373" t="str">
        <f>VLOOKUP(Transaction[[#This Row],[Model No.]],$AV$2:$BD$100,2,TRUE)</f>
        <v>Cuvaison Pinot Noir</v>
      </c>
      <c r="AO1373" s="21">
        <f>VLOOKUP(Transaction[[#This Row],[Model No.]],$AV$2:$BD$100,6,TRUE)</f>
        <v>36.99</v>
      </c>
      <c r="AP1373" s="9">
        <v>3</v>
      </c>
      <c r="AQ1373" s="5">
        <f>Transaction[[#This Row],[Price]]*Transaction[[#This Row],[Qty]]</f>
        <v>110.97</v>
      </c>
      <c r="AR1373" s="5">
        <f>VLOOKUP(Transaction[[#This Row],[Model No.]],$AV$2:$BD$100,7,TRUE)*Transaction[[#This Row],[Qty]]</f>
        <v>11.097000000000001</v>
      </c>
      <c r="AS1373">
        <v>1103</v>
      </c>
      <c r="AT1373">
        <v>1015</v>
      </c>
    </row>
    <row r="1374" spans="36:46" x14ac:dyDescent="0.3">
      <c r="AJ1374">
        <v>42408</v>
      </c>
      <c r="AK1374" s="30">
        <v>43331</v>
      </c>
      <c r="AL1374" t="s">
        <v>777</v>
      </c>
      <c r="AM1374">
        <v>43</v>
      </c>
      <c r="AN1374" t="str">
        <f>VLOOKUP(Transaction[[#This Row],[Model No.]],$AV$2:$BD$100,2,TRUE)</f>
        <v>Green Flash Le Freak - 4 Pack</v>
      </c>
      <c r="AO1374" s="21">
        <f>VLOOKUP(Transaction[[#This Row],[Model No.]],$AV$2:$BD$100,6,TRUE)</f>
        <v>16.989999999999998</v>
      </c>
      <c r="AP1374" s="9">
        <v>1</v>
      </c>
      <c r="AQ1374" s="5">
        <f>Transaction[[#This Row],[Price]]*Transaction[[#This Row],[Qty]]</f>
        <v>16.989999999999998</v>
      </c>
      <c r="AR1374" s="5">
        <f>VLOOKUP(Transaction[[#This Row],[Model No.]],$AV$2:$BD$100,7,TRUE)*Transaction[[#This Row],[Qty]]</f>
        <v>5.0969999999999995</v>
      </c>
      <c r="AS1374">
        <v>1101</v>
      </c>
      <c r="AT1374">
        <v>1015</v>
      </c>
    </row>
    <row r="1375" spans="36:46" x14ac:dyDescent="0.3">
      <c r="AJ1375">
        <v>12318</v>
      </c>
      <c r="AK1375" s="30">
        <v>43334</v>
      </c>
      <c r="AL1375" t="s">
        <v>1285</v>
      </c>
      <c r="AM1375">
        <v>45</v>
      </c>
      <c r="AN1375" t="str">
        <f>VLOOKUP(Transaction[[#This Row],[Model No.]],$AV$2:$BD$100,2,TRUE)</f>
        <v>Sixpoint Resin - 6 Pack</v>
      </c>
      <c r="AO1375" s="21">
        <f>VLOOKUP(Transaction[[#This Row],[Model No.]],$AV$2:$BD$100,6,TRUE)</f>
        <v>15.99</v>
      </c>
      <c r="AP1375" s="9">
        <v>3</v>
      </c>
      <c r="AQ1375" s="5">
        <f>Transaction[[#This Row],[Price]]*Transaction[[#This Row],[Qty]]</f>
        <v>47.97</v>
      </c>
      <c r="AR1375" s="5">
        <f>VLOOKUP(Transaction[[#This Row],[Model No.]],$AV$2:$BD$100,7,TRUE)*Transaction[[#This Row],[Qty]]</f>
        <v>14.390999999999998</v>
      </c>
      <c r="AS1375">
        <v>1107</v>
      </c>
      <c r="AT1375">
        <v>1001</v>
      </c>
    </row>
    <row r="1376" spans="36:46" x14ac:dyDescent="0.3">
      <c r="AJ1376">
        <v>43982</v>
      </c>
      <c r="AK1376" s="30">
        <v>43336</v>
      </c>
      <c r="AL1376" t="s">
        <v>808</v>
      </c>
      <c r="AM1376">
        <v>20</v>
      </c>
      <c r="AN1376" t="str">
        <f>VLOOKUP(Transaction[[#This Row],[Model No.]],$AV$2:$BD$100,2,TRUE)</f>
        <v>Stonewall American Rum</v>
      </c>
      <c r="AO1376" s="21">
        <f>VLOOKUP(Transaction[[#This Row],[Model No.]],$AV$2:$BD$100,6,TRUE)</f>
        <v>27.99</v>
      </c>
      <c r="AP1376" s="9">
        <v>2</v>
      </c>
      <c r="AQ1376" s="5">
        <f>Transaction[[#This Row],[Price]]*Transaction[[#This Row],[Qty]]</f>
        <v>55.98</v>
      </c>
      <c r="AR1376" s="5">
        <f>VLOOKUP(Transaction[[#This Row],[Model No.]],$AV$2:$BD$100,7,TRUE)*Transaction[[#This Row],[Qty]]</f>
        <v>11.196</v>
      </c>
      <c r="AS1376">
        <v>1104</v>
      </c>
      <c r="AT1376">
        <v>1021</v>
      </c>
    </row>
    <row r="1377" spans="36:46" x14ac:dyDescent="0.3">
      <c r="AJ1377">
        <v>83427</v>
      </c>
      <c r="AK1377" s="30">
        <v>43336</v>
      </c>
      <c r="AL1377" t="s">
        <v>391</v>
      </c>
      <c r="AM1377">
        <v>33</v>
      </c>
      <c r="AN1377" t="str">
        <f>VLOOKUP(Transaction[[#This Row],[Model No.]],$AV$2:$BD$100,2,TRUE)</f>
        <v>Saracina Unoaked Chardonnay</v>
      </c>
      <c r="AO1377" s="21">
        <f>VLOOKUP(Transaction[[#This Row],[Model No.]],$AV$2:$BD$100,6,TRUE)</f>
        <v>20.99</v>
      </c>
      <c r="AP1377" s="9">
        <v>4</v>
      </c>
      <c r="AQ1377" s="5">
        <f>Transaction[[#This Row],[Price]]*Transaction[[#This Row],[Qty]]</f>
        <v>83.96</v>
      </c>
      <c r="AR1377" s="5">
        <f>VLOOKUP(Transaction[[#This Row],[Model No.]],$AV$2:$BD$100,7,TRUE)*Transaction[[#This Row],[Qty]]</f>
        <v>16.791999999999998</v>
      </c>
      <c r="AS1377">
        <v>1100</v>
      </c>
      <c r="AT1377">
        <v>1015</v>
      </c>
    </row>
    <row r="1378" spans="36:46" x14ac:dyDescent="0.3">
      <c r="AJ1378">
        <v>85102</v>
      </c>
      <c r="AK1378" s="30">
        <v>43338</v>
      </c>
      <c r="AL1378" t="s">
        <v>344</v>
      </c>
      <c r="AM1378">
        <v>3</v>
      </c>
      <c r="AN1378" t="str">
        <f>VLOOKUP(Transaction[[#This Row],[Model No.]],$AV$2:$BD$100,2,TRUE)</f>
        <v>Compass Box Orangerie Scotch Whisky</v>
      </c>
      <c r="AO1378" s="21">
        <f>VLOOKUP(Transaction[[#This Row],[Model No.]],$AV$2:$BD$100,6,TRUE)</f>
        <v>56.99</v>
      </c>
      <c r="AP1378" s="9">
        <v>4</v>
      </c>
      <c r="AQ1378" s="5">
        <f>Transaction[[#This Row],[Price]]*Transaction[[#This Row],[Qty]]</f>
        <v>227.96</v>
      </c>
      <c r="AR1378" s="5">
        <f>VLOOKUP(Transaction[[#This Row],[Model No.]],$AV$2:$BD$100,7,TRUE)*Transaction[[#This Row],[Qty]]</f>
        <v>68.388000000000005</v>
      </c>
      <c r="AS1378">
        <v>1103</v>
      </c>
      <c r="AT1378">
        <v>1016</v>
      </c>
    </row>
    <row r="1379" spans="36:46" x14ac:dyDescent="0.3">
      <c r="AJ1379">
        <v>51452</v>
      </c>
      <c r="AK1379" s="30">
        <v>43338</v>
      </c>
      <c r="AL1379" t="s">
        <v>1884</v>
      </c>
      <c r="AM1379">
        <v>42</v>
      </c>
      <c r="AN1379" t="str">
        <f>VLOOKUP(Transaction[[#This Row],[Model No.]],$AV$2:$BD$100,2,TRUE)</f>
        <v>Francis Ford Coppola Sofia Brut Rose Pinot Noir</v>
      </c>
      <c r="AO1379" s="21">
        <f>VLOOKUP(Transaction[[#This Row],[Model No.]],$AV$2:$BD$100,6,TRUE)</f>
        <v>16.989999999999998</v>
      </c>
      <c r="AP1379" s="9">
        <v>2</v>
      </c>
      <c r="AQ1379" s="5">
        <f>Transaction[[#This Row],[Price]]*Transaction[[#This Row],[Qty]]</f>
        <v>33.979999999999997</v>
      </c>
      <c r="AR1379" s="5">
        <f>VLOOKUP(Transaction[[#This Row],[Model No.]],$AV$2:$BD$100,7,TRUE)*Transaction[[#This Row],[Qty]]</f>
        <v>13.591999999999999</v>
      </c>
      <c r="AS1379">
        <v>1100</v>
      </c>
      <c r="AT1379">
        <v>1016</v>
      </c>
    </row>
    <row r="1380" spans="36:46" x14ac:dyDescent="0.3">
      <c r="AJ1380">
        <v>84903</v>
      </c>
      <c r="AK1380" s="30">
        <v>43340</v>
      </c>
      <c r="AL1380" t="s">
        <v>359</v>
      </c>
      <c r="AM1380">
        <v>11</v>
      </c>
      <c r="AN1380" t="str">
        <f>VLOOKUP(Transaction[[#This Row],[Model No.]],$AV$2:$BD$100,2,TRUE)</f>
        <v>Kurant 1852 Crystal Limited Edition Vodka</v>
      </c>
      <c r="AO1380" s="21">
        <f>VLOOKUP(Transaction[[#This Row],[Model No.]],$AV$2:$BD$100,6,TRUE)</f>
        <v>40.99</v>
      </c>
      <c r="AP1380" s="9">
        <v>5</v>
      </c>
      <c r="AQ1380" s="5">
        <f>Transaction[[#This Row],[Price]]*Transaction[[#This Row],[Qty]]</f>
        <v>204.95000000000002</v>
      </c>
      <c r="AR1380" s="5">
        <f>VLOOKUP(Transaction[[#This Row],[Model No.]],$AV$2:$BD$100,7,TRUE)*Transaction[[#This Row],[Qty]]</f>
        <v>61.484999999999999</v>
      </c>
      <c r="AS1380">
        <v>1098</v>
      </c>
      <c r="AT1380">
        <v>1010</v>
      </c>
    </row>
    <row r="1381" spans="36:46" x14ac:dyDescent="0.3">
      <c r="AJ1381">
        <v>85096</v>
      </c>
      <c r="AK1381" s="30">
        <v>43341</v>
      </c>
      <c r="AL1381" t="s">
        <v>1004</v>
      </c>
      <c r="AM1381">
        <v>39</v>
      </c>
      <c r="AN1381" t="str">
        <f>VLOOKUP(Transaction[[#This Row],[Model No.]],$AV$2:$BD$100,2,TRUE)</f>
        <v>Moorhouse's English Owd Ale - 4 Pack</v>
      </c>
      <c r="AO1381" s="21">
        <f>VLOOKUP(Transaction[[#This Row],[Model No.]],$AV$2:$BD$100,6,TRUE)</f>
        <v>18.989999999999998</v>
      </c>
      <c r="AP1381" s="9">
        <v>5</v>
      </c>
      <c r="AQ1381" s="5">
        <f>Transaction[[#This Row],[Price]]*Transaction[[#This Row],[Qty]]</f>
        <v>94.949999999999989</v>
      </c>
      <c r="AR1381" s="5">
        <f>VLOOKUP(Transaction[[#This Row],[Model No.]],$AV$2:$BD$100,7,TRUE)*Transaction[[#This Row],[Qty]]</f>
        <v>28.484999999999996</v>
      </c>
      <c r="AS1381">
        <v>1100</v>
      </c>
      <c r="AT1381">
        <v>1007</v>
      </c>
    </row>
    <row r="1382" spans="36:46" x14ac:dyDescent="0.3">
      <c r="AJ1382">
        <v>22670</v>
      </c>
      <c r="AK1382" s="30">
        <v>43343</v>
      </c>
      <c r="AL1382" t="s">
        <v>1893</v>
      </c>
      <c r="AM1382">
        <v>5</v>
      </c>
      <c r="AN1382" t="str">
        <f>VLOOKUP(Transaction[[#This Row],[Model No.]],$AV$2:$BD$100,2,TRUE)</f>
        <v>Old Forester 1897 Bottled in Bond Kentucky Straight Bourbon Whisky</v>
      </c>
      <c r="AO1382" s="21">
        <f>VLOOKUP(Transaction[[#This Row],[Model No.]],$AV$2:$BD$100,6,TRUE)</f>
        <v>46.99</v>
      </c>
      <c r="AP1382" s="9">
        <v>5</v>
      </c>
      <c r="AQ1382" s="5">
        <f>Transaction[[#This Row],[Price]]*Transaction[[#This Row],[Qty]]</f>
        <v>234.95000000000002</v>
      </c>
      <c r="AR1382" s="5">
        <f>VLOOKUP(Transaction[[#This Row],[Model No.]],$AV$2:$BD$100,7,TRUE)*Transaction[[#This Row],[Qty]]</f>
        <v>46.990000000000009</v>
      </c>
      <c r="AS1382">
        <v>1103</v>
      </c>
      <c r="AT1382">
        <v>1008</v>
      </c>
    </row>
    <row r="1383" spans="36:46" x14ac:dyDescent="0.3">
      <c r="AJ1383">
        <v>86626</v>
      </c>
      <c r="AK1383" s="30">
        <v>43344</v>
      </c>
      <c r="AL1383" t="s">
        <v>839</v>
      </c>
      <c r="AM1383">
        <v>30</v>
      </c>
      <c r="AN1383" t="str">
        <f>VLOOKUP(Transaction[[#This Row],[Model No.]],$AV$2:$BD$100,2,TRUE)</f>
        <v>Kahlua Cinnamon Spice Liqueur</v>
      </c>
      <c r="AO1383" s="21">
        <f>VLOOKUP(Transaction[[#This Row],[Model No.]],$AV$2:$BD$100,6,TRUE)</f>
        <v>22.99</v>
      </c>
      <c r="AP1383" s="9">
        <v>3</v>
      </c>
      <c r="AQ1383" s="5">
        <f>Transaction[[#This Row],[Price]]*Transaction[[#This Row],[Qty]]</f>
        <v>68.97</v>
      </c>
      <c r="AR1383" s="5">
        <f>VLOOKUP(Transaction[[#This Row],[Model No.]],$AV$2:$BD$100,7,TRUE)*Transaction[[#This Row],[Qty]]</f>
        <v>20.690999999999999</v>
      </c>
      <c r="AS1383">
        <v>1106</v>
      </c>
      <c r="AT1383">
        <v>1020</v>
      </c>
    </row>
    <row r="1384" spans="36:46" x14ac:dyDescent="0.3">
      <c r="AJ1384">
        <v>97637</v>
      </c>
      <c r="AK1384" s="30">
        <v>43345</v>
      </c>
      <c r="AL1384" t="s">
        <v>920</v>
      </c>
      <c r="AM1384">
        <v>38</v>
      </c>
      <c r="AN1384" t="str">
        <f>VLOOKUP(Transaction[[#This Row],[Model No.]],$AV$2:$BD$100,2,TRUE)</f>
        <v>CiROC Red Berry Vodka</v>
      </c>
      <c r="AO1384" s="21">
        <f>VLOOKUP(Transaction[[#This Row],[Model No.]],$AV$2:$BD$100,6,TRUE)</f>
        <v>19.989999999999998</v>
      </c>
      <c r="AP1384" s="9">
        <v>3</v>
      </c>
      <c r="AQ1384" s="5">
        <f>Transaction[[#This Row],[Price]]*Transaction[[#This Row],[Qty]]</f>
        <v>59.97</v>
      </c>
      <c r="AR1384" s="5">
        <f>VLOOKUP(Transaction[[#This Row],[Model No.]],$AV$2:$BD$100,7,TRUE)*Transaction[[#This Row],[Qty]]</f>
        <v>17.990999999999996</v>
      </c>
      <c r="AS1384">
        <v>1108</v>
      </c>
      <c r="AT1384">
        <v>1017</v>
      </c>
    </row>
    <row r="1385" spans="36:46" x14ac:dyDescent="0.3">
      <c r="AJ1385">
        <v>58785</v>
      </c>
      <c r="AK1385" s="30">
        <v>43345</v>
      </c>
      <c r="AL1385" t="s">
        <v>1355</v>
      </c>
      <c r="AM1385">
        <v>94</v>
      </c>
      <c r="AN1385" t="str">
        <f>VLOOKUP(Transaction[[#This Row],[Model No.]],$AV$2:$BD$100,2,TRUE)</f>
        <v>Freixenet Blanc de Blancs Brut Cava Blend</v>
      </c>
      <c r="AO1385" s="21">
        <f>VLOOKUP(Transaction[[#This Row],[Model No.]],$AV$2:$BD$100,6,TRUE)</f>
        <v>7.49</v>
      </c>
      <c r="AP1385" s="9">
        <v>3</v>
      </c>
      <c r="AQ1385" s="5">
        <f>Transaction[[#This Row],[Price]]*Transaction[[#This Row],[Qty]]</f>
        <v>22.47</v>
      </c>
      <c r="AR1385" s="5">
        <f>VLOOKUP(Transaction[[#This Row],[Model No.]],$AV$2:$BD$100,7,TRUE)*Transaction[[#This Row],[Qty]]</f>
        <v>2.2470000000000003</v>
      </c>
      <c r="AS1385">
        <v>1104</v>
      </c>
      <c r="AT1385">
        <v>1019</v>
      </c>
    </row>
    <row r="1386" spans="36:46" x14ac:dyDescent="0.3">
      <c r="AJ1386">
        <v>86696</v>
      </c>
      <c r="AK1386" s="30">
        <v>43346</v>
      </c>
      <c r="AL1386" t="s">
        <v>651</v>
      </c>
      <c r="AM1386">
        <v>14</v>
      </c>
      <c r="AN1386" t="str">
        <f>VLOOKUP(Transaction[[#This Row],[Model No.]],$AV$2:$BD$100,2,TRUE)</f>
        <v>Walter Hansel Winery The Estate Vineyards Chardonnay</v>
      </c>
      <c r="AO1386" s="21">
        <f>VLOOKUP(Transaction[[#This Row],[Model No.]],$AV$2:$BD$100,6,TRUE)</f>
        <v>34.99</v>
      </c>
      <c r="AP1386" s="9">
        <v>3</v>
      </c>
      <c r="AQ1386" s="5">
        <f>Transaction[[#This Row],[Price]]*Transaction[[#This Row],[Qty]]</f>
        <v>104.97</v>
      </c>
      <c r="AR1386" s="5">
        <f>VLOOKUP(Transaction[[#This Row],[Model No.]],$AV$2:$BD$100,7,TRUE)*Transaction[[#This Row],[Qty]]</f>
        <v>20.994000000000003</v>
      </c>
      <c r="AS1386">
        <v>1105</v>
      </c>
      <c r="AT1386">
        <v>1015</v>
      </c>
    </row>
    <row r="1387" spans="36:46" x14ac:dyDescent="0.3">
      <c r="AJ1387">
        <v>55613</v>
      </c>
      <c r="AK1387" s="30">
        <v>43346</v>
      </c>
      <c r="AL1387" t="s">
        <v>1753</v>
      </c>
      <c r="AM1387">
        <v>51</v>
      </c>
      <c r="AN1387" t="str">
        <f>VLOOKUP(Transaction[[#This Row],[Model No.]],$AV$2:$BD$100,2,TRUE)</f>
        <v>Waterbrook Cabernet Sauvignon</v>
      </c>
      <c r="AO1387" s="21">
        <f>VLOOKUP(Transaction[[#This Row],[Model No.]],$AV$2:$BD$100,6,TRUE)</f>
        <v>14.99</v>
      </c>
      <c r="AP1387" s="9">
        <v>5</v>
      </c>
      <c r="AQ1387" s="5">
        <f>Transaction[[#This Row],[Price]]*Transaction[[#This Row],[Qty]]</f>
        <v>74.95</v>
      </c>
      <c r="AR1387" s="5">
        <f>VLOOKUP(Transaction[[#This Row],[Model No.]],$AV$2:$BD$100,7,TRUE)*Transaction[[#This Row],[Qty]]</f>
        <v>7.495000000000001</v>
      </c>
      <c r="AS1387">
        <v>1098</v>
      </c>
      <c r="AT1387">
        <v>1000</v>
      </c>
    </row>
    <row r="1388" spans="36:46" x14ac:dyDescent="0.3">
      <c r="AJ1388">
        <v>73724</v>
      </c>
      <c r="AK1388" s="30">
        <v>43347</v>
      </c>
      <c r="AL1388" t="s">
        <v>1391</v>
      </c>
      <c r="AM1388">
        <v>58</v>
      </c>
      <c r="AN1388" t="str">
        <f>VLOOKUP(Transaction[[#This Row],[Model No.]],$AV$2:$BD$100,2,TRUE)</f>
        <v>Smirnoff Mango Vodka</v>
      </c>
      <c r="AO1388" s="21">
        <f>VLOOKUP(Transaction[[#This Row],[Model No.]],$AV$2:$BD$100,6,TRUE)</f>
        <v>13.49</v>
      </c>
      <c r="AP1388" s="9">
        <v>5</v>
      </c>
      <c r="AQ1388" s="5">
        <f>Transaction[[#This Row],[Price]]*Transaction[[#This Row],[Qty]]</f>
        <v>67.45</v>
      </c>
      <c r="AR1388" s="5">
        <f>VLOOKUP(Transaction[[#This Row],[Model No.]],$AV$2:$BD$100,7,TRUE)*Transaction[[#This Row],[Qty]]</f>
        <v>20.234999999999999</v>
      </c>
      <c r="AS1388">
        <v>1100</v>
      </c>
      <c r="AT1388">
        <v>1001</v>
      </c>
    </row>
    <row r="1389" spans="36:46" x14ac:dyDescent="0.3">
      <c r="AJ1389">
        <v>67050</v>
      </c>
      <c r="AK1389" s="30">
        <v>43347</v>
      </c>
      <c r="AL1389" t="s">
        <v>791</v>
      </c>
      <c r="AM1389">
        <v>80</v>
      </c>
      <c r="AN1389" t="str">
        <f>VLOOKUP(Transaction[[#This Row],[Model No.]],$AV$2:$BD$100,2,TRUE)</f>
        <v>Evolution Craft Stalker Hefeweizen - 6 Pack</v>
      </c>
      <c r="AO1389" s="21">
        <f>VLOOKUP(Transaction[[#This Row],[Model No.]],$AV$2:$BD$100,6,TRUE)</f>
        <v>10.99</v>
      </c>
      <c r="AP1389" s="9">
        <v>3</v>
      </c>
      <c r="AQ1389" s="5">
        <f>Transaction[[#This Row],[Price]]*Transaction[[#This Row],[Qty]]</f>
        <v>32.97</v>
      </c>
      <c r="AR1389" s="5">
        <f>VLOOKUP(Transaction[[#This Row],[Model No.]],$AV$2:$BD$100,7,TRUE)*Transaction[[#This Row],[Qty]]</f>
        <v>9.891</v>
      </c>
      <c r="AS1389">
        <v>1107</v>
      </c>
      <c r="AT1389">
        <v>1004</v>
      </c>
    </row>
    <row r="1390" spans="36:46" x14ac:dyDescent="0.3">
      <c r="AJ1390">
        <v>63705</v>
      </c>
      <c r="AK1390" s="30">
        <v>43348</v>
      </c>
      <c r="AL1390" t="s">
        <v>864</v>
      </c>
      <c r="AM1390">
        <v>86</v>
      </c>
      <c r="AN1390" t="str">
        <f>VLOOKUP(Transaction[[#This Row],[Model No.]],$AV$2:$BD$100,2,TRUE)</f>
        <v>Bully Hill Vineyards Love My Goat Baco Noir</v>
      </c>
      <c r="AO1390" s="21">
        <f>VLOOKUP(Transaction[[#This Row],[Model No.]],$AV$2:$BD$100,6,TRUE)</f>
        <v>9.49</v>
      </c>
      <c r="AP1390" s="9">
        <v>2</v>
      </c>
      <c r="AQ1390" s="5">
        <f>Transaction[[#This Row],[Price]]*Transaction[[#This Row],[Qty]]</f>
        <v>18.98</v>
      </c>
      <c r="AR1390" s="5">
        <f>VLOOKUP(Transaction[[#This Row],[Model No.]],$AV$2:$BD$100,7,TRUE)*Transaction[[#This Row],[Qty]]</f>
        <v>1.8980000000000001</v>
      </c>
      <c r="AS1390">
        <v>1100</v>
      </c>
      <c r="AT1390">
        <v>1021</v>
      </c>
    </row>
    <row r="1391" spans="36:46" x14ac:dyDescent="0.3">
      <c r="AJ1391">
        <v>36549</v>
      </c>
      <c r="AK1391" s="30">
        <v>43351</v>
      </c>
      <c r="AL1391" t="s">
        <v>1882</v>
      </c>
      <c r="AM1391">
        <v>40</v>
      </c>
      <c r="AN1391" t="str">
        <f>VLOOKUP(Transaction[[#This Row],[Model No.]],$AV$2:$BD$100,2,TRUE)</f>
        <v>Takara Can Chu Hi JPop Grapefruit - 6 Pack</v>
      </c>
      <c r="AO1391" s="21">
        <f>VLOOKUP(Transaction[[#This Row],[Model No.]],$AV$2:$BD$100,6,TRUE)</f>
        <v>17.989999999999998</v>
      </c>
      <c r="AP1391" s="9">
        <v>1</v>
      </c>
      <c r="AQ1391" s="5">
        <f>Transaction[[#This Row],[Price]]*Transaction[[#This Row],[Qty]]</f>
        <v>17.989999999999998</v>
      </c>
      <c r="AR1391" s="5">
        <f>VLOOKUP(Transaction[[#This Row],[Model No.]],$AV$2:$BD$100,7,TRUE)*Transaction[[#This Row],[Qty]]</f>
        <v>5.3969999999999994</v>
      </c>
      <c r="AS1391">
        <v>1101</v>
      </c>
      <c r="AT1391">
        <v>1011</v>
      </c>
    </row>
    <row r="1392" spans="36:46" x14ac:dyDescent="0.3">
      <c r="AJ1392">
        <v>52631</v>
      </c>
      <c r="AK1392" s="30">
        <v>43351</v>
      </c>
      <c r="AL1392" t="s">
        <v>1110</v>
      </c>
      <c r="AM1392">
        <v>48</v>
      </c>
      <c r="AN1392" t="str">
        <f>VLOOKUP(Transaction[[#This Row],[Model No.]],$AV$2:$BD$100,2,TRUE)</f>
        <v>CH TOUR D'AURON</v>
      </c>
      <c r="AO1392" s="21">
        <f>VLOOKUP(Transaction[[#This Row],[Model No.]],$AV$2:$BD$100,6,TRUE)</f>
        <v>15.99</v>
      </c>
      <c r="AP1392" s="9">
        <v>5</v>
      </c>
      <c r="AQ1392" s="5">
        <f>Transaction[[#This Row],[Price]]*Transaction[[#This Row],[Qty]]</f>
        <v>79.95</v>
      </c>
      <c r="AR1392" s="5">
        <f>VLOOKUP(Transaction[[#This Row],[Model No.]],$AV$2:$BD$100,7,TRUE)*Transaction[[#This Row],[Qty]]</f>
        <v>31.980000000000004</v>
      </c>
      <c r="AS1392">
        <v>1102</v>
      </c>
      <c r="AT1392">
        <v>1000</v>
      </c>
    </row>
    <row r="1393" spans="36:46" x14ac:dyDescent="0.3">
      <c r="AJ1393">
        <v>73401</v>
      </c>
      <c r="AK1393" s="30">
        <v>43354</v>
      </c>
      <c r="AL1393" t="s">
        <v>1013</v>
      </c>
      <c r="AM1393">
        <v>33</v>
      </c>
      <c r="AN1393" t="str">
        <f>VLOOKUP(Transaction[[#This Row],[Model No.]],$AV$2:$BD$100,2,TRUE)</f>
        <v>Saracina Unoaked Chardonnay</v>
      </c>
      <c r="AO1393" s="21">
        <f>VLOOKUP(Transaction[[#This Row],[Model No.]],$AV$2:$BD$100,6,TRUE)</f>
        <v>20.99</v>
      </c>
      <c r="AP1393" s="9">
        <v>2</v>
      </c>
      <c r="AQ1393" s="5">
        <f>Transaction[[#This Row],[Price]]*Transaction[[#This Row],[Qty]]</f>
        <v>41.98</v>
      </c>
      <c r="AR1393" s="5">
        <f>VLOOKUP(Transaction[[#This Row],[Model No.]],$AV$2:$BD$100,7,TRUE)*Transaction[[#This Row],[Qty]]</f>
        <v>8.395999999999999</v>
      </c>
      <c r="AS1393">
        <v>1103</v>
      </c>
      <c r="AT1393">
        <v>1002</v>
      </c>
    </row>
    <row r="1394" spans="36:46" x14ac:dyDescent="0.3">
      <c r="AJ1394">
        <v>64710</v>
      </c>
      <c r="AK1394" s="30">
        <v>43354</v>
      </c>
      <c r="AL1394" t="s">
        <v>1870</v>
      </c>
      <c r="AM1394">
        <v>58</v>
      </c>
      <c r="AN1394" t="str">
        <f>VLOOKUP(Transaction[[#This Row],[Model No.]],$AV$2:$BD$100,2,TRUE)</f>
        <v>Smirnoff Mango Vodka</v>
      </c>
      <c r="AO1394" s="21">
        <f>VLOOKUP(Transaction[[#This Row],[Model No.]],$AV$2:$BD$100,6,TRUE)</f>
        <v>13.49</v>
      </c>
      <c r="AP1394" s="9">
        <v>4</v>
      </c>
      <c r="AQ1394" s="5">
        <f>Transaction[[#This Row],[Price]]*Transaction[[#This Row],[Qty]]</f>
        <v>53.96</v>
      </c>
      <c r="AR1394" s="5">
        <f>VLOOKUP(Transaction[[#This Row],[Model No.]],$AV$2:$BD$100,7,TRUE)*Transaction[[#This Row],[Qty]]</f>
        <v>16.187999999999999</v>
      </c>
      <c r="AS1394">
        <v>1101</v>
      </c>
      <c r="AT1394">
        <v>1006</v>
      </c>
    </row>
    <row r="1395" spans="36:46" x14ac:dyDescent="0.3">
      <c r="AJ1395">
        <v>64382</v>
      </c>
      <c r="AK1395" s="30">
        <v>43356</v>
      </c>
      <c r="AL1395" t="s">
        <v>1481</v>
      </c>
      <c r="AM1395">
        <v>45</v>
      </c>
      <c r="AN1395" t="str">
        <f>VLOOKUP(Transaction[[#This Row],[Model No.]],$AV$2:$BD$100,2,TRUE)</f>
        <v>Sixpoint Resin - 6 Pack</v>
      </c>
      <c r="AO1395" s="21">
        <f>VLOOKUP(Transaction[[#This Row],[Model No.]],$AV$2:$BD$100,6,TRUE)</f>
        <v>15.99</v>
      </c>
      <c r="AP1395" s="9">
        <v>5</v>
      </c>
      <c r="AQ1395" s="5">
        <f>Transaction[[#This Row],[Price]]*Transaction[[#This Row],[Qty]]</f>
        <v>79.95</v>
      </c>
      <c r="AR1395" s="5">
        <f>VLOOKUP(Transaction[[#This Row],[Model No.]],$AV$2:$BD$100,7,TRUE)*Transaction[[#This Row],[Qty]]</f>
        <v>23.984999999999999</v>
      </c>
      <c r="AS1395">
        <v>1107</v>
      </c>
      <c r="AT1395">
        <v>1009</v>
      </c>
    </row>
    <row r="1396" spans="36:46" x14ac:dyDescent="0.3">
      <c r="AJ1396">
        <v>24099</v>
      </c>
      <c r="AK1396" s="30">
        <v>43357</v>
      </c>
      <c r="AL1396" t="s">
        <v>1275</v>
      </c>
      <c r="AM1396">
        <v>9</v>
      </c>
      <c r="AN1396" t="str">
        <f>VLOOKUP(Transaction[[#This Row],[Model No.]],$AV$2:$BD$100,2,TRUE)</f>
        <v>Ass Kisser Double IPA - 12 Pack</v>
      </c>
      <c r="AO1396" s="21">
        <f>VLOOKUP(Transaction[[#This Row],[Model No.]],$AV$2:$BD$100,6,TRUE)</f>
        <v>43.99</v>
      </c>
      <c r="AP1396" s="9">
        <v>4</v>
      </c>
      <c r="AQ1396" s="5">
        <f>Transaction[[#This Row],[Price]]*Transaction[[#This Row],[Qty]]</f>
        <v>175.96</v>
      </c>
      <c r="AR1396" s="5">
        <f>VLOOKUP(Transaction[[#This Row],[Model No.]],$AV$2:$BD$100,7,TRUE)*Transaction[[#This Row],[Qty]]</f>
        <v>52.788000000000004</v>
      </c>
      <c r="AS1396">
        <v>1105</v>
      </c>
      <c r="AT1396">
        <v>1003</v>
      </c>
    </row>
    <row r="1397" spans="36:46" x14ac:dyDescent="0.3">
      <c r="AJ1397">
        <v>16244</v>
      </c>
      <c r="AK1397" s="30">
        <v>43358</v>
      </c>
      <c r="AL1397" t="s">
        <v>712</v>
      </c>
      <c r="AM1397">
        <v>8</v>
      </c>
      <c r="AN1397" t="str">
        <f>VLOOKUP(Transaction[[#This Row],[Model No.]],$AV$2:$BD$100,2,TRUE)</f>
        <v>Roco Marsh Estate Vineyard Pinot Noir</v>
      </c>
      <c r="AO1397" s="21">
        <f>VLOOKUP(Transaction[[#This Row],[Model No.]],$AV$2:$BD$100,6,TRUE)</f>
        <v>44.99</v>
      </c>
      <c r="AP1397" s="9">
        <v>2</v>
      </c>
      <c r="AQ1397" s="5">
        <f>Transaction[[#This Row],[Price]]*Transaction[[#This Row],[Qty]]</f>
        <v>89.98</v>
      </c>
      <c r="AR1397" s="5">
        <f>VLOOKUP(Transaction[[#This Row],[Model No.]],$AV$2:$BD$100,7,TRUE)*Transaction[[#This Row],[Qty]]</f>
        <v>8.9980000000000011</v>
      </c>
      <c r="AS1397">
        <v>1102</v>
      </c>
      <c r="AT1397">
        <v>1009</v>
      </c>
    </row>
    <row r="1398" spans="36:46" x14ac:dyDescent="0.3">
      <c r="AJ1398">
        <v>46124</v>
      </c>
      <c r="AK1398" s="30">
        <v>43358</v>
      </c>
      <c r="AL1398" t="s">
        <v>1715</v>
      </c>
      <c r="AM1398">
        <v>53</v>
      </c>
      <c r="AN1398" t="str">
        <f>VLOOKUP(Transaction[[#This Row],[Model No.]],$AV$2:$BD$100,2,TRUE)</f>
        <v>Ommegang Hennepin - 4 Pack</v>
      </c>
      <c r="AO1398" s="21">
        <f>VLOOKUP(Transaction[[#This Row],[Model No.]],$AV$2:$BD$100,6,TRUE)</f>
        <v>14.99</v>
      </c>
      <c r="AP1398" s="9">
        <v>4</v>
      </c>
      <c r="AQ1398" s="5">
        <f>Transaction[[#This Row],[Price]]*Transaction[[#This Row],[Qty]]</f>
        <v>59.96</v>
      </c>
      <c r="AR1398" s="5">
        <f>VLOOKUP(Transaction[[#This Row],[Model No.]],$AV$2:$BD$100,7,TRUE)*Transaction[[#This Row],[Qty]]</f>
        <v>17.988</v>
      </c>
      <c r="AS1398">
        <v>1100</v>
      </c>
      <c r="AT1398">
        <v>1021</v>
      </c>
    </row>
    <row r="1399" spans="36:46" x14ac:dyDescent="0.3">
      <c r="AJ1399">
        <v>22774</v>
      </c>
      <c r="AK1399" s="30">
        <v>43359</v>
      </c>
      <c r="AL1399" t="s">
        <v>479</v>
      </c>
      <c r="AM1399">
        <v>98</v>
      </c>
      <c r="AN1399" t="str">
        <f>VLOOKUP(Transaction[[#This Row],[Model No.]],$AV$2:$BD$100,2,TRUE)</f>
        <v>Wychwood Hobgoblin</v>
      </c>
      <c r="AO1399" s="21">
        <f>VLOOKUP(Transaction[[#This Row],[Model No.]],$AV$2:$BD$100,6,TRUE)</f>
        <v>5.99</v>
      </c>
      <c r="AP1399" s="9">
        <v>2</v>
      </c>
      <c r="AQ1399" s="5">
        <f>Transaction[[#This Row],[Price]]*Transaction[[#This Row],[Qty]]</f>
        <v>11.98</v>
      </c>
      <c r="AR1399" s="5">
        <f>VLOOKUP(Transaction[[#This Row],[Model No.]],$AV$2:$BD$100,7,TRUE)*Transaction[[#This Row],[Qty]]</f>
        <v>3.5939999999999999</v>
      </c>
      <c r="AS1399">
        <v>1102</v>
      </c>
      <c r="AT1399">
        <v>1002</v>
      </c>
    </row>
    <row r="1400" spans="36:46" x14ac:dyDescent="0.3">
      <c r="AJ1400">
        <v>51288</v>
      </c>
      <c r="AK1400" s="30">
        <v>43361</v>
      </c>
      <c r="AL1400" t="s">
        <v>834</v>
      </c>
      <c r="AM1400">
        <v>54</v>
      </c>
      <c r="AN1400" t="str">
        <f>VLOOKUP(Transaction[[#This Row],[Model No.]],$AV$2:$BD$100,2,TRUE)</f>
        <v>Pucker Cherry Tease Vodka</v>
      </c>
      <c r="AO1400" s="21">
        <f>VLOOKUP(Transaction[[#This Row],[Model No.]],$AV$2:$BD$100,6,TRUE)</f>
        <v>14.99</v>
      </c>
      <c r="AP1400" s="9">
        <v>4</v>
      </c>
      <c r="AQ1400" s="5">
        <f>Transaction[[#This Row],[Price]]*Transaction[[#This Row],[Qty]]</f>
        <v>59.96</v>
      </c>
      <c r="AR1400" s="5">
        <f>VLOOKUP(Transaction[[#This Row],[Model No.]],$AV$2:$BD$100,7,TRUE)*Transaction[[#This Row],[Qty]]</f>
        <v>17.988</v>
      </c>
      <c r="AS1400">
        <v>1108</v>
      </c>
      <c r="AT1400">
        <v>1019</v>
      </c>
    </row>
    <row r="1401" spans="36:46" x14ac:dyDescent="0.3">
      <c r="AJ1401">
        <v>25975</v>
      </c>
      <c r="AK1401" s="30">
        <v>43361</v>
      </c>
      <c r="AL1401" t="s">
        <v>1120</v>
      </c>
      <c r="AM1401">
        <v>64</v>
      </c>
      <c r="AN1401" t="str">
        <f>VLOOKUP(Transaction[[#This Row],[Model No.]],$AV$2:$BD$100,2,TRUE)</f>
        <v>Maui Brewing Big Swell IPA - 6 Pack</v>
      </c>
      <c r="AO1401" s="21">
        <f>VLOOKUP(Transaction[[#This Row],[Model No.]],$AV$2:$BD$100,6,TRUE)</f>
        <v>12.99</v>
      </c>
      <c r="AP1401" s="9">
        <v>3</v>
      </c>
      <c r="AQ1401" s="5">
        <f>Transaction[[#This Row],[Price]]*Transaction[[#This Row],[Qty]]</f>
        <v>38.97</v>
      </c>
      <c r="AR1401" s="5">
        <f>VLOOKUP(Transaction[[#This Row],[Model No.]],$AV$2:$BD$100,7,TRUE)*Transaction[[#This Row],[Qty]]</f>
        <v>11.690999999999999</v>
      </c>
      <c r="AS1401">
        <v>1106</v>
      </c>
      <c r="AT1401">
        <v>1000</v>
      </c>
    </row>
    <row r="1402" spans="36:46" x14ac:dyDescent="0.3">
      <c r="AJ1402">
        <v>71404</v>
      </c>
      <c r="AK1402" s="30">
        <v>43361</v>
      </c>
      <c r="AL1402" t="s">
        <v>1506</v>
      </c>
      <c r="AM1402">
        <v>62</v>
      </c>
      <c r="AN1402" t="str">
        <f>VLOOKUP(Transaction[[#This Row],[Model No.]],$AV$2:$BD$100,2,TRUE)</f>
        <v>Beerlao Dark Lager - 6 Pack</v>
      </c>
      <c r="AO1402" s="21">
        <f>VLOOKUP(Transaction[[#This Row],[Model No.]],$AV$2:$BD$100,6,TRUE)</f>
        <v>12.99</v>
      </c>
      <c r="AP1402" s="9">
        <v>1</v>
      </c>
      <c r="AQ1402" s="5">
        <f>Transaction[[#This Row],[Price]]*Transaction[[#This Row],[Qty]]</f>
        <v>12.99</v>
      </c>
      <c r="AR1402" s="5">
        <f>VLOOKUP(Transaction[[#This Row],[Model No.]],$AV$2:$BD$100,7,TRUE)*Transaction[[#This Row],[Qty]]</f>
        <v>3.8969999999999998</v>
      </c>
      <c r="AS1402">
        <v>1103</v>
      </c>
      <c r="AT1402">
        <v>1016</v>
      </c>
    </row>
    <row r="1403" spans="36:46" x14ac:dyDescent="0.3">
      <c r="AJ1403">
        <v>26445</v>
      </c>
      <c r="AK1403" s="30">
        <v>43362</v>
      </c>
      <c r="AL1403" t="s">
        <v>1876</v>
      </c>
      <c r="AM1403">
        <v>42</v>
      </c>
      <c r="AN1403" t="str">
        <f>VLOOKUP(Transaction[[#This Row],[Model No.]],$AV$2:$BD$100,2,TRUE)</f>
        <v>Francis Ford Coppola Sofia Brut Rose Pinot Noir</v>
      </c>
      <c r="AO1403" s="21">
        <f>VLOOKUP(Transaction[[#This Row],[Model No.]],$AV$2:$BD$100,6,TRUE)</f>
        <v>16.989999999999998</v>
      </c>
      <c r="AP1403" s="9">
        <v>5</v>
      </c>
      <c r="AQ1403" s="5">
        <f>Transaction[[#This Row],[Price]]*Transaction[[#This Row],[Qty]]</f>
        <v>84.949999999999989</v>
      </c>
      <c r="AR1403" s="5">
        <f>VLOOKUP(Transaction[[#This Row],[Model No.]],$AV$2:$BD$100,7,TRUE)*Transaction[[#This Row],[Qty]]</f>
        <v>33.979999999999997</v>
      </c>
      <c r="AS1403">
        <v>1105</v>
      </c>
      <c r="AT1403">
        <v>1018</v>
      </c>
    </row>
    <row r="1404" spans="36:46" x14ac:dyDescent="0.3">
      <c r="AJ1404">
        <v>64474</v>
      </c>
      <c r="AK1404" s="30">
        <v>43363</v>
      </c>
      <c r="AL1404" t="s">
        <v>1281</v>
      </c>
      <c r="AM1404">
        <v>44</v>
      </c>
      <c r="AN1404" t="str">
        <f>VLOOKUP(Transaction[[#This Row],[Model No.]],$AV$2:$BD$100,2,TRUE)</f>
        <v>Brasserie de Silly Saison - 4 Pack</v>
      </c>
      <c r="AO1404" s="21">
        <f>VLOOKUP(Transaction[[#This Row],[Model No.]],$AV$2:$BD$100,6,TRUE)</f>
        <v>16.989999999999998</v>
      </c>
      <c r="AP1404" s="9">
        <v>2</v>
      </c>
      <c r="AQ1404" s="5">
        <f>Transaction[[#This Row],[Price]]*Transaction[[#This Row],[Qty]]</f>
        <v>33.979999999999997</v>
      </c>
      <c r="AR1404" s="5">
        <f>VLOOKUP(Transaction[[#This Row],[Model No.]],$AV$2:$BD$100,7,TRUE)*Transaction[[#This Row],[Qty]]</f>
        <v>10.193999999999999</v>
      </c>
      <c r="AS1404">
        <v>1105</v>
      </c>
      <c r="AT1404">
        <v>1011</v>
      </c>
    </row>
    <row r="1405" spans="36:46" x14ac:dyDescent="0.3">
      <c r="AJ1405">
        <v>29877</v>
      </c>
      <c r="AK1405" s="30">
        <v>43365</v>
      </c>
      <c r="AL1405" t="s">
        <v>624</v>
      </c>
      <c r="AM1405">
        <v>9</v>
      </c>
      <c r="AN1405" t="str">
        <f>VLOOKUP(Transaction[[#This Row],[Model No.]],$AV$2:$BD$100,2,TRUE)</f>
        <v>Ass Kisser Double IPA - 12 Pack</v>
      </c>
      <c r="AO1405" s="21">
        <f>VLOOKUP(Transaction[[#This Row],[Model No.]],$AV$2:$BD$100,6,TRUE)</f>
        <v>43.99</v>
      </c>
      <c r="AP1405" s="9">
        <v>5</v>
      </c>
      <c r="AQ1405" s="5">
        <f>Transaction[[#This Row],[Price]]*Transaction[[#This Row],[Qty]]</f>
        <v>219.95000000000002</v>
      </c>
      <c r="AR1405" s="5">
        <f>VLOOKUP(Transaction[[#This Row],[Model No.]],$AV$2:$BD$100,7,TRUE)*Transaction[[#This Row],[Qty]]</f>
        <v>65.984999999999999</v>
      </c>
      <c r="AS1405">
        <v>1108</v>
      </c>
      <c r="AT1405">
        <v>1003</v>
      </c>
    </row>
    <row r="1406" spans="36:46" x14ac:dyDescent="0.3">
      <c r="AJ1406">
        <v>95288</v>
      </c>
      <c r="AK1406" s="30">
        <v>43366</v>
      </c>
      <c r="AL1406" t="s">
        <v>1338</v>
      </c>
      <c r="AM1406">
        <v>7</v>
      </c>
      <c r="AN1406" t="str">
        <f>VLOOKUP(Transaction[[#This Row],[Model No.]],$AV$2:$BD$100,2,TRUE)</f>
        <v>Glenkinchie Distillers Edition Single Malt Scotch Whisky</v>
      </c>
      <c r="AO1406" s="21">
        <f>VLOOKUP(Transaction[[#This Row],[Model No.]],$AV$2:$BD$100,6,TRUE)</f>
        <v>45.99</v>
      </c>
      <c r="AP1406" s="9">
        <v>5</v>
      </c>
      <c r="AQ1406" s="5">
        <f>Transaction[[#This Row],[Price]]*Transaction[[#This Row],[Qty]]</f>
        <v>229.95000000000002</v>
      </c>
      <c r="AR1406" s="5">
        <f>VLOOKUP(Transaction[[#This Row],[Model No.]],$AV$2:$BD$100,7,TRUE)*Transaction[[#This Row],[Qty]]</f>
        <v>68.984999999999999</v>
      </c>
      <c r="AS1406">
        <v>1104</v>
      </c>
      <c r="AT1406">
        <v>1013</v>
      </c>
    </row>
    <row r="1407" spans="36:46" x14ac:dyDescent="0.3">
      <c r="AJ1407">
        <v>58695</v>
      </c>
      <c r="AK1407" s="30">
        <v>43369</v>
      </c>
      <c r="AL1407" t="s">
        <v>661</v>
      </c>
      <c r="AM1407">
        <v>6</v>
      </c>
      <c r="AN1407" t="str">
        <f>VLOOKUP(Transaction[[#This Row],[Model No.]],$AV$2:$BD$100,2,TRUE)</f>
        <v>Agricola Punica Barrua Isola Dei Nuraghi IGT Carignan</v>
      </c>
      <c r="AO1407" s="21">
        <f>VLOOKUP(Transaction[[#This Row],[Model No.]],$AV$2:$BD$100,6,TRUE)</f>
        <v>46.99</v>
      </c>
      <c r="AP1407" s="9">
        <v>2</v>
      </c>
      <c r="AQ1407" s="5">
        <f>Transaction[[#This Row],[Price]]*Transaction[[#This Row],[Qty]]</f>
        <v>93.98</v>
      </c>
      <c r="AR1407" s="5">
        <f>VLOOKUP(Transaction[[#This Row],[Model No.]],$AV$2:$BD$100,7,TRUE)*Transaction[[#This Row],[Qty]]</f>
        <v>9.3980000000000015</v>
      </c>
      <c r="AS1407">
        <v>1104</v>
      </c>
      <c r="AT1407">
        <v>1019</v>
      </c>
    </row>
    <row r="1408" spans="36:46" x14ac:dyDescent="0.3">
      <c r="AJ1408">
        <v>39754</v>
      </c>
      <c r="AK1408" s="30">
        <v>43369</v>
      </c>
      <c r="AL1408" t="s">
        <v>1346</v>
      </c>
      <c r="AM1408">
        <v>66</v>
      </c>
      <c r="AN1408" t="str">
        <f>VLOOKUP(Transaction[[#This Row],[Model No.]],$AV$2:$BD$100,2,TRUE)</f>
        <v>Red Horse Beer - 6 Pack</v>
      </c>
      <c r="AO1408" s="21">
        <f>VLOOKUP(Transaction[[#This Row],[Model No.]],$AV$2:$BD$100,6,TRUE)</f>
        <v>12.99</v>
      </c>
      <c r="AP1408" s="9">
        <v>4</v>
      </c>
      <c r="AQ1408" s="5">
        <f>Transaction[[#This Row],[Price]]*Transaction[[#This Row],[Qty]]</f>
        <v>51.96</v>
      </c>
      <c r="AR1408" s="5">
        <f>VLOOKUP(Transaction[[#This Row],[Model No.]],$AV$2:$BD$100,7,TRUE)*Transaction[[#This Row],[Qty]]</f>
        <v>15.587999999999999</v>
      </c>
      <c r="AS1408">
        <v>1107</v>
      </c>
      <c r="AT1408">
        <v>1017</v>
      </c>
    </row>
    <row r="1409" spans="36:46" x14ac:dyDescent="0.3">
      <c r="AJ1409">
        <v>47953</v>
      </c>
      <c r="AK1409" s="30">
        <v>43371</v>
      </c>
      <c r="AL1409" t="s">
        <v>1737</v>
      </c>
      <c r="AM1409">
        <v>24</v>
      </c>
      <c r="AN1409" t="str">
        <f>VLOOKUP(Transaction[[#This Row],[Model No.]],$AV$2:$BD$100,2,TRUE)</f>
        <v>Matchbook The Arsonist Bordeaux Blend</v>
      </c>
      <c r="AO1409" s="21">
        <f>VLOOKUP(Transaction[[#This Row],[Model No.]],$AV$2:$BD$100,6,TRUE)</f>
        <v>24.99</v>
      </c>
      <c r="AP1409" s="9">
        <v>5</v>
      </c>
      <c r="AQ1409" s="5">
        <f>Transaction[[#This Row],[Price]]*Transaction[[#This Row],[Qty]]</f>
        <v>124.94999999999999</v>
      </c>
      <c r="AR1409" s="5">
        <f>VLOOKUP(Transaction[[#This Row],[Model No.]],$AV$2:$BD$100,7,TRUE)*Transaction[[#This Row],[Qty]]</f>
        <v>12.495000000000001</v>
      </c>
      <c r="AS1409">
        <v>1104</v>
      </c>
      <c r="AT1409">
        <v>1018</v>
      </c>
    </row>
    <row r="1410" spans="36:46" x14ac:dyDescent="0.3">
      <c r="AJ1410">
        <v>96448</v>
      </c>
      <c r="AK1410" s="30">
        <v>43372</v>
      </c>
      <c r="AL1410" t="s">
        <v>1635</v>
      </c>
      <c r="AM1410">
        <v>20</v>
      </c>
      <c r="AN1410" t="str">
        <f>VLOOKUP(Transaction[[#This Row],[Model No.]],$AV$2:$BD$100,2,TRUE)</f>
        <v>Stonewall American Rum</v>
      </c>
      <c r="AO1410" s="21">
        <f>VLOOKUP(Transaction[[#This Row],[Model No.]],$AV$2:$BD$100,6,TRUE)</f>
        <v>27.99</v>
      </c>
      <c r="AP1410" s="9">
        <v>1</v>
      </c>
      <c r="AQ1410" s="5">
        <f>Transaction[[#This Row],[Price]]*Transaction[[#This Row],[Qty]]</f>
        <v>27.99</v>
      </c>
      <c r="AR1410" s="5">
        <f>VLOOKUP(Transaction[[#This Row],[Model No.]],$AV$2:$BD$100,7,TRUE)*Transaction[[#This Row],[Qty]]</f>
        <v>5.5979999999999999</v>
      </c>
      <c r="AS1410">
        <v>1098</v>
      </c>
      <c r="AT1410">
        <v>1017</v>
      </c>
    </row>
    <row r="1411" spans="36:46" x14ac:dyDescent="0.3">
      <c r="AJ1411">
        <v>52771</v>
      </c>
      <c r="AK1411" s="30">
        <v>43372</v>
      </c>
      <c r="AL1411" t="s">
        <v>1427</v>
      </c>
      <c r="AM1411">
        <v>63</v>
      </c>
      <c r="AN1411" t="str">
        <f>VLOOKUP(Transaction[[#This Row],[Model No.]],$AV$2:$BD$100,2,TRUE)</f>
        <v>Troegs LaGrave - 4 Pack</v>
      </c>
      <c r="AO1411" s="21">
        <f>VLOOKUP(Transaction[[#This Row],[Model No.]],$AV$2:$BD$100,6,TRUE)</f>
        <v>12.99</v>
      </c>
      <c r="AP1411" s="9">
        <v>1</v>
      </c>
      <c r="AQ1411" s="5">
        <f>Transaction[[#This Row],[Price]]*Transaction[[#This Row],[Qty]]</f>
        <v>12.99</v>
      </c>
      <c r="AR1411" s="5">
        <f>VLOOKUP(Transaction[[#This Row],[Model No.]],$AV$2:$BD$100,7,TRUE)*Transaction[[#This Row],[Qty]]</f>
        <v>3.8969999999999998</v>
      </c>
      <c r="AS1411">
        <v>1099</v>
      </c>
      <c r="AT1411">
        <v>1009</v>
      </c>
    </row>
    <row r="1412" spans="36:46" x14ac:dyDescent="0.3">
      <c r="AJ1412">
        <v>41556</v>
      </c>
      <c r="AK1412" s="30">
        <v>43374</v>
      </c>
      <c r="AL1412" t="s">
        <v>955</v>
      </c>
      <c r="AM1412">
        <v>1</v>
      </c>
      <c r="AN1412" t="str">
        <f>VLOOKUP(Transaction[[#This Row],[Model No.]],$AV$2:$BD$100,2,TRUE)</f>
        <v>Forager's Keep 26 Year Old Single Malt Scotch Whisky</v>
      </c>
      <c r="AO1412" s="21">
        <f>VLOOKUP(Transaction[[#This Row],[Model No.]],$AV$2:$BD$100,6,TRUE)</f>
        <v>325.99</v>
      </c>
      <c r="AP1412" s="9">
        <v>1</v>
      </c>
      <c r="AQ1412" s="5">
        <f>Transaction[[#This Row],[Price]]*Transaction[[#This Row],[Qty]]</f>
        <v>325.99</v>
      </c>
      <c r="AR1412" s="5">
        <f>VLOOKUP(Transaction[[#This Row],[Model No.]],$AV$2:$BD$100,7,TRUE)*Transaction[[#This Row],[Qty]]</f>
        <v>97.796999999999997</v>
      </c>
      <c r="AS1412">
        <v>1107</v>
      </c>
      <c r="AT1412">
        <v>1004</v>
      </c>
    </row>
    <row r="1413" spans="36:46" x14ac:dyDescent="0.3">
      <c r="AJ1413">
        <v>66852</v>
      </c>
      <c r="AK1413" s="30">
        <v>43376</v>
      </c>
      <c r="AL1413" t="s">
        <v>1754</v>
      </c>
      <c r="AM1413">
        <v>16</v>
      </c>
      <c r="AN1413" t="str">
        <f>VLOOKUP(Transaction[[#This Row],[Model No.]],$AV$2:$BD$100,2,TRUE)</f>
        <v>Hitachino Nest Red Rice Ale - 6 Pack</v>
      </c>
      <c r="AO1413" s="21">
        <f>VLOOKUP(Transaction[[#This Row],[Model No.]],$AV$2:$BD$100,6,TRUE)</f>
        <v>31.99</v>
      </c>
      <c r="AP1413" s="9">
        <v>4</v>
      </c>
      <c r="AQ1413" s="5">
        <f>Transaction[[#This Row],[Price]]*Transaction[[#This Row],[Qty]]</f>
        <v>127.96</v>
      </c>
      <c r="AR1413" s="5">
        <f>VLOOKUP(Transaction[[#This Row],[Model No.]],$AV$2:$BD$100,7,TRUE)*Transaction[[#This Row],[Qty]]</f>
        <v>38.387999999999998</v>
      </c>
      <c r="AS1413">
        <v>1100</v>
      </c>
      <c r="AT1413">
        <v>1011</v>
      </c>
    </row>
    <row r="1414" spans="36:46" x14ac:dyDescent="0.3">
      <c r="AJ1414">
        <v>54968</v>
      </c>
      <c r="AK1414" s="30">
        <v>43376</v>
      </c>
      <c r="AL1414" t="s">
        <v>743</v>
      </c>
      <c r="AM1414">
        <v>61</v>
      </c>
      <c r="AN1414" t="str">
        <f>VLOOKUP(Transaction[[#This Row],[Model No.]],$AV$2:$BD$100,2,TRUE)</f>
        <v>He'Brew Genesis Dry Hopped Session Ale - 6 Pack</v>
      </c>
      <c r="AO1414" s="21">
        <f>VLOOKUP(Transaction[[#This Row],[Model No.]],$AV$2:$BD$100,6,TRUE)</f>
        <v>12.99</v>
      </c>
      <c r="AP1414" s="9">
        <v>2</v>
      </c>
      <c r="AQ1414" s="5">
        <f>Transaction[[#This Row],[Price]]*Transaction[[#This Row],[Qty]]</f>
        <v>25.98</v>
      </c>
      <c r="AR1414" s="5">
        <f>VLOOKUP(Transaction[[#This Row],[Model No.]],$AV$2:$BD$100,7,TRUE)*Transaction[[#This Row],[Qty]]</f>
        <v>7.7939999999999996</v>
      </c>
      <c r="AS1414">
        <v>1099</v>
      </c>
      <c r="AT1414">
        <v>1010</v>
      </c>
    </row>
    <row r="1415" spans="36:46" x14ac:dyDescent="0.3">
      <c r="AJ1415">
        <v>48867</v>
      </c>
      <c r="AK1415" s="30">
        <v>43376</v>
      </c>
      <c r="AL1415" t="s">
        <v>1387</v>
      </c>
      <c r="AM1415">
        <v>78</v>
      </c>
      <c r="AN1415" t="str">
        <f>VLOOKUP(Transaction[[#This Row],[Model No.]],$AV$2:$BD$100,2,TRUE)</f>
        <v>Tomasello Winery Blueberry Wine Red Blend</v>
      </c>
      <c r="AO1415" s="21">
        <f>VLOOKUP(Transaction[[#This Row],[Model No.]],$AV$2:$BD$100,6,TRUE)</f>
        <v>11.49</v>
      </c>
      <c r="AP1415" s="9">
        <v>4</v>
      </c>
      <c r="AQ1415" s="5">
        <f>Transaction[[#This Row],[Price]]*Transaction[[#This Row],[Qty]]</f>
        <v>45.96</v>
      </c>
      <c r="AR1415" s="5">
        <f>VLOOKUP(Transaction[[#This Row],[Model No.]],$AV$2:$BD$100,7,TRUE)*Transaction[[#This Row],[Qty]]</f>
        <v>4.5960000000000001</v>
      </c>
      <c r="AS1415">
        <v>1101</v>
      </c>
      <c r="AT1415">
        <v>1003</v>
      </c>
    </row>
    <row r="1416" spans="36:46" x14ac:dyDescent="0.3">
      <c r="AJ1416">
        <v>66700</v>
      </c>
      <c r="AK1416" s="30">
        <v>43377</v>
      </c>
      <c r="AL1416" t="s">
        <v>1153</v>
      </c>
      <c r="AM1416">
        <v>7</v>
      </c>
      <c r="AN1416" t="str">
        <f>VLOOKUP(Transaction[[#This Row],[Model No.]],$AV$2:$BD$100,2,TRUE)</f>
        <v>Glenkinchie Distillers Edition Single Malt Scotch Whisky</v>
      </c>
      <c r="AO1416" s="21">
        <f>VLOOKUP(Transaction[[#This Row],[Model No.]],$AV$2:$BD$100,6,TRUE)</f>
        <v>45.99</v>
      </c>
      <c r="AP1416" s="9">
        <v>5</v>
      </c>
      <c r="AQ1416" s="5">
        <f>Transaction[[#This Row],[Price]]*Transaction[[#This Row],[Qty]]</f>
        <v>229.95000000000002</v>
      </c>
      <c r="AR1416" s="5">
        <f>VLOOKUP(Transaction[[#This Row],[Model No.]],$AV$2:$BD$100,7,TRUE)*Transaction[[#This Row],[Qty]]</f>
        <v>68.984999999999999</v>
      </c>
      <c r="AS1416">
        <v>1101</v>
      </c>
      <c r="AT1416">
        <v>1021</v>
      </c>
    </row>
    <row r="1417" spans="36:46" x14ac:dyDescent="0.3">
      <c r="AJ1417">
        <v>84815</v>
      </c>
      <c r="AK1417" s="30">
        <v>43380</v>
      </c>
      <c r="AL1417" t="s">
        <v>1905</v>
      </c>
      <c r="AM1417">
        <v>24</v>
      </c>
      <c r="AN1417" t="str">
        <f>VLOOKUP(Transaction[[#This Row],[Model No.]],$AV$2:$BD$100,2,TRUE)</f>
        <v>Matchbook The Arsonist Bordeaux Blend</v>
      </c>
      <c r="AO1417" s="21">
        <f>VLOOKUP(Transaction[[#This Row],[Model No.]],$AV$2:$BD$100,6,TRUE)</f>
        <v>24.99</v>
      </c>
      <c r="AP1417" s="9">
        <v>1</v>
      </c>
      <c r="AQ1417" s="5">
        <f>Transaction[[#This Row],[Price]]*Transaction[[#This Row],[Qty]]</f>
        <v>24.99</v>
      </c>
      <c r="AR1417" s="5">
        <f>VLOOKUP(Transaction[[#This Row],[Model No.]],$AV$2:$BD$100,7,TRUE)*Transaction[[#This Row],[Qty]]</f>
        <v>2.4990000000000001</v>
      </c>
      <c r="AS1417">
        <v>1098</v>
      </c>
      <c r="AT1417">
        <v>1004</v>
      </c>
    </row>
    <row r="1418" spans="36:46" x14ac:dyDescent="0.3">
      <c r="AJ1418">
        <v>32615</v>
      </c>
      <c r="AK1418" s="30">
        <v>43380</v>
      </c>
      <c r="AL1418" t="s">
        <v>1626</v>
      </c>
      <c r="AM1418">
        <v>80</v>
      </c>
      <c r="AN1418" t="str">
        <f>VLOOKUP(Transaction[[#This Row],[Model No.]],$AV$2:$BD$100,2,TRUE)</f>
        <v>Evolution Craft Stalker Hefeweizen - 6 Pack</v>
      </c>
      <c r="AO1418" s="21">
        <f>VLOOKUP(Transaction[[#This Row],[Model No.]],$AV$2:$BD$100,6,TRUE)</f>
        <v>10.99</v>
      </c>
      <c r="AP1418" s="9">
        <v>3</v>
      </c>
      <c r="AQ1418" s="5">
        <f>Transaction[[#This Row],[Price]]*Transaction[[#This Row],[Qty]]</f>
        <v>32.97</v>
      </c>
      <c r="AR1418" s="5">
        <f>VLOOKUP(Transaction[[#This Row],[Model No.]],$AV$2:$BD$100,7,TRUE)*Transaction[[#This Row],[Qty]]</f>
        <v>9.891</v>
      </c>
      <c r="AS1418">
        <v>1107</v>
      </c>
      <c r="AT1418">
        <v>1015</v>
      </c>
    </row>
    <row r="1419" spans="36:46" x14ac:dyDescent="0.3">
      <c r="AJ1419">
        <v>36072</v>
      </c>
      <c r="AK1419" s="30">
        <v>43380</v>
      </c>
      <c r="AL1419" t="s">
        <v>1777</v>
      </c>
      <c r="AM1419">
        <v>92</v>
      </c>
      <c r="AN1419" t="str">
        <f>VLOOKUP(Transaction[[#This Row],[Model No.]],$AV$2:$BD$100,2,TRUE)</f>
        <v>Four Seasons Collection Late Harvest White Moscato Dessert Muscat</v>
      </c>
      <c r="AO1419" s="21">
        <f>VLOOKUP(Transaction[[#This Row],[Model No.]],$AV$2:$BD$100,6,TRUE)</f>
        <v>7.69</v>
      </c>
      <c r="AP1419" s="9">
        <v>3</v>
      </c>
      <c r="AQ1419" s="5">
        <f>Transaction[[#This Row],[Price]]*Transaction[[#This Row],[Qty]]</f>
        <v>23.07</v>
      </c>
      <c r="AR1419" s="5">
        <f>VLOOKUP(Transaction[[#This Row],[Model No.]],$AV$2:$BD$100,7,TRUE)*Transaction[[#This Row],[Qty]]</f>
        <v>2.3070000000000004</v>
      </c>
      <c r="AS1419">
        <v>1102</v>
      </c>
      <c r="AT1419">
        <v>1003</v>
      </c>
    </row>
    <row r="1420" spans="36:46" x14ac:dyDescent="0.3">
      <c r="AJ1420">
        <v>70966</v>
      </c>
      <c r="AK1420" s="30">
        <v>43381</v>
      </c>
      <c r="AL1420" t="s">
        <v>1139</v>
      </c>
      <c r="AM1420">
        <v>67</v>
      </c>
      <c r="AN1420" t="str">
        <f>VLOOKUP(Transaction[[#This Row],[Model No.]],$AV$2:$BD$100,2,TRUE)</f>
        <v>Oh Be Joyful Sweet Deutscher Qualitatswein Dornfelder</v>
      </c>
      <c r="AO1420" s="21">
        <f>VLOOKUP(Transaction[[#This Row],[Model No.]],$AV$2:$BD$100,6,TRUE)</f>
        <v>12.99</v>
      </c>
      <c r="AP1420" s="9">
        <v>5</v>
      </c>
      <c r="AQ1420" s="5">
        <f>Transaction[[#This Row],[Price]]*Transaction[[#This Row],[Qty]]</f>
        <v>64.95</v>
      </c>
      <c r="AR1420" s="5">
        <f>VLOOKUP(Transaction[[#This Row],[Model No.]],$AV$2:$BD$100,7,TRUE)*Transaction[[#This Row],[Qty]]</f>
        <v>25.980000000000004</v>
      </c>
      <c r="AS1420">
        <v>1105</v>
      </c>
      <c r="AT1420">
        <v>1013</v>
      </c>
    </row>
    <row r="1421" spans="36:46" x14ac:dyDescent="0.3">
      <c r="AJ1421">
        <v>90710</v>
      </c>
      <c r="AK1421" s="30">
        <v>43382</v>
      </c>
      <c r="AL1421" t="s">
        <v>1166</v>
      </c>
      <c r="AM1421">
        <v>33</v>
      </c>
      <c r="AN1421" t="str">
        <f>VLOOKUP(Transaction[[#This Row],[Model No.]],$AV$2:$BD$100,2,TRUE)</f>
        <v>Saracina Unoaked Chardonnay</v>
      </c>
      <c r="AO1421" s="21">
        <f>VLOOKUP(Transaction[[#This Row],[Model No.]],$AV$2:$BD$100,6,TRUE)</f>
        <v>20.99</v>
      </c>
      <c r="AP1421" s="9">
        <v>5</v>
      </c>
      <c r="AQ1421" s="5">
        <f>Transaction[[#This Row],[Price]]*Transaction[[#This Row],[Qty]]</f>
        <v>104.94999999999999</v>
      </c>
      <c r="AR1421" s="5">
        <f>VLOOKUP(Transaction[[#This Row],[Model No.]],$AV$2:$BD$100,7,TRUE)*Transaction[[#This Row],[Qty]]</f>
        <v>20.99</v>
      </c>
      <c r="AS1421">
        <v>1107</v>
      </c>
      <c r="AT1421">
        <v>1010</v>
      </c>
    </row>
    <row r="1422" spans="36:46" x14ac:dyDescent="0.3">
      <c r="AJ1422">
        <v>36270</v>
      </c>
      <c r="AK1422" s="30">
        <v>43382</v>
      </c>
      <c r="AL1422" t="s">
        <v>1658</v>
      </c>
      <c r="AM1422">
        <v>66</v>
      </c>
      <c r="AN1422" t="str">
        <f>VLOOKUP(Transaction[[#This Row],[Model No.]],$AV$2:$BD$100,2,TRUE)</f>
        <v>Red Horse Beer - 6 Pack</v>
      </c>
      <c r="AO1422" s="21">
        <f>VLOOKUP(Transaction[[#This Row],[Model No.]],$AV$2:$BD$100,6,TRUE)</f>
        <v>12.99</v>
      </c>
      <c r="AP1422" s="9">
        <v>4</v>
      </c>
      <c r="AQ1422" s="5">
        <f>Transaction[[#This Row],[Price]]*Transaction[[#This Row],[Qty]]</f>
        <v>51.96</v>
      </c>
      <c r="AR1422" s="5">
        <f>VLOOKUP(Transaction[[#This Row],[Model No.]],$AV$2:$BD$100,7,TRUE)*Transaction[[#This Row],[Qty]]</f>
        <v>15.587999999999999</v>
      </c>
      <c r="AS1422">
        <v>1108</v>
      </c>
      <c r="AT1422">
        <v>1016</v>
      </c>
    </row>
    <row r="1423" spans="36:46" x14ac:dyDescent="0.3">
      <c r="AJ1423">
        <v>19239</v>
      </c>
      <c r="AK1423" s="30">
        <v>43383</v>
      </c>
      <c r="AL1423" t="s">
        <v>1500</v>
      </c>
      <c r="AM1423">
        <v>5</v>
      </c>
      <c r="AN1423" t="str">
        <f>VLOOKUP(Transaction[[#This Row],[Model No.]],$AV$2:$BD$100,2,TRUE)</f>
        <v>Old Forester 1897 Bottled in Bond Kentucky Straight Bourbon Whisky</v>
      </c>
      <c r="AO1423" s="21">
        <f>VLOOKUP(Transaction[[#This Row],[Model No.]],$AV$2:$BD$100,6,TRUE)</f>
        <v>46.99</v>
      </c>
      <c r="AP1423" s="9">
        <v>2</v>
      </c>
      <c r="AQ1423" s="5">
        <f>Transaction[[#This Row],[Price]]*Transaction[[#This Row],[Qty]]</f>
        <v>93.98</v>
      </c>
      <c r="AR1423" s="5">
        <f>VLOOKUP(Transaction[[#This Row],[Model No.]],$AV$2:$BD$100,7,TRUE)*Transaction[[#This Row],[Qty]]</f>
        <v>18.796000000000003</v>
      </c>
      <c r="AS1423">
        <v>1108</v>
      </c>
      <c r="AT1423">
        <v>1007</v>
      </c>
    </row>
    <row r="1424" spans="36:46" x14ac:dyDescent="0.3">
      <c r="AJ1424">
        <v>78906</v>
      </c>
      <c r="AK1424" s="30">
        <v>43383</v>
      </c>
      <c r="AL1424" t="s">
        <v>1482</v>
      </c>
      <c r="AM1424">
        <v>82</v>
      </c>
      <c r="AN1424" t="str">
        <f>VLOOKUP(Transaction[[#This Row],[Model No.]],$AV$2:$BD$100,2,TRUE)</f>
        <v>PInnacle Chocolate Whipped Vodka</v>
      </c>
      <c r="AO1424" s="21">
        <f>VLOOKUP(Transaction[[#This Row],[Model No.]],$AV$2:$BD$100,6,TRUE)</f>
        <v>10.99</v>
      </c>
      <c r="AP1424" s="9">
        <v>1</v>
      </c>
      <c r="AQ1424" s="5">
        <f>Transaction[[#This Row],[Price]]*Transaction[[#This Row],[Qty]]</f>
        <v>10.99</v>
      </c>
      <c r="AR1424" s="5">
        <f>VLOOKUP(Transaction[[#This Row],[Model No.]],$AV$2:$BD$100,7,TRUE)*Transaction[[#This Row],[Qty]]</f>
        <v>3.2970000000000002</v>
      </c>
      <c r="AS1424">
        <v>1107</v>
      </c>
      <c r="AT1424">
        <v>1002</v>
      </c>
    </row>
    <row r="1425" spans="36:46" x14ac:dyDescent="0.3">
      <c r="AJ1425">
        <v>68786</v>
      </c>
      <c r="AK1425" s="30">
        <v>43384</v>
      </c>
      <c r="AL1425" t="s">
        <v>643</v>
      </c>
      <c r="AM1425">
        <v>28</v>
      </c>
      <c r="AN1425" t="str">
        <f>VLOOKUP(Transaction[[#This Row],[Model No.]],$AV$2:$BD$100,2,TRUE)</f>
        <v>Quinta de Soalheiro Soalheiro Alvarinho</v>
      </c>
      <c r="AO1425" s="21">
        <f>VLOOKUP(Transaction[[#This Row],[Model No.]],$AV$2:$BD$100,6,TRUE)</f>
        <v>23.99</v>
      </c>
      <c r="AP1425" s="9">
        <v>4</v>
      </c>
      <c r="AQ1425" s="5">
        <f>Transaction[[#This Row],[Price]]*Transaction[[#This Row],[Qty]]</f>
        <v>95.96</v>
      </c>
      <c r="AR1425" s="5">
        <f>VLOOKUP(Transaction[[#This Row],[Model No.]],$AV$2:$BD$100,7,TRUE)*Transaction[[#This Row],[Qty]]</f>
        <v>38.384</v>
      </c>
      <c r="AS1425">
        <v>1098</v>
      </c>
      <c r="AT1425">
        <v>1019</v>
      </c>
    </row>
    <row r="1426" spans="36:46" x14ac:dyDescent="0.3">
      <c r="AJ1426">
        <v>50416</v>
      </c>
      <c r="AK1426" s="30">
        <v>43387</v>
      </c>
      <c r="AL1426" t="s">
        <v>856</v>
      </c>
      <c r="AM1426">
        <v>51</v>
      </c>
      <c r="AN1426" t="str">
        <f>VLOOKUP(Transaction[[#This Row],[Model No.]],$AV$2:$BD$100,2,TRUE)</f>
        <v>Waterbrook Cabernet Sauvignon</v>
      </c>
      <c r="AO1426" s="21">
        <f>VLOOKUP(Transaction[[#This Row],[Model No.]],$AV$2:$BD$100,6,TRUE)</f>
        <v>14.99</v>
      </c>
      <c r="AP1426" s="9">
        <v>2</v>
      </c>
      <c r="AQ1426" s="5">
        <f>Transaction[[#This Row],[Price]]*Transaction[[#This Row],[Qty]]</f>
        <v>29.98</v>
      </c>
      <c r="AR1426" s="5">
        <f>VLOOKUP(Transaction[[#This Row],[Model No.]],$AV$2:$BD$100,7,TRUE)*Transaction[[#This Row],[Qty]]</f>
        <v>2.9980000000000002</v>
      </c>
      <c r="AS1426">
        <v>1100</v>
      </c>
      <c r="AT1426">
        <v>1015</v>
      </c>
    </row>
    <row r="1427" spans="36:46" x14ac:dyDescent="0.3">
      <c r="AJ1427">
        <v>66999</v>
      </c>
      <c r="AK1427" s="30">
        <v>43389</v>
      </c>
      <c r="AL1427" t="s">
        <v>1322</v>
      </c>
      <c r="AM1427">
        <v>46</v>
      </c>
      <c r="AN1427" t="str">
        <f>VLOOKUP(Transaction[[#This Row],[Model No.]],$AV$2:$BD$100,2,TRUE)</f>
        <v>Label 5 Classic Black Blended Scotch Whisky</v>
      </c>
      <c r="AO1427" s="21">
        <f>VLOOKUP(Transaction[[#This Row],[Model No.]],$AV$2:$BD$100,6,TRUE)</f>
        <v>15.99</v>
      </c>
      <c r="AP1427" s="9">
        <v>4</v>
      </c>
      <c r="AQ1427" s="5">
        <f>Transaction[[#This Row],[Price]]*Transaction[[#This Row],[Qty]]</f>
        <v>63.96</v>
      </c>
      <c r="AR1427" s="5">
        <f>VLOOKUP(Transaction[[#This Row],[Model No.]],$AV$2:$BD$100,7,TRUE)*Transaction[[#This Row],[Qty]]</f>
        <v>12.792000000000002</v>
      </c>
      <c r="AS1427">
        <v>1102</v>
      </c>
      <c r="AT1427">
        <v>1011</v>
      </c>
    </row>
    <row r="1428" spans="36:46" x14ac:dyDescent="0.3">
      <c r="AJ1428">
        <v>27687</v>
      </c>
      <c r="AK1428" s="30">
        <v>43389</v>
      </c>
      <c r="AL1428" t="s">
        <v>1681</v>
      </c>
      <c r="AM1428">
        <v>56</v>
      </c>
      <c r="AN1428" t="str">
        <f>VLOOKUP(Transaction[[#This Row],[Model No.]],$AV$2:$BD$100,2,TRUE)</f>
        <v>Roy Pitz Sour Hound - 6 Pack</v>
      </c>
      <c r="AO1428" s="21">
        <f>VLOOKUP(Transaction[[#This Row],[Model No.]],$AV$2:$BD$100,6,TRUE)</f>
        <v>13.99</v>
      </c>
      <c r="AP1428" s="9">
        <v>1</v>
      </c>
      <c r="AQ1428" s="5">
        <f>Transaction[[#This Row],[Price]]*Transaction[[#This Row],[Qty]]</f>
        <v>13.99</v>
      </c>
      <c r="AR1428" s="5">
        <f>VLOOKUP(Transaction[[#This Row],[Model No.]],$AV$2:$BD$100,7,TRUE)*Transaction[[#This Row],[Qty]]</f>
        <v>4.1970000000000001</v>
      </c>
      <c r="AS1428">
        <v>1108</v>
      </c>
      <c r="AT1428">
        <v>1013</v>
      </c>
    </row>
    <row r="1429" spans="36:46" x14ac:dyDescent="0.3">
      <c r="AJ1429">
        <v>18818</v>
      </c>
      <c r="AK1429" s="30">
        <v>43391</v>
      </c>
      <c r="AL1429" t="s">
        <v>1903</v>
      </c>
      <c r="AM1429">
        <v>38</v>
      </c>
      <c r="AN1429" t="str">
        <f>VLOOKUP(Transaction[[#This Row],[Model No.]],$AV$2:$BD$100,2,TRUE)</f>
        <v>CiROC Red Berry Vodka</v>
      </c>
      <c r="AO1429" s="21">
        <f>VLOOKUP(Transaction[[#This Row],[Model No.]],$AV$2:$BD$100,6,TRUE)</f>
        <v>19.989999999999998</v>
      </c>
      <c r="AP1429" s="9">
        <v>4</v>
      </c>
      <c r="AQ1429" s="5">
        <f>Transaction[[#This Row],[Price]]*Transaction[[#This Row],[Qty]]</f>
        <v>79.959999999999994</v>
      </c>
      <c r="AR1429" s="5">
        <f>VLOOKUP(Transaction[[#This Row],[Model No.]],$AV$2:$BD$100,7,TRUE)*Transaction[[#This Row],[Qty]]</f>
        <v>23.987999999999996</v>
      </c>
      <c r="AS1429">
        <v>1107</v>
      </c>
      <c r="AT1429">
        <v>1017</v>
      </c>
    </row>
    <row r="1430" spans="36:46" x14ac:dyDescent="0.3">
      <c r="AJ1430">
        <v>62365</v>
      </c>
      <c r="AK1430" s="30">
        <v>43392</v>
      </c>
      <c r="AL1430" t="s">
        <v>1216</v>
      </c>
      <c r="AM1430">
        <v>25</v>
      </c>
      <c r="AN1430" t="str">
        <f>VLOOKUP(Transaction[[#This Row],[Model No.]],$AV$2:$BD$100,2,TRUE)</f>
        <v>ICEHOUSE 4/6 LNNR - 24 Pack</v>
      </c>
      <c r="AO1430" s="21">
        <f>VLOOKUP(Transaction[[#This Row],[Model No.]],$AV$2:$BD$100,6,TRUE)</f>
        <v>23.99</v>
      </c>
      <c r="AP1430" s="9">
        <v>2</v>
      </c>
      <c r="AQ1430" s="5">
        <f>Transaction[[#This Row],[Price]]*Transaction[[#This Row],[Qty]]</f>
        <v>47.98</v>
      </c>
      <c r="AR1430" s="5">
        <f>VLOOKUP(Transaction[[#This Row],[Model No.]],$AV$2:$BD$100,7,TRUE)*Transaction[[#This Row],[Qty]]</f>
        <v>14.393999999999998</v>
      </c>
      <c r="AS1430">
        <v>1107</v>
      </c>
      <c r="AT1430">
        <v>1008</v>
      </c>
    </row>
    <row r="1431" spans="36:46" x14ac:dyDescent="0.3">
      <c r="AJ1431">
        <v>39343</v>
      </c>
      <c r="AK1431" s="30">
        <v>43393</v>
      </c>
      <c r="AL1431" t="s">
        <v>697</v>
      </c>
      <c r="AM1431">
        <v>43</v>
      </c>
      <c r="AN1431" t="str">
        <f>VLOOKUP(Transaction[[#This Row],[Model No.]],$AV$2:$BD$100,2,TRUE)</f>
        <v>Green Flash Le Freak - 4 Pack</v>
      </c>
      <c r="AO1431" s="21">
        <f>VLOOKUP(Transaction[[#This Row],[Model No.]],$AV$2:$BD$100,6,TRUE)</f>
        <v>16.989999999999998</v>
      </c>
      <c r="AP1431" s="9">
        <v>4</v>
      </c>
      <c r="AQ1431" s="5">
        <f>Transaction[[#This Row],[Price]]*Transaction[[#This Row],[Qty]]</f>
        <v>67.959999999999994</v>
      </c>
      <c r="AR1431" s="5">
        <f>VLOOKUP(Transaction[[#This Row],[Model No.]],$AV$2:$BD$100,7,TRUE)*Transaction[[#This Row],[Qty]]</f>
        <v>20.387999999999998</v>
      </c>
      <c r="AS1431">
        <v>1106</v>
      </c>
      <c r="AT1431">
        <v>1006</v>
      </c>
    </row>
    <row r="1432" spans="36:46" x14ac:dyDescent="0.3">
      <c r="AJ1432">
        <v>23758</v>
      </c>
      <c r="AK1432" s="30">
        <v>43394</v>
      </c>
      <c r="AL1432" t="s">
        <v>1723</v>
      </c>
      <c r="AM1432">
        <v>11</v>
      </c>
      <c r="AN1432" t="str">
        <f>VLOOKUP(Transaction[[#This Row],[Model No.]],$AV$2:$BD$100,2,TRUE)</f>
        <v>Kurant 1852 Crystal Limited Edition Vodka</v>
      </c>
      <c r="AO1432" s="21">
        <f>VLOOKUP(Transaction[[#This Row],[Model No.]],$AV$2:$BD$100,6,TRUE)</f>
        <v>40.99</v>
      </c>
      <c r="AP1432" s="9">
        <v>2</v>
      </c>
      <c r="AQ1432" s="5">
        <f>Transaction[[#This Row],[Price]]*Transaction[[#This Row],[Qty]]</f>
        <v>81.98</v>
      </c>
      <c r="AR1432" s="5">
        <f>VLOOKUP(Transaction[[#This Row],[Model No.]],$AV$2:$BD$100,7,TRUE)*Transaction[[#This Row],[Qty]]</f>
        <v>24.594000000000001</v>
      </c>
      <c r="AS1432">
        <v>1101</v>
      </c>
      <c r="AT1432">
        <v>1019</v>
      </c>
    </row>
    <row r="1433" spans="36:46" x14ac:dyDescent="0.3">
      <c r="AJ1433">
        <v>16400</v>
      </c>
      <c r="AK1433" s="30">
        <v>43394</v>
      </c>
      <c r="AL1433" t="s">
        <v>1505</v>
      </c>
      <c r="AM1433">
        <v>45</v>
      </c>
      <c r="AN1433" t="str">
        <f>VLOOKUP(Transaction[[#This Row],[Model No.]],$AV$2:$BD$100,2,TRUE)</f>
        <v>Sixpoint Resin - 6 Pack</v>
      </c>
      <c r="AO1433" s="21">
        <f>VLOOKUP(Transaction[[#This Row],[Model No.]],$AV$2:$BD$100,6,TRUE)</f>
        <v>15.99</v>
      </c>
      <c r="AP1433" s="9">
        <v>1</v>
      </c>
      <c r="AQ1433" s="5">
        <f>Transaction[[#This Row],[Price]]*Transaction[[#This Row],[Qty]]</f>
        <v>15.99</v>
      </c>
      <c r="AR1433" s="5">
        <f>VLOOKUP(Transaction[[#This Row],[Model No.]],$AV$2:$BD$100,7,TRUE)*Transaction[[#This Row],[Qty]]</f>
        <v>4.7969999999999997</v>
      </c>
      <c r="AS1433">
        <v>1099</v>
      </c>
      <c r="AT1433">
        <v>1003</v>
      </c>
    </row>
    <row r="1434" spans="36:46" x14ac:dyDescent="0.3">
      <c r="AJ1434">
        <v>97597</v>
      </c>
      <c r="AK1434" s="30">
        <v>43396</v>
      </c>
      <c r="AL1434" t="s">
        <v>1107</v>
      </c>
      <c r="AM1434">
        <v>11</v>
      </c>
      <c r="AN1434" t="str">
        <f>VLOOKUP(Transaction[[#This Row],[Model No.]],$AV$2:$BD$100,2,TRUE)</f>
        <v>Kurant 1852 Crystal Limited Edition Vodka</v>
      </c>
      <c r="AO1434" s="21">
        <f>VLOOKUP(Transaction[[#This Row],[Model No.]],$AV$2:$BD$100,6,TRUE)</f>
        <v>40.99</v>
      </c>
      <c r="AP1434" s="9">
        <v>3</v>
      </c>
      <c r="AQ1434" s="5">
        <f>Transaction[[#This Row],[Price]]*Transaction[[#This Row],[Qty]]</f>
        <v>122.97</v>
      </c>
      <c r="AR1434" s="5">
        <f>VLOOKUP(Transaction[[#This Row],[Model No.]],$AV$2:$BD$100,7,TRUE)*Transaction[[#This Row],[Qty]]</f>
        <v>36.891000000000005</v>
      </c>
      <c r="AS1434">
        <v>1104</v>
      </c>
      <c r="AT1434">
        <v>1013</v>
      </c>
    </row>
    <row r="1435" spans="36:46" x14ac:dyDescent="0.3">
      <c r="AJ1435">
        <v>95557</v>
      </c>
      <c r="AK1435" s="30">
        <v>43396</v>
      </c>
      <c r="AL1435" t="s">
        <v>1018</v>
      </c>
      <c r="AM1435">
        <v>75</v>
      </c>
      <c r="AN1435" t="str">
        <f>VLOOKUP(Transaction[[#This Row],[Model No.]],$AV$2:$BD$100,2,TRUE)</f>
        <v>Uinta Ready Set Gose - 6 Pack</v>
      </c>
      <c r="AO1435" s="21">
        <f>VLOOKUP(Transaction[[#This Row],[Model No.]],$AV$2:$BD$100,6,TRUE)</f>
        <v>11.99</v>
      </c>
      <c r="AP1435" s="9">
        <v>1</v>
      </c>
      <c r="AQ1435" s="5">
        <f>Transaction[[#This Row],[Price]]*Transaction[[#This Row],[Qty]]</f>
        <v>11.99</v>
      </c>
      <c r="AR1435" s="5">
        <f>VLOOKUP(Transaction[[#This Row],[Model No.]],$AV$2:$BD$100,7,TRUE)*Transaction[[#This Row],[Qty]]</f>
        <v>3.597</v>
      </c>
      <c r="AS1435">
        <v>1098</v>
      </c>
      <c r="AT1435">
        <v>1014</v>
      </c>
    </row>
    <row r="1436" spans="36:46" x14ac:dyDescent="0.3">
      <c r="AJ1436">
        <v>97529</v>
      </c>
      <c r="AK1436" s="30">
        <v>43396</v>
      </c>
      <c r="AL1436" t="s">
        <v>1789</v>
      </c>
      <c r="AM1436">
        <v>87</v>
      </c>
      <c r="AN1436" t="str">
        <f>VLOOKUP(Transaction[[#This Row],[Model No.]],$AV$2:$BD$100,2,TRUE)</f>
        <v>Cruzan 9 Spiced Rum</v>
      </c>
      <c r="AO1436" s="21">
        <f>VLOOKUP(Transaction[[#This Row],[Model No.]],$AV$2:$BD$100,6,TRUE)</f>
        <v>9.49</v>
      </c>
      <c r="AP1436" s="9">
        <v>1</v>
      </c>
      <c r="AQ1436" s="5">
        <f>Transaction[[#This Row],[Price]]*Transaction[[#This Row],[Qty]]</f>
        <v>9.49</v>
      </c>
      <c r="AR1436" s="5">
        <f>VLOOKUP(Transaction[[#This Row],[Model No.]],$AV$2:$BD$100,7,TRUE)*Transaction[[#This Row],[Qty]]</f>
        <v>1.8980000000000001</v>
      </c>
      <c r="AS1436">
        <v>1103</v>
      </c>
      <c r="AT1436">
        <v>1020</v>
      </c>
    </row>
    <row r="1437" spans="36:46" x14ac:dyDescent="0.3">
      <c r="AJ1437">
        <v>26227</v>
      </c>
      <c r="AK1437" s="30">
        <v>43398</v>
      </c>
      <c r="AL1437" t="s">
        <v>622</v>
      </c>
      <c r="AM1437">
        <v>50</v>
      </c>
      <c r="AN1437" t="str">
        <f>VLOOKUP(Transaction[[#This Row],[Model No.]],$AV$2:$BD$100,2,TRUE)</f>
        <v>CLOS DU BOIS ROSE</v>
      </c>
      <c r="AO1437" s="21">
        <f>VLOOKUP(Transaction[[#This Row],[Model No.]],$AV$2:$BD$100,6,TRUE)</f>
        <v>14.99</v>
      </c>
      <c r="AP1437" s="9">
        <v>5</v>
      </c>
      <c r="AQ1437" s="5">
        <f>Transaction[[#This Row],[Price]]*Transaction[[#This Row],[Qty]]</f>
        <v>74.95</v>
      </c>
      <c r="AR1437" s="5">
        <f>VLOOKUP(Transaction[[#This Row],[Model No.]],$AV$2:$BD$100,7,TRUE)*Transaction[[#This Row],[Qty]]</f>
        <v>29.980000000000004</v>
      </c>
      <c r="AS1437">
        <v>1105</v>
      </c>
      <c r="AT1437">
        <v>1011</v>
      </c>
    </row>
    <row r="1438" spans="36:46" x14ac:dyDescent="0.3">
      <c r="AJ1438">
        <v>94324</v>
      </c>
      <c r="AK1438" s="30">
        <v>43399</v>
      </c>
      <c r="AL1438" t="s">
        <v>1122</v>
      </c>
      <c r="AM1438">
        <v>44</v>
      </c>
      <c r="AN1438" t="str">
        <f>VLOOKUP(Transaction[[#This Row],[Model No.]],$AV$2:$BD$100,2,TRUE)</f>
        <v>Brasserie de Silly Saison - 4 Pack</v>
      </c>
      <c r="AO1438" s="21">
        <f>VLOOKUP(Transaction[[#This Row],[Model No.]],$AV$2:$BD$100,6,TRUE)</f>
        <v>16.989999999999998</v>
      </c>
      <c r="AP1438" s="9">
        <v>3</v>
      </c>
      <c r="AQ1438" s="5">
        <f>Transaction[[#This Row],[Price]]*Transaction[[#This Row],[Qty]]</f>
        <v>50.97</v>
      </c>
      <c r="AR1438" s="5">
        <f>VLOOKUP(Transaction[[#This Row],[Model No.]],$AV$2:$BD$100,7,TRUE)*Transaction[[#This Row],[Qty]]</f>
        <v>15.290999999999999</v>
      </c>
      <c r="AS1438">
        <v>1108</v>
      </c>
      <c r="AT1438">
        <v>1013</v>
      </c>
    </row>
    <row r="1439" spans="36:46" x14ac:dyDescent="0.3">
      <c r="AJ1439">
        <v>19439</v>
      </c>
      <c r="AK1439" s="30">
        <v>43402</v>
      </c>
      <c r="AL1439" t="s">
        <v>399</v>
      </c>
      <c r="AM1439">
        <v>51</v>
      </c>
      <c r="AN1439" t="str">
        <f>VLOOKUP(Transaction[[#This Row],[Model No.]],$AV$2:$BD$100,2,TRUE)</f>
        <v>Waterbrook Cabernet Sauvignon</v>
      </c>
      <c r="AO1439" s="21">
        <f>VLOOKUP(Transaction[[#This Row],[Model No.]],$AV$2:$BD$100,6,TRUE)</f>
        <v>14.99</v>
      </c>
      <c r="AP1439" s="9">
        <v>1</v>
      </c>
      <c r="AQ1439" s="5">
        <f>Transaction[[#This Row],[Price]]*Transaction[[#This Row],[Qty]]</f>
        <v>14.99</v>
      </c>
      <c r="AR1439" s="5">
        <f>VLOOKUP(Transaction[[#This Row],[Model No.]],$AV$2:$BD$100,7,TRUE)*Transaction[[#This Row],[Qty]]</f>
        <v>1.4990000000000001</v>
      </c>
      <c r="AS1439">
        <v>1104</v>
      </c>
      <c r="AT1439">
        <v>1019</v>
      </c>
    </row>
    <row r="1440" spans="36:46" x14ac:dyDescent="0.3">
      <c r="AJ1440">
        <v>94454</v>
      </c>
      <c r="AK1440" s="30">
        <v>43403</v>
      </c>
      <c r="AL1440" t="s">
        <v>980</v>
      </c>
      <c r="AM1440">
        <v>30</v>
      </c>
      <c r="AN1440" t="str">
        <f>VLOOKUP(Transaction[[#This Row],[Model No.]],$AV$2:$BD$100,2,TRUE)</f>
        <v>Kahlua Cinnamon Spice Liqueur</v>
      </c>
      <c r="AO1440" s="21">
        <f>VLOOKUP(Transaction[[#This Row],[Model No.]],$AV$2:$BD$100,6,TRUE)</f>
        <v>22.99</v>
      </c>
      <c r="AP1440" s="9">
        <v>5</v>
      </c>
      <c r="AQ1440" s="5">
        <f>Transaction[[#This Row],[Price]]*Transaction[[#This Row],[Qty]]</f>
        <v>114.94999999999999</v>
      </c>
      <c r="AR1440" s="5">
        <f>VLOOKUP(Transaction[[#This Row],[Model No.]],$AV$2:$BD$100,7,TRUE)*Transaction[[#This Row],[Qty]]</f>
        <v>34.484999999999999</v>
      </c>
      <c r="AS1440">
        <v>1101</v>
      </c>
      <c r="AT1440">
        <v>1003</v>
      </c>
    </row>
    <row r="1441" spans="36:46" x14ac:dyDescent="0.3">
      <c r="AJ1441">
        <v>33448</v>
      </c>
      <c r="AK1441" s="30">
        <v>43406</v>
      </c>
      <c r="AL1441" t="s">
        <v>823</v>
      </c>
      <c r="AM1441">
        <v>40</v>
      </c>
      <c r="AN1441" t="str">
        <f>VLOOKUP(Transaction[[#This Row],[Model No.]],$AV$2:$BD$100,2,TRUE)</f>
        <v>Takara Can Chu Hi JPop Grapefruit - 6 Pack</v>
      </c>
      <c r="AO1441" s="21">
        <f>VLOOKUP(Transaction[[#This Row],[Model No.]],$AV$2:$BD$100,6,TRUE)</f>
        <v>17.989999999999998</v>
      </c>
      <c r="AP1441" s="9">
        <v>1</v>
      </c>
      <c r="AQ1441" s="5">
        <f>Transaction[[#This Row],[Price]]*Transaction[[#This Row],[Qty]]</f>
        <v>17.989999999999998</v>
      </c>
      <c r="AR1441" s="5">
        <f>VLOOKUP(Transaction[[#This Row],[Model No.]],$AV$2:$BD$100,7,TRUE)*Transaction[[#This Row],[Qty]]</f>
        <v>5.3969999999999994</v>
      </c>
      <c r="AS1441">
        <v>1104</v>
      </c>
      <c r="AT1441">
        <v>1020</v>
      </c>
    </row>
    <row r="1442" spans="36:46" x14ac:dyDescent="0.3">
      <c r="AJ1442">
        <v>11854</v>
      </c>
      <c r="AK1442" s="30">
        <v>43408</v>
      </c>
      <c r="AL1442" t="s">
        <v>1759</v>
      </c>
      <c r="AM1442">
        <v>85</v>
      </c>
      <c r="AN1442" t="str">
        <f>VLOOKUP(Transaction[[#This Row],[Model No.]],$AV$2:$BD$100,2,TRUE)</f>
        <v>Shiner Sea Salt &amp; Lime - 6 Pack</v>
      </c>
      <c r="AO1442" s="21">
        <f>VLOOKUP(Transaction[[#This Row],[Model No.]],$AV$2:$BD$100,6,TRUE)</f>
        <v>9.99</v>
      </c>
      <c r="AP1442" s="9">
        <v>5</v>
      </c>
      <c r="AQ1442" s="5">
        <f>Transaction[[#This Row],[Price]]*Transaction[[#This Row],[Qty]]</f>
        <v>49.95</v>
      </c>
      <c r="AR1442" s="5">
        <f>VLOOKUP(Transaction[[#This Row],[Model No.]],$AV$2:$BD$100,7,TRUE)*Transaction[[#This Row],[Qty]]</f>
        <v>14.984999999999999</v>
      </c>
      <c r="AS1442">
        <v>1100</v>
      </c>
      <c r="AT1442">
        <v>1020</v>
      </c>
    </row>
    <row r="1443" spans="36:46" x14ac:dyDescent="0.3">
      <c r="AJ1443">
        <v>53701</v>
      </c>
      <c r="AK1443" s="30">
        <v>43410</v>
      </c>
      <c r="AL1443" t="s">
        <v>1200</v>
      </c>
      <c r="AM1443">
        <v>51</v>
      </c>
      <c r="AN1443" t="str">
        <f>VLOOKUP(Transaction[[#This Row],[Model No.]],$AV$2:$BD$100,2,TRUE)</f>
        <v>Waterbrook Cabernet Sauvignon</v>
      </c>
      <c r="AO1443" s="21">
        <f>VLOOKUP(Transaction[[#This Row],[Model No.]],$AV$2:$BD$100,6,TRUE)</f>
        <v>14.99</v>
      </c>
      <c r="AP1443" s="9">
        <v>3</v>
      </c>
      <c r="AQ1443" s="5">
        <f>Transaction[[#This Row],[Price]]*Transaction[[#This Row],[Qty]]</f>
        <v>44.97</v>
      </c>
      <c r="AR1443" s="5">
        <f>VLOOKUP(Transaction[[#This Row],[Model No.]],$AV$2:$BD$100,7,TRUE)*Transaction[[#This Row],[Qty]]</f>
        <v>4.4969999999999999</v>
      </c>
      <c r="AS1443">
        <v>1105</v>
      </c>
      <c r="AT1443">
        <v>1004</v>
      </c>
    </row>
    <row r="1444" spans="36:46" x14ac:dyDescent="0.3">
      <c r="AJ1444">
        <v>72166</v>
      </c>
      <c r="AK1444" s="30">
        <v>43410</v>
      </c>
      <c r="AL1444" t="s">
        <v>1411</v>
      </c>
      <c r="AM1444">
        <v>58</v>
      </c>
      <c r="AN1444" t="str">
        <f>VLOOKUP(Transaction[[#This Row],[Model No.]],$AV$2:$BD$100,2,TRUE)</f>
        <v>Smirnoff Mango Vodka</v>
      </c>
      <c r="AO1444" s="21">
        <f>VLOOKUP(Transaction[[#This Row],[Model No.]],$AV$2:$BD$100,6,TRUE)</f>
        <v>13.49</v>
      </c>
      <c r="AP1444" s="9">
        <v>4</v>
      </c>
      <c r="AQ1444" s="5">
        <f>Transaction[[#This Row],[Price]]*Transaction[[#This Row],[Qty]]</f>
        <v>53.96</v>
      </c>
      <c r="AR1444" s="5">
        <f>VLOOKUP(Transaction[[#This Row],[Model No.]],$AV$2:$BD$100,7,TRUE)*Transaction[[#This Row],[Qty]]</f>
        <v>16.187999999999999</v>
      </c>
      <c r="AS1444">
        <v>1106</v>
      </c>
      <c r="AT1444">
        <v>1013</v>
      </c>
    </row>
    <row r="1445" spans="36:46" x14ac:dyDescent="0.3">
      <c r="AJ1445">
        <v>34678</v>
      </c>
      <c r="AK1445" s="30">
        <v>43411</v>
      </c>
      <c r="AL1445" t="s">
        <v>1540</v>
      </c>
      <c r="AM1445">
        <v>94</v>
      </c>
      <c r="AN1445" t="str">
        <f>VLOOKUP(Transaction[[#This Row],[Model No.]],$AV$2:$BD$100,2,TRUE)</f>
        <v>Freixenet Blanc de Blancs Brut Cava Blend</v>
      </c>
      <c r="AO1445" s="21">
        <f>VLOOKUP(Transaction[[#This Row],[Model No.]],$AV$2:$BD$100,6,TRUE)</f>
        <v>7.49</v>
      </c>
      <c r="AP1445" s="9">
        <v>2</v>
      </c>
      <c r="AQ1445" s="5">
        <f>Transaction[[#This Row],[Price]]*Transaction[[#This Row],[Qty]]</f>
        <v>14.98</v>
      </c>
      <c r="AR1445" s="5">
        <f>VLOOKUP(Transaction[[#This Row],[Model No.]],$AV$2:$BD$100,7,TRUE)*Transaction[[#This Row],[Qty]]</f>
        <v>1.4980000000000002</v>
      </c>
      <c r="AS1445">
        <v>1102</v>
      </c>
      <c r="AT1445">
        <v>1004</v>
      </c>
    </row>
    <row r="1446" spans="36:46" x14ac:dyDescent="0.3">
      <c r="AJ1446">
        <v>10343</v>
      </c>
      <c r="AK1446" s="30">
        <v>43412</v>
      </c>
      <c r="AL1446" t="s">
        <v>1297</v>
      </c>
      <c r="AM1446">
        <v>45</v>
      </c>
      <c r="AN1446" t="str">
        <f>VLOOKUP(Transaction[[#This Row],[Model No.]],$AV$2:$BD$100,2,TRUE)</f>
        <v>Sixpoint Resin - 6 Pack</v>
      </c>
      <c r="AO1446" s="21">
        <f>VLOOKUP(Transaction[[#This Row],[Model No.]],$AV$2:$BD$100,6,TRUE)</f>
        <v>15.99</v>
      </c>
      <c r="AP1446" s="9">
        <v>5</v>
      </c>
      <c r="AQ1446" s="5">
        <f>Transaction[[#This Row],[Price]]*Transaction[[#This Row],[Qty]]</f>
        <v>79.95</v>
      </c>
      <c r="AR1446" s="5">
        <f>VLOOKUP(Transaction[[#This Row],[Model No.]],$AV$2:$BD$100,7,TRUE)*Transaction[[#This Row],[Qty]]</f>
        <v>23.984999999999999</v>
      </c>
      <c r="AS1446">
        <v>1101</v>
      </c>
      <c r="AT1446">
        <v>1006</v>
      </c>
    </row>
    <row r="1447" spans="36:46" x14ac:dyDescent="0.3">
      <c r="AJ1447">
        <v>71526</v>
      </c>
      <c r="AK1447" s="30">
        <v>43412</v>
      </c>
      <c r="AL1447" t="s">
        <v>1774</v>
      </c>
      <c r="AM1447">
        <v>70</v>
      </c>
      <c r="AN1447" t="str">
        <f>VLOOKUP(Transaction[[#This Row],[Model No.]],$AV$2:$BD$100,2,TRUE)</f>
        <v>Matchbook Rose Estate Bottled Tempranillo</v>
      </c>
      <c r="AO1447" s="21">
        <f>VLOOKUP(Transaction[[#This Row],[Model No.]],$AV$2:$BD$100,6,TRUE)</f>
        <v>12.69</v>
      </c>
      <c r="AP1447" s="9">
        <v>5</v>
      </c>
      <c r="AQ1447" s="5">
        <f>Transaction[[#This Row],[Price]]*Transaction[[#This Row],[Qty]]</f>
        <v>63.449999999999996</v>
      </c>
      <c r="AR1447" s="5">
        <f>VLOOKUP(Transaction[[#This Row],[Model No.]],$AV$2:$BD$100,7,TRUE)*Transaction[[#This Row],[Qty]]</f>
        <v>6.3450000000000006</v>
      </c>
      <c r="AS1447">
        <v>1099</v>
      </c>
      <c r="AT1447">
        <v>1010</v>
      </c>
    </row>
    <row r="1448" spans="36:46" x14ac:dyDescent="0.3">
      <c r="AJ1448">
        <v>64491</v>
      </c>
      <c r="AK1448" s="30">
        <v>43413</v>
      </c>
      <c r="AL1448" t="s">
        <v>654</v>
      </c>
      <c r="AM1448">
        <v>38</v>
      </c>
      <c r="AN1448" t="str">
        <f>VLOOKUP(Transaction[[#This Row],[Model No.]],$AV$2:$BD$100,2,TRUE)</f>
        <v>CiROC Red Berry Vodka</v>
      </c>
      <c r="AO1448" s="21">
        <f>VLOOKUP(Transaction[[#This Row],[Model No.]],$AV$2:$BD$100,6,TRUE)</f>
        <v>19.989999999999998</v>
      </c>
      <c r="AP1448" s="9">
        <v>5</v>
      </c>
      <c r="AQ1448" s="5">
        <f>Transaction[[#This Row],[Price]]*Transaction[[#This Row],[Qty]]</f>
        <v>99.949999999999989</v>
      </c>
      <c r="AR1448" s="5">
        <f>VLOOKUP(Transaction[[#This Row],[Model No.]],$AV$2:$BD$100,7,TRUE)*Transaction[[#This Row],[Qty]]</f>
        <v>29.984999999999996</v>
      </c>
      <c r="AS1448">
        <v>1101</v>
      </c>
      <c r="AT1448">
        <v>1000</v>
      </c>
    </row>
    <row r="1449" spans="36:46" x14ac:dyDescent="0.3">
      <c r="AJ1449">
        <v>36694</v>
      </c>
      <c r="AK1449" s="30">
        <v>43415</v>
      </c>
      <c r="AL1449" t="s">
        <v>531</v>
      </c>
      <c r="AM1449">
        <v>26</v>
      </c>
      <c r="AN1449" t="str">
        <f>VLOOKUP(Transaction[[#This Row],[Model No.]],$AV$2:$BD$100,2,TRUE)</f>
        <v>Belhaven Scottish Stout - 4 Pack</v>
      </c>
      <c r="AO1449" s="21">
        <f>VLOOKUP(Transaction[[#This Row],[Model No.]],$AV$2:$BD$100,6,TRUE)</f>
        <v>23.99</v>
      </c>
      <c r="AP1449" s="9">
        <v>1</v>
      </c>
      <c r="AQ1449" s="5">
        <f>Transaction[[#This Row],[Price]]*Transaction[[#This Row],[Qty]]</f>
        <v>23.99</v>
      </c>
      <c r="AR1449" s="5">
        <f>VLOOKUP(Transaction[[#This Row],[Model No.]],$AV$2:$BD$100,7,TRUE)*Transaction[[#This Row],[Qty]]</f>
        <v>7.1969999999999992</v>
      </c>
      <c r="AS1449">
        <v>1106</v>
      </c>
      <c r="AT1449">
        <v>1000</v>
      </c>
    </row>
    <row r="1450" spans="36:46" x14ac:dyDescent="0.3">
      <c r="AJ1450">
        <v>32815</v>
      </c>
      <c r="AK1450" s="30">
        <v>43415</v>
      </c>
      <c r="AL1450" t="s">
        <v>1394</v>
      </c>
      <c r="AM1450">
        <v>56</v>
      </c>
      <c r="AN1450" t="str">
        <f>VLOOKUP(Transaction[[#This Row],[Model No.]],$AV$2:$BD$100,2,TRUE)</f>
        <v>Roy Pitz Sour Hound - 6 Pack</v>
      </c>
      <c r="AO1450" s="21">
        <f>VLOOKUP(Transaction[[#This Row],[Model No.]],$AV$2:$BD$100,6,TRUE)</f>
        <v>13.99</v>
      </c>
      <c r="AP1450" s="9">
        <v>4</v>
      </c>
      <c r="AQ1450" s="5">
        <f>Transaction[[#This Row],[Price]]*Transaction[[#This Row],[Qty]]</f>
        <v>55.96</v>
      </c>
      <c r="AR1450" s="5">
        <f>VLOOKUP(Transaction[[#This Row],[Model No.]],$AV$2:$BD$100,7,TRUE)*Transaction[[#This Row],[Qty]]</f>
        <v>16.788</v>
      </c>
      <c r="AS1450">
        <v>1102</v>
      </c>
      <c r="AT1450">
        <v>1021</v>
      </c>
    </row>
    <row r="1451" spans="36:46" x14ac:dyDescent="0.3">
      <c r="AJ1451">
        <v>69806</v>
      </c>
      <c r="AK1451" s="30">
        <v>43415</v>
      </c>
      <c r="AL1451" t="s">
        <v>490</v>
      </c>
      <c r="AM1451">
        <v>95</v>
      </c>
      <c r="AN1451" t="str">
        <f>VLOOKUP(Transaction[[#This Row],[Model No.]],$AV$2:$BD$100,2,TRUE)</f>
        <v>Kuromatsu Hakushika Chokara Extra Dry Sake</v>
      </c>
      <c r="AO1451" s="21">
        <f>VLOOKUP(Transaction[[#This Row],[Model No.]],$AV$2:$BD$100,6,TRUE)</f>
        <v>7.49</v>
      </c>
      <c r="AP1451" s="9">
        <v>5</v>
      </c>
      <c r="AQ1451" s="5">
        <f>Transaction[[#This Row],[Price]]*Transaction[[#This Row],[Qty]]</f>
        <v>37.450000000000003</v>
      </c>
      <c r="AR1451" s="5">
        <f>VLOOKUP(Transaction[[#This Row],[Model No.]],$AV$2:$BD$100,7,TRUE)*Transaction[[#This Row],[Qty]]</f>
        <v>3.7450000000000006</v>
      </c>
      <c r="AS1451">
        <v>1106</v>
      </c>
      <c r="AT1451">
        <v>1020</v>
      </c>
    </row>
    <row r="1452" spans="36:46" x14ac:dyDescent="0.3">
      <c r="AJ1452">
        <v>42561</v>
      </c>
      <c r="AK1452" s="30">
        <v>43416</v>
      </c>
      <c r="AL1452" t="s">
        <v>1456</v>
      </c>
      <c r="AM1452">
        <v>26</v>
      </c>
      <c r="AN1452" t="str">
        <f>VLOOKUP(Transaction[[#This Row],[Model No.]],$AV$2:$BD$100,2,TRUE)</f>
        <v>Belhaven Scottish Stout - 4 Pack</v>
      </c>
      <c r="AO1452" s="21">
        <f>VLOOKUP(Transaction[[#This Row],[Model No.]],$AV$2:$BD$100,6,TRUE)</f>
        <v>23.99</v>
      </c>
      <c r="AP1452" s="9">
        <v>5</v>
      </c>
      <c r="AQ1452" s="5">
        <f>Transaction[[#This Row],[Price]]*Transaction[[#This Row],[Qty]]</f>
        <v>119.94999999999999</v>
      </c>
      <c r="AR1452" s="5">
        <f>VLOOKUP(Transaction[[#This Row],[Model No.]],$AV$2:$BD$100,7,TRUE)*Transaction[[#This Row],[Qty]]</f>
        <v>35.984999999999999</v>
      </c>
      <c r="AS1452">
        <v>1105</v>
      </c>
      <c r="AT1452">
        <v>1012</v>
      </c>
    </row>
    <row r="1453" spans="36:46" x14ac:dyDescent="0.3">
      <c r="AJ1453">
        <v>13019</v>
      </c>
      <c r="AK1453" s="30">
        <v>43417</v>
      </c>
      <c r="AL1453" t="s">
        <v>1629</v>
      </c>
      <c r="AM1453">
        <v>23</v>
      </c>
      <c r="AN1453" t="str">
        <f>VLOOKUP(Transaction[[#This Row],[Model No.]],$AV$2:$BD$100,2,TRUE)</f>
        <v>Brinley Gold Shipwreck Mango Rum</v>
      </c>
      <c r="AO1453" s="21">
        <f>VLOOKUP(Transaction[[#This Row],[Model No.]],$AV$2:$BD$100,6,TRUE)</f>
        <v>25.99</v>
      </c>
      <c r="AP1453" s="9">
        <v>1</v>
      </c>
      <c r="AQ1453" s="5">
        <f>Transaction[[#This Row],[Price]]*Transaction[[#This Row],[Qty]]</f>
        <v>25.99</v>
      </c>
      <c r="AR1453" s="5">
        <f>VLOOKUP(Transaction[[#This Row],[Model No.]],$AV$2:$BD$100,7,TRUE)*Transaction[[#This Row],[Qty]]</f>
        <v>5.1980000000000004</v>
      </c>
      <c r="AS1453">
        <v>1104</v>
      </c>
      <c r="AT1453">
        <v>1014</v>
      </c>
    </row>
    <row r="1454" spans="36:46" x14ac:dyDescent="0.3">
      <c r="AJ1454">
        <v>22701</v>
      </c>
      <c r="AK1454" s="30">
        <v>43418</v>
      </c>
      <c r="AL1454" t="s">
        <v>1899</v>
      </c>
      <c r="AM1454">
        <v>84</v>
      </c>
      <c r="AN1454" t="str">
        <f>VLOOKUP(Transaction[[#This Row],[Model No.]],$AV$2:$BD$100,2,TRUE)</f>
        <v>UV Blue Raspberry Vodka</v>
      </c>
      <c r="AO1454" s="21">
        <f>VLOOKUP(Transaction[[#This Row],[Model No.]],$AV$2:$BD$100,6,TRUE)</f>
        <v>10.49</v>
      </c>
      <c r="AP1454" s="9">
        <v>1</v>
      </c>
      <c r="AQ1454" s="5">
        <f>Transaction[[#This Row],[Price]]*Transaction[[#This Row],[Qty]]</f>
        <v>10.49</v>
      </c>
      <c r="AR1454" s="5">
        <f>VLOOKUP(Transaction[[#This Row],[Model No.]],$AV$2:$BD$100,7,TRUE)*Transaction[[#This Row],[Qty]]</f>
        <v>3.1469999999999998</v>
      </c>
      <c r="AS1454">
        <v>1098</v>
      </c>
      <c r="AT1454">
        <v>1002</v>
      </c>
    </row>
    <row r="1455" spans="36:46" x14ac:dyDescent="0.3">
      <c r="AJ1455">
        <v>29741</v>
      </c>
      <c r="AK1455" s="30">
        <v>43419</v>
      </c>
      <c r="AL1455" t="s">
        <v>1488</v>
      </c>
      <c r="AM1455">
        <v>97</v>
      </c>
      <c r="AN1455" t="str">
        <f>VLOOKUP(Transaction[[#This Row],[Model No.]],$AV$2:$BD$100,2,TRUE)</f>
        <v>Sea Ridge Cabernet Sauvignon</v>
      </c>
      <c r="AO1455" s="21">
        <f>VLOOKUP(Transaction[[#This Row],[Model No.]],$AV$2:$BD$100,6,TRUE)</f>
        <v>5.99</v>
      </c>
      <c r="AP1455" s="9">
        <v>2</v>
      </c>
      <c r="AQ1455" s="5">
        <f>Transaction[[#This Row],[Price]]*Transaction[[#This Row],[Qty]]</f>
        <v>11.98</v>
      </c>
      <c r="AR1455" s="5">
        <f>VLOOKUP(Transaction[[#This Row],[Model No.]],$AV$2:$BD$100,7,TRUE)*Transaction[[#This Row],[Qty]]</f>
        <v>1.1980000000000002</v>
      </c>
      <c r="AS1455">
        <v>1099</v>
      </c>
      <c r="AT1455">
        <v>1007</v>
      </c>
    </row>
    <row r="1456" spans="36:46" x14ac:dyDescent="0.3">
      <c r="AJ1456">
        <v>12653</v>
      </c>
      <c r="AK1456" s="30">
        <v>43420</v>
      </c>
      <c r="AL1456" t="s">
        <v>1434</v>
      </c>
      <c r="AM1456">
        <v>17</v>
      </c>
      <c r="AN1456" t="str">
        <f>VLOOKUP(Transaction[[#This Row],[Model No.]],$AV$2:$BD$100,2,TRUE)</f>
        <v>Miller Lite Can - 24 Pack</v>
      </c>
      <c r="AO1456" s="21">
        <f>VLOOKUP(Transaction[[#This Row],[Model No.]],$AV$2:$BD$100,6,TRUE)</f>
        <v>30.99</v>
      </c>
      <c r="AP1456" s="9">
        <v>5</v>
      </c>
      <c r="AQ1456" s="5">
        <f>Transaction[[#This Row],[Price]]*Transaction[[#This Row],[Qty]]</f>
        <v>154.94999999999999</v>
      </c>
      <c r="AR1456" s="5">
        <f>VLOOKUP(Transaction[[#This Row],[Model No.]],$AV$2:$BD$100,7,TRUE)*Transaction[[#This Row],[Qty]]</f>
        <v>46.484999999999992</v>
      </c>
      <c r="AS1456">
        <v>1105</v>
      </c>
      <c r="AT1456">
        <v>1010</v>
      </c>
    </row>
    <row r="1457" spans="36:46" x14ac:dyDescent="0.3">
      <c r="AJ1457">
        <v>71597</v>
      </c>
      <c r="AK1457" s="30">
        <v>43420</v>
      </c>
      <c r="AL1457" t="s">
        <v>1155</v>
      </c>
      <c r="AM1457">
        <v>60</v>
      </c>
      <c r="AN1457" t="str">
        <f>VLOOKUP(Transaction[[#This Row],[Model No.]],$AV$2:$BD$100,2,TRUE)</f>
        <v>La Catrina Cabernet Sauvignon</v>
      </c>
      <c r="AO1457" s="21">
        <f>VLOOKUP(Transaction[[#This Row],[Model No.]],$AV$2:$BD$100,6,TRUE)</f>
        <v>12.99</v>
      </c>
      <c r="AP1457" s="9">
        <v>4</v>
      </c>
      <c r="AQ1457" s="5">
        <f>Transaction[[#This Row],[Price]]*Transaction[[#This Row],[Qty]]</f>
        <v>51.96</v>
      </c>
      <c r="AR1457" s="5">
        <f>VLOOKUP(Transaction[[#This Row],[Model No.]],$AV$2:$BD$100,7,TRUE)*Transaction[[#This Row],[Qty]]</f>
        <v>5.1960000000000006</v>
      </c>
      <c r="AS1457">
        <v>1105</v>
      </c>
      <c r="AT1457">
        <v>1001</v>
      </c>
    </row>
    <row r="1458" spans="36:46" x14ac:dyDescent="0.3">
      <c r="AJ1458">
        <v>40233</v>
      </c>
      <c r="AK1458" s="30">
        <v>43422</v>
      </c>
      <c r="AL1458" t="s">
        <v>1841</v>
      </c>
      <c r="AM1458">
        <v>14</v>
      </c>
      <c r="AN1458" t="str">
        <f>VLOOKUP(Transaction[[#This Row],[Model No.]],$AV$2:$BD$100,2,TRUE)</f>
        <v>Walter Hansel Winery The Estate Vineyards Chardonnay</v>
      </c>
      <c r="AO1458" s="21">
        <f>VLOOKUP(Transaction[[#This Row],[Model No.]],$AV$2:$BD$100,6,TRUE)</f>
        <v>34.99</v>
      </c>
      <c r="AP1458" s="9">
        <v>1</v>
      </c>
      <c r="AQ1458" s="5">
        <f>Transaction[[#This Row],[Price]]*Transaction[[#This Row],[Qty]]</f>
        <v>34.99</v>
      </c>
      <c r="AR1458" s="5">
        <f>VLOOKUP(Transaction[[#This Row],[Model No.]],$AV$2:$BD$100,7,TRUE)*Transaction[[#This Row],[Qty]]</f>
        <v>6.9980000000000011</v>
      </c>
      <c r="AS1458">
        <v>1105</v>
      </c>
      <c r="AT1458">
        <v>1003</v>
      </c>
    </row>
    <row r="1459" spans="36:46" x14ac:dyDescent="0.3">
      <c r="AJ1459">
        <v>22377</v>
      </c>
      <c r="AK1459" s="30">
        <v>43423</v>
      </c>
      <c r="AL1459" t="s">
        <v>1418</v>
      </c>
      <c r="AM1459">
        <v>22</v>
      </c>
      <c r="AN1459" t="str">
        <f>VLOOKUP(Transaction[[#This Row],[Model No.]],$AV$2:$BD$100,2,TRUE)</f>
        <v>Efe Raki Black Triple Distilled Liqueur</v>
      </c>
      <c r="AO1459" s="21">
        <f>VLOOKUP(Transaction[[#This Row],[Model No.]],$AV$2:$BD$100,6,TRUE)</f>
        <v>25.99</v>
      </c>
      <c r="AP1459" s="9">
        <v>1</v>
      </c>
      <c r="AQ1459" s="5">
        <f>Transaction[[#This Row],[Price]]*Transaction[[#This Row],[Qty]]</f>
        <v>25.99</v>
      </c>
      <c r="AR1459" s="5">
        <f>VLOOKUP(Transaction[[#This Row],[Model No.]],$AV$2:$BD$100,7,TRUE)*Transaction[[#This Row],[Qty]]</f>
        <v>7.7969999999999988</v>
      </c>
      <c r="AS1459">
        <v>1104</v>
      </c>
      <c r="AT1459">
        <v>1005</v>
      </c>
    </row>
    <row r="1460" spans="36:46" x14ac:dyDescent="0.3">
      <c r="AJ1460">
        <v>10717</v>
      </c>
      <c r="AK1460" s="30">
        <v>43426</v>
      </c>
      <c r="AL1460" t="s">
        <v>1025</v>
      </c>
      <c r="AM1460">
        <v>35</v>
      </c>
      <c r="AN1460" t="str">
        <f>VLOOKUP(Transaction[[#This Row],[Model No.]],$AV$2:$BD$100,2,TRUE)</f>
        <v>Troegenator Double Bock Can - 12 Pack</v>
      </c>
      <c r="AO1460" s="21">
        <f>VLOOKUP(Transaction[[#This Row],[Model No.]],$AV$2:$BD$100,6,TRUE)</f>
        <v>20.99</v>
      </c>
      <c r="AP1460" s="9">
        <v>1</v>
      </c>
      <c r="AQ1460" s="5">
        <f>Transaction[[#This Row],[Price]]*Transaction[[#This Row],[Qty]]</f>
        <v>20.99</v>
      </c>
      <c r="AR1460" s="5">
        <f>VLOOKUP(Transaction[[#This Row],[Model No.]],$AV$2:$BD$100,7,TRUE)*Transaction[[#This Row],[Qty]]</f>
        <v>6.2969999999999997</v>
      </c>
      <c r="AS1460">
        <v>1107</v>
      </c>
      <c r="AT1460">
        <v>1000</v>
      </c>
    </row>
    <row r="1461" spans="36:46" x14ac:dyDescent="0.3">
      <c r="AJ1461">
        <v>23194</v>
      </c>
      <c r="AK1461" s="30">
        <v>43427</v>
      </c>
      <c r="AL1461" t="s">
        <v>1491</v>
      </c>
      <c r="AM1461">
        <v>10</v>
      </c>
      <c r="AN1461" t="str">
        <f>VLOOKUP(Transaction[[#This Row],[Model No.]],$AV$2:$BD$100,2,TRUE)</f>
        <v>Hum Botanical Spirit Liqueur</v>
      </c>
      <c r="AO1461" s="21">
        <f>VLOOKUP(Transaction[[#This Row],[Model No.]],$AV$2:$BD$100,6,TRUE)</f>
        <v>41.99</v>
      </c>
      <c r="AP1461" s="9">
        <v>1</v>
      </c>
      <c r="AQ1461" s="5">
        <f>Transaction[[#This Row],[Price]]*Transaction[[#This Row],[Qty]]</f>
        <v>41.99</v>
      </c>
      <c r="AR1461" s="5">
        <f>VLOOKUP(Transaction[[#This Row],[Model No.]],$AV$2:$BD$100,7,TRUE)*Transaction[[#This Row],[Qty]]</f>
        <v>12.597</v>
      </c>
      <c r="AS1461">
        <v>1099</v>
      </c>
      <c r="AT1461">
        <v>1005</v>
      </c>
    </row>
    <row r="1462" spans="36:46" x14ac:dyDescent="0.3">
      <c r="AJ1462">
        <v>62252</v>
      </c>
      <c r="AK1462" s="30">
        <v>43427</v>
      </c>
      <c r="AL1462" t="s">
        <v>630</v>
      </c>
      <c r="AM1462">
        <v>14</v>
      </c>
      <c r="AN1462" t="str">
        <f>VLOOKUP(Transaction[[#This Row],[Model No.]],$AV$2:$BD$100,2,TRUE)</f>
        <v>Walter Hansel Winery The Estate Vineyards Chardonnay</v>
      </c>
      <c r="AO1462" s="21">
        <f>VLOOKUP(Transaction[[#This Row],[Model No.]],$AV$2:$BD$100,6,TRUE)</f>
        <v>34.99</v>
      </c>
      <c r="AP1462" s="9">
        <v>5</v>
      </c>
      <c r="AQ1462" s="5">
        <f>Transaction[[#This Row],[Price]]*Transaction[[#This Row],[Qty]]</f>
        <v>174.95000000000002</v>
      </c>
      <c r="AR1462" s="5">
        <f>VLOOKUP(Transaction[[#This Row],[Model No.]],$AV$2:$BD$100,7,TRUE)*Transaction[[#This Row],[Qty]]</f>
        <v>34.990000000000009</v>
      </c>
      <c r="AS1462">
        <v>1104</v>
      </c>
      <c r="AT1462">
        <v>1006</v>
      </c>
    </row>
    <row r="1463" spans="36:46" x14ac:dyDescent="0.3">
      <c r="AJ1463">
        <v>38788</v>
      </c>
      <c r="AK1463" s="30">
        <v>43427</v>
      </c>
      <c r="AL1463" t="s">
        <v>1249</v>
      </c>
      <c r="AM1463">
        <v>92</v>
      </c>
      <c r="AN1463" t="str">
        <f>VLOOKUP(Transaction[[#This Row],[Model No.]],$AV$2:$BD$100,2,TRUE)</f>
        <v>Four Seasons Collection Late Harvest White Moscato Dessert Muscat</v>
      </c>
      <c r="AO1463" s="21">
        <f>VLOOKUP(Transaction[[#This Row],[Model No.]],$AV$2:$BD$100,6,TRUE)</f>
        <v>7.69</v>
      </c>
      <c r="AP1463" s="9">
        <v>1</v>
      </c>
      <c r="AQ1463" s="5">
        <f>Transaction[[#This Row],[Price]]*Transaction[[#This Row],[Qty]]</f>
        <v>7.69</v>
      </c>
      <c r="AR1463" s="5">
        <f>VLOOKUP(Transaction[[#This Row],[Model No.]],$AV$2:$BD$100,7,TRUE)*Transaction[[#This Row],[Qty]]</f>
        <v>0.76900000000000013</v>
      </c>
      <c r="AS1463">
        <v>1105</v>
      </c>
      <c r="AT1463">
        <v>1020</v>
      </c>
    </row>
    <row r="1464" spans="36:46" x14ac:dyDescent="0.3">
      <c r="AJ1464">
        <v>81893</v>
      </c>
      <c r="AK1464" s="30">
        <v>43429</v>
      </c>
      <c r="AL1464" t="s">
        <v>861</v>
      </c>
      <c r="AM1464">
        <v>18</v>
      </c>
      <c r="AN1464" t="str">
        <f>VLOOKUP(Transaction[[#This Row],[Model No.]],$AV$2:$BD$100,2,TRUE)</f>
        <v>Twenty Grand Peach Vodka</v>
      </c>
      <c r="AO1464" s="21">
        <f>VLOOKUP(Transaction[[#This Row],[Model No.]],$AV$2:$BD$100,6,TRUE)</f>
        <v>30.99</v>
      </c>
      <c r="AP1464" s="9">
        <v>1</v>
      </c>
      <c r="AQ1464" s="5">
        <f>Transaction[[#This Row],[Price]]*Transaction[[#This Row],[Qty]]</f>
        <v>30.99</v>
      </c>
      <c r="AR1464" s="5">
        <f>VLOOKUP(Transaction[[#This Row],[Model No.]],$AV$2:$BD$100,7,TRUE)*Transaction[[#This Row],[Qty]]</f>
        <v>9.2969999999999988</v>
      </c>
      <c r="AS1464">
        <v>1098</v>
      </c>
      <c r="AT1464">
        <v>1020</v>
      </c>
    </row>
    <row r="1465" spans="36:46" x14ac:dyDescent="0.3">
      <c r="AJ1465">
        <v>67939</v>
      </c>
      <c r="AK1465" s="30">
        <v>43431</v>
      </c>
      <c r="AL1465" t="s">
        <v>1454</v>
      </c>
      <c r="AM1465">
        <v>9</v>
      </c>
      <c r="AN1465" t="str">
        <f>VLOOKUP(Transaction[[#This Row],[Model No.]],$AV$2:$BD$100,2,TRUE)</f>
        <v>Ass Kisser Double IPA - 12 Pack</v>
      </c>
      <c r="AO1465" s="21">
        <f>VLOOKUP(Transaction[[#This Row],[Model No.]],$AV$2:$BD$100,6,TRUE)</f>
        <v>43.99</v>
      </c>
      <c r="AP1465" s="9">
        <v>5</v>
      </c>
      <c r="AQ1465" s="5">
        <f>Transaction[[#This Row],[Price]]*Transaction[[#This Row],[Qty]]</f>
        <v>219.95000000000002</v>
      </c>
      <c r="AR1465" s="5">
        <f>VLOOKUP(Transaction[[#This Row],[Model No.]],$AV$2:$BD$100,7,TRUE)*Transaction[[#This Row],[Qty]]</f>
        <v>65.984999999999999</v>
      </c>
      <c r="AS1465">
        <v>1102</v>
      </c>
      <c r="AT1465">
        <v>1016</v>
      </c>
    </row>
    <row r="1466" spans="36:46" x14ac:dyDescent="0.3">
      <c r="AJ1466">
        <v>68053</v>
      </c>
      <c r="AK1466" s="30">
        <v>43431</v>
      </c>
      <c r="AL1466" t="s">
        <v>1661</v>
      </c>
      <c r="AM1466">
        <v>69</v>
      </c>
      <c r="AN1466" t="str">
        <f>VLOOKUP(Transaction[[#This Row],[Model No.]],$AV$2:$BD$100,2,TRUE)</f>
        <v>Castillo de Maluenda Vinas Viejas Punto y Coma Garnacha</v>
      </c>
      <c r="AO1466" s="21">
        <f>VLOOKUP(Transaction[[#This Row],[Model No.]],$AV$2:$BD$100,6,TRUE)</f>
        <v>12.99</v>
      </c>
      <c r="AP1466" s="9">
        <v>5</v>
      </c>
      <c r="AQ1466" s="5">
        <f>Transaction[[#This Row],[Price]]*Transaction[[#This Row],[Qty]]</f>
        <v>64.95</v>
      </c>
      <c r="AR1466" s="5">
        <f>VLOOKUP(Transaction[[#This Row],[Model No.]],$AV$2:$BD$100,7,TRUE)*Transaction[[#This Row],[Qty]]</f>
        <v>25.980000000000004</v>
      </c>
      <c r="AS1466">
        <v>1103</v>
      </c>
      <c r="AT1466">
        <v>1021</v>
      </c>
    </row>
    <row r="1467" spans="36:46" x14ac:dyDescent="0.3">
      <c r="AJ1467">
        <v>49907</v>
      </c>
      <c r="AK1467" s="30">
        <v>43432</v>
      </c>
      <c r="AL1467" t="s">
        <v>1276</v>
      </c>
      <c r="AM1467">
        <v>59</v>
      </c>
      <c r="AN1467" t="str">
        <f>VLOOKUP(Transaction[[#This Row],[Model No.]],$AV$2:$BD$100,2,TRUE)</f>
        <v>Smirnoff Kissed Caramel Vodka</v>
      </c>
      <c r="AO1467" s="21">
        <f>VLOOKUP(Transaction[[#This Row],[Model No.]],$AV$2:$BD$100,6,TRUE)</f>
        <v>13.49</v>
      </c>
      <c r="AP1467" s="9">
        <v>1</v>
      </c>
      <c r="AQ1467" s="5">
        <f>Transaction[[#This Row],[Price]]*Transaction[[#This Row],[Qty]]</f>
        <v>13.49</v>
      </c>
      <c r="AR1467" s="5">
        <f>VLOOKUP(Transaction[[#This Row],[Model No.]],$AV$2:$BD$100,7,TRUE)*Transaction[[#This Row],[Qty]]</f>
        <v>4.0469999999999997</v>
      </c>
      <c r="AS1467">
        <v>1108</v>
      </c>
      <c r="AT1467">
        <v>1001</v>
      </c>
    </row>
    <row r="1468" spans="36:46" x14ac:dyDescent="0.3">
      <c r="AJ1468">
        <v>30619</v>
      </c>
      <c r="AK1468" s="30">
        <v>43433</v>
      </c>
      <c r="AL1468" t="s">
        <v>1237</v>
      </c>
      <c r="AM1468">
        <v>8</v>
      </c>
      <c r="AN1468" t="str">
        <f>VLOOKUP(Transaction[[#This Row],[Model No.]],$AV$2:$BD$100,2,TRUE)</f>
        <v>Roco Marsh Estate Vineyard Pinot Noir</v>
      </c>
      <c r="AO1468" s="21">
        <f>VLOOKUP(Transaction[[#This Row],[Model No.]],$AV$2:$BD$100,6,TRUE)</f>
        <v>44.99</v>
      </c>
      <c r="AP1468" s="9">
        <v>5</v>
      </c>
      <c r="AQ1468" s="5">
        <f>Transaction[[#This Row],[Price]]*Transaction[[#This Row],[Qty]]</f>
        <v>224.95000000000002</v>
      </c>
      <c r="AR1468" s="5">
        <f>VLOOKUP(Transaction[[#This Row],[Model No.]],$AV$2:$BD$100,7,TRUE)*Transaction[[#This Row],[Qty]]</f>
        <v>22.495000000000005</v>
      </c>
      <c r="AS1468">
        <v>1107</v>
      </c>
      <c r="AT1468">
        <v>1007</v>
      </c>
    </row>
    <row r="1469" spans="36:46" x14ac:dyDescent="0.3">
      <c r="AJ1469">
        <v>87795</v>
      </c>
      <c r="AK1469" s="30">
        <v>43433</v>
      </c>
      <c r="AL1469" t="s">
        <v>440</v>
      </c>
      <c r="AM1469">
        <v>97</v>
      </c>
      <c r="AN1469" t="str">
        <f>VLOOKUP(Transaction[[#This Row],[Model No.]],$AV$2:$BD$100,2,TRUE)</f>
        <v>Sea Ridge Cabernet Sauvignon</v>
      </c>
      <c r="AO1469" s="21">
        <f>VLOOKUP(Transaction[[#This Row],[Model No.]],$AV$2:$BD$100,6,TRUE)</f>
        <v>5.99</v>
      </c>
      <c r="AP1469" s="9">
        <v>2</v>
      </c>
      <c r="AQ1469" s="5">
        <f>Transaction[[#This Row],[Price]]*Transaction[[#This Row],[Qty]]</f>
        <v>11.98</v>
      </c>
      <c r="AR1469" s="5">
        <f>VLOOKUP(Transaction[[#This Row],[Model No.]],$AV$2:$BD$100,7,TRUE)*Transaction[[#This Row],[Qty]]</f>
        <v>1.1980000000000002</v>
      </c>
      <c r="AS1469">
        <v>1103</v>
      </c>
      <c r="AT1469">
        <v>1017</v>
      </c>
    </row>
    <row r="1470" spans="36:46" x14ac:dyDescent="0.3">
      <c r="AJ1470">
        <v>88827</v>
      </c>
      <c r="AK1470" s="30">
        <v>43435</v>
      </c>
      <c r="AL1470" t="s">
        <v>869</v>
      </c>
      <c r="AM1470">
        <v>39</v>
      </c>
      <c r="AN1470" t="str">
        <f>VLOOKUP(Transaction[[#This Row],[Model No.]],$AV$2:$BD$100,2,TRUE)</f>
        <v>Moorhouse's English Owd Ale - 4 Pack</v>
      </c>
      <c r="AO1470" s="21">
        <f>VLOOKUP(Transaction[[#This Row],[Model No.]],$AV$2:$BD$100,6,TRUE)</f>
        <v>18.989999999999998</v>
      </c>
      <c r="AP1470" s="9">
        <v>4</v>
      </c>
      <c r="AQ1470" s="5">
        <f>Transaction[[#This Row],[Price]]*Transaction[[#This Row],[Qty]]</f>
        <v>75.959999999999994</v>
      </c>
      <c r="AR1470" s="5">
        <f>VLOOKUP(Transaction[[#This Row],[Model No.]],$AV$2:$BD$100,7,TRUE)*Transaction[[#This Row],[Qty]]</f>
        <v>22.787999999999997</v>
      </c>
      <c r="AS1470">
        <v>1100</v>
      </c>
      <c r="AT1470">
        <v>1019</v>
      </c>
    </row>
    <row r="1471" spans="36:46" x14ac:dyDescent="0.3">
      <c r="AJ1471">
        <v>40041</v>
      </c>
      <c r="AK1471" s="30">
        <v>43436</v>
      </c>
      <c r="AL1471" t="s">
        <v>897</v>
      </c>
      <c r="AM1471">
        <v>11</v>
      </c>
      <c r="AN1471" t="str">
        <f>VLOOKUP(Transaction[[#This Row],[Model No.]],$AV$2:$BD$100,2,TRUE)</f>
        <v>Kurant 1852 Crystal Limited Edition Vodka</v>
      </c>
      <c r="AO1471" s="21">
        <f>VLOOKUP(Transaction[[#This Row],[Model No.]],$AV$2:$BD$100,6,TRUE)</f>
        <v>40.99</v>
      </c>
      <c r="AP1471" s="9">
        <v>1</v>
      </c>
      <c r="AQ1471" s="5">
        <f>Transaction[[#This Row],[Price]]*Transaction[[#This Row],[Qty]]</f>
        <v>40.99</v>
      </c>
      <c r="AR1471" s="5">
        <f>VLOOKUP(Transaction[[#This Row],[Model No.]],$AV$2:$BD$100,7,TRUE)*Transaction[[#This Row],[Qty]]</f>
        <v>12.297000000000001</v>
      </c>
      <c r="AS1471">
        <v>1107</v>
      </c>
      <c r="AT1471">
        <v>1008</v>
      </c>
    </row>
    <row r="1472" spans="36:46" x14ac:dyDescent="0.3">
      <c r="AJ1472">
        <v>70415</v>
      </c>
      <c r="AK1472" s="30">
        <v>43437</v>
      </c>
      <c r="AL1472" t="s">
        <v>1582</v>
      </c>
      <c r="AM1472">
        <v>70</v>
      </c>
      <c r="AN1472" t="str">
        <f>VLOOKUP(Transaction[[#This Row],[Model No.]],$AV$2:$BD$100,2,TRUE)</f>
        <v>Matchbook Rose Estate Bottled Tempranillo</v>
      </c>
      <c r="AO1472" s="21">
        <f>VLOOKUP(Transaction[[#This Row],[Model No.]],$AV$2:$BD$100,6,TRUE)</f>
        <v>12.69</v>
      </c>
      <c r="AP1472" s="9">
        <v>4</v>
      </c>
      <c r="AQ1472" s="5">
        <f>Transaction[[#This Row],[Price]]*Transaction[[#This Row],[Qty]]</f>
        <v>50.76</v>
      </c>
      <c r="AR1472" s="5">
        <f>VLOOKUP(Transaction[[#This Row],[Model No.]],$AV$2:$BD$100,7,TRUE)*Transaction[[#This Row],[Qty]]</f>
        <v>5.0760000000000005</v>
      </c>
      <c r="AS1472">
        <v>1104</v>
      </c>
      <c r="AT1472">
        <v>1008</v>
      </c>
    </row>
    <row r="1473" spans="36:46" x14ac:dyDescent="0.3">
      <c r="AJ1473">
        <v>61906</v>
      </c>
      <c r="AK1473" s="30">
        <v>43440</v>
      </c>
      <c r="AL1473" t="s">
        <v>894</v>
      </c>
      <c r="AM1473">
        <v>53</v>
      </c>
      <c r="AN1473" t="str">
        <f>VLOOKUP(Transaction[[#This Row],[Model No.]],$AV$2:$BD$100,2,TRUE)</f>
        <v>Ommegang Hennepin - 4 Pack</v>
      </c>
      <c r="AO1473" s="21">
        <f>VLOOKUP(Transaction[[#This Row],[Model No.]],$AV$2:$BD$100,6,TRUE)</f>
        <v>14.99</v>
      </c>
      <c r="AP1473" s="9">
        <v>2</v>
      </c>
      <c r="AQ1473" s="5">
        <f>Transaction[[#This Row],[Price]]*Transaction[[#This Row],[Qty]]</f>
        <v>29.98</v>
      </c>
      <c r="AR1473" s="5">
        <f>VLOOKUP(Transaction[[#This Row],[Model No.]],$AV$2:$BD$100,7,TRUE)*Transaction[[#This Row],[Qty]]</f>
        <v>8.9939999999999998</v>
      </c>
      <c r="AS1473">
        <v>1102</v>
      </c>
      <c r="AT1473">
        <v>1003</v>
      </c>
    </row>
    <row r="1474" spans="36:46" x14ac:dyDescent="0.3">
      <c r="AJ1474">
        <v>63644</v>
      </c>
      <c r="AK1474" s="30">
        <v>43441</v>
      </c>
      <c r="AL1474" t="s">
        <v>672</v>
      </c>
      <c r="AM1474">
        <v>9</v>
      </c>
      <c r="AN1474" t="str">
        <f>VLOOKUP(Transaction[[#This Row],[Model No.]],$AV$2:$BD$100,2,TRUE)</f>
        <v>Ass Kisser Double IPA - 12 Pack</v>
      </c>
      <c r="AO1474" s="21">
        <f>VLOOKUP(Transaction[[#This Row],[Model No.]],$AV$2:$BD$100,6,TRUE)</f>
        <v>43.99</v>
      </c>
      <c r="AP1474" s="9">
        <v>2</v>
      </c>
      <c r="AQ1474" s="5">
        <f>Transaction[[#This Row],[Price]]*Transaction[[#This Row],[Qty]]</f>
        <v>87.98</v>
      </c>
      <c r="AR1474" s="5">
        <f>VLOOKUP(Transaction[[#This Row],[Model No.]],$AV$2:$BD$100,7,TRUE)*Transaction[[#This Row],[Qty]]</f>
        <v>26.394000000000002</v>
      </c>
      <c r="AS1474">
        <v>1108</v>
      </c>
      <c r="AT1474">
        <v>1004</v>
      </c>
    </row>
    <row r="1475" spans="36:46" x14ac:dyDescent="0.3">
      <c r="AJ1475">
        <v>23587</v>
      </c>
      <c r="AK1475" s="30">
        <v>43442</v>
      </c>
      <c r="AL1475" t="s">
        <v>691</v>
      </c>
      <c r="AM1475">
        <v>19</v>
      </c>
      <c r="AN1475" t="str">
        <f>VLOOKUP(Transaction[[#This Row],[Model No.]],$AV$2:$BD$100,2,TRUE)</f>
        <v>District Made Vodka</v>
      </c>
      <c r="AO1475" s="21">
        <f>VLOOKUP(Transaction[[#This Row],[Model No.]],$AV$2:$BD$100,6,TRUE)</f>
        <v>29.99</v>
      </c>
      <c r="AP1475" s="9">
        <v>4</v>
      </c>
      <c r="AQ1475" s="5">
        <f>Transaction[[#This Row],[Price]]*Transaction[[#This Row],[Qty]]</f>
        <v>119.96</v>
      </c>
      <c r="AR1475" s="5">
        <f>VLOOKUP(Transaction[[#This Row],[Model No.]],$AV$2:$BD$100,7,TRUE)*Transaction[[#This Row],[Qty]]</f>
        <v>35.988</v>
      </c>
      <c r="AS1475">
        <v>1102</v>
      </c>
      <c r="AT1475">
        <v>1006</v>
      </c>
    </row>
    <row r="1476" spans="36:46" x14ac:dyDescent="0.3">
      <c r="AJ1476">
        <v>13998</v>
      </c>
      <c r="AK1476" s="30">
        <v>43442</v>
      </c>
      <c r="AL1476" t="s">
        <v>1444</v>
      </c>
      <c r="AM1476">
        <v>21</v>
      </c>
      <c r="AN1476" t="str">
        <f>VLOOKUP(Transaction[[#This Row],[Model No.]],$AV$2:$BD$100,2,TRUE)</f>
        <v>Adelsheim Ribbon Springs Auxerrois</v>
      </c>
      <c r="AO1476" s="21">
        <f>VLOOKUP(Transaction[[#This Row],[Model No.]],$AV$2:$BD$100,6,TRUE)</f>
        <v>25.99</v>
      </c>
      <c r="AP1476" s="9">
        <v>5</v>
      </c>
      <c r="AQ1476" s="5">
        <f>Transaction[[#This Row],[Price]]*Transaction[[#This Row],[Qty]]</f>
        <v>129.94999999999999</v>
      </c>
      <c r="AR1476" s="5">
        <f>VLOOKUP(Transaction[[#This Row],[Model No.]],$AV$2:$BD$100,7,TRUE)*Transaction[[#This Row],[Qty]]</f>
        <v>12.995000000000001</v>
      </c>
      <c r="AS1476">
        <v>1102</v>
      </c>
      <c r="AT1476">
        <v>1011</v>
      </c>
    </row>
    <row r="1477" spans="36:46" x14ac:dyDescent="0.3">
      <c r="AJ1477">
        <v>64679</v>
      </c>
      <c r="AK1477" s="30">
        <v>43442</v>
      </c>
      <c r="AL1477" t="s">
        <v>1243</v>
      </c>
      <c r="AM1477">
        <v>46</v>
      </c>
      <c r="AN1477" t="str">
        <f>VLOOKUP(Transaction[[#This Row],[Model No.]],$AV$2:$BD$100,2,TRUE)</f>
        <v>Label 5 Classic Black Blended Scotch Whisky</v>
      </c>
      <c r="AO1477" s="21">
        <f>VLOOKUP(Transaction[[#This Row],[Model No.]],$AV$2:$BD$100,6,TRUE)</f>
        <v>15.99</v>
      </c>
      <c r="AP1477" s="9">
        <v>2</v>
      </c>
      <c r="AQ1477" s="5">
        <f>Transaction[[#This Row],[Price]]*Transaction[[#This Row],[Qty]]</f>
        <v>31.98</v>
      </c>
      <c r="AR1477" s="5">
        <f>VLOOKUP(Transaction[[#This Row],[Model No.]],$AV$2:$BD$100,7,TRUE)*Transaction[[#This Row],[Qty]]</f>
        <v>6.3960000000000008</v>
      </c>
      <c r="AS1477">
        <v>1101</v>
      </c>
      <c r="AT1477">
        <v>1016</v>
      </c>
    </row>
    <row r="1478" spans="36:46" x14ac:dyDescent="0.3">
      <c r="AJ1478">
        <v>53060</v>
      </c>
      <c r="AK1478" s="30">
        <v>43445</v>
      </c>
      <c r="AL1478" t="s">
        <v>725</v>
      </c>
      <c r="AM1478">
        <v>30</v>
      </c>
      <c r="AN1478" t="str">
        <f>VLOOKUP(Transaction[[#This Row],[Model No.]],$AV$2:$BD$100,2,TRUE)</f>
        <v>Kahlua Cinnamon Spice Liqueur</v>
      </c>
      <c r="AO1478" s="21">
        <f>VLOOKUP(Transaction[[#This Row],[Model No.]],$AV$2:$BD$100,6,TRUE)</f>
        <v>22.99</v>
      </c>
      <c r="AP1478" s="9">
        <v>2</v>
      </c>
      <c r="AQ1478" s="5">
        <f>Transaction[[#This Row],[Price]]*Transaction[[#This Row],[Qty]]</f>
        <v>45.98</v>
      </c>
      <c r="AR1478" s="5">
        <f>VLOOKUP(Transaction[[#This Row],[Model No.]],$AV$2:$BD$100,7,TRUE)*Transaction[[#This Row],[Qty]]</f>
        <v>13.793999999999999</v>
      </c>
      <c r="AS1478">
        <v>1103</v>
      </c>
      <c r="AT1478">
        <v>1019</v>
      </c>
    </row>
    <row r="1479" spans="36:46" x14ac:dyDescent="0.3">
      <c r="AJ1479">
        <v>54382</v>
      </c>
      <c r="AK1479" s="30">
        <v>43445</v>
      </c>
      <c r="AL1479" t="s">
        <v>1017</v>
      </c>
      <c r="AM1479">
        <v>68</v>
      </c>
      <c r="AN1479" t="str">
        <f>VLOOKUP(Transaction[[#This Row],[Model No.]],$AV$2:$BD$100,2,TRUE)</f>
        <v>Conti Beretta Estate Bottled Friuli Grave Pinot Grigio</v>
      </c>
      <c r="AO1479" s="21">
        <f>VLOOKUP(Transaction[[#This Row],[Model No.]],$AV$2:$BD$100,6,TRUE)</f>
        <v>12.99</v>
      </c>
      <c r="AP1479" s="9">
        <v>5</v>
      </c>
      <c r="AQ1479" s="5">
        <f>Transaction[[#This Row],[Price]]*Transaction[[#This Row],[Qty]]</f>
        <v>64.95</v>
      </c>
      <c r="AR1479" s="5">
        <f>VLOOKUP(Transaction[[#This Row],[Model No.]],$AV$2:$BD$100,7,TRUE)*Transaction[[#This Row],[Qty]]</f>
        <v>6.495000000000001</v>
      </c>
      <c r="AS1479">
        <v>1108</v>
      </c>
      <c r="AT1479">
        <v>1013</v>
      </c>
    </row>
    <row r="1480" spans="36:46" x14ac:dyDescent="0.3">
      <c r="AJ1480">
        <v>20658</v>
      </c>
      <c r="AK1480" s="30">
        <v>43447</v>
      </c>
      <c r="AL1480" t="s">
        <v>1809</v>
      </c>
      <c r="AM1480">
        <v>1</v>
      </c>
      <c r="AN1480" t="str">
        <f>VLOOKUP(Transaction[[#This Row],[Model No.]],$AV$2:$BD$100,2,TRUE)</f>
        <v>Forager's Keep 26 Year Old Single Malt Scotch Whisky</v>
      </c>
      <c r="AO1480" s="21">
        <f>VLOOKUP(Transaction[[#This Row],[Model No.]],$AV$2:$BD$100,6,TRUE)</f>
        <v>325.99</v>
      </c>
      <c r="AP1480" s="9">
        <v>1</v>
      </c>
      <c r="AQ1480" s="5">
        <f>Transaction[[#This Row],[Price]]*Transaction[[#This Row],[Qty]]</f>
        <v>325.99</v>
      </c>
      <c r="AR1480" s="5">
        <f>VLOOKUP(Transaction[[#This Row],[Model No.]],$AV$2:$BD$100,7,TRUE)*Transaction[[#This Row],[Qty]]</f>
        <v>97.796999999999997</v>
      </c>
      <c r="AS1480">
        <v>1106</v>
      </c>
      <c r="AT1480">
        <v>1020</v>
      </c>
    </row>
    <row r="1481" spans="36:46" x14ac:dyDescent="0.3">
      <c r="AJ1481">
        <v>65200</v>
      </c>
      <c r="AK1481" s="30">
        <v>43447</v>
      </c>
      <c r="AL1481" t="s">
        <v>747</v>
      </c>
      <c r="AM1481">
        <v>58</v>
      </c>
      <c r="AN1481" t="str">
        <f>VLOOKUP(Transaction[[#This Row],[Model No.]],$AV$2:$BD$100,2,TRUE)</f>
        <v>Smirnoff Mango Vodka</v>
      </c>
      <c r="AO1481" s="21">
        <f>VLOOKUP(Transaction[[#This Row],[Model No.]],$AV$2:$BD$100,6,TRUE)</f>
        <v>13.49</v>
      </c>
      <c r="AP1481" s="9">
        <v>2</v>
      </c>
      <c r="AQ1481" s="5">
        <f>Transaction[[#This Row],[Price]]*Transaction[[#This Row],[Qty]]</f>
        <v>26.98</v>
      </c>
      <c r="AR1481" s="5">
        <f>VLOOKUP(Transaction[[#This Row],[Model No.]],$AV$2:$BD$100,7,TRUE)*Transaction[[#This Row],[Qty]]</f>
        <v>8.0939999999999994</v>
      </c>
      <c r="AS1481">
        <v>1104</v>
      </c>
      <c r="AT1481">
        <v>1015</v>
      </c>
    </row>
    <row r="1482" spans="36:46" x14ac:dyDescent="0.3">
      <c r="AJ1482">
        <v>24654</v>
      </c>
      <c r="AK1482" s="30">
        <v>43451</v>
      </c>
      <c r="AL1482" t="s">
        <v>401</v>
      </c>
      <c r="AM1482">
        <v>24</v>
      </c>
      <c r="AN1482" t="str">
        <f>VLOOKUP(Transaction[[#This Row],[Model No.]],$AV$2:$BD$100,2,TRUE)</f>
        <v>Matchbook The Arsonist Bordeaux Blend</v>
      </c>
      <c r="AO1482" s="21">
        <f>VLOOKUP(Transaction[[#This Row],[Model No.]],$AV$2:$BD$100,6,TRUE)</f>
        <v>24.99</v>
      </c>
      <c r="AP1482" s="9">
        <v>1</v>
      </c>
      <c r="AQ1482" s="5">
        <f>Transaction[[#This Row],[Price]]*Transaction[[#This Row],[Qty]]</f>
        <v>24.99</v>
      </c>
      <c r="AR1482" s="5">
        <f>VLOOKUP(Transaction[[#This Row],[Model No.]],$AV$2:$BD$100,7,TRUE)*Transaction[[#This Row],[Qty]]</f>
        <v>2.4990000000000001</v>
      </c>
      <c r="AS1482">
        <v>1102</v>
      </c>
      <c r="AT1482">
        <v>1004</v>
      </c>
    </row>
    <row r="1483" spans="36:46" x14ac:dyDescent="0.3">
      <c r="AJ1483">
        <v>67000</v>
      </c>
      <c r="AK1483" s="30">
        <v>43451</v>
      </c>
      <c r="AL1483" t="s">
        <v>1134</v>
      </c>
      <c r="AM1483">
        <v>40</v>
      </c>
      <c r="AN1483" t="str">
        <f>VLOOKUP(Transaction[[#This Row],[Model No.]],$AV$2:$BD$100,2,TRUE)</f>
        <v>Takara Can Chu Hi JPop Grapefruit - 6 Pack</v>
      </c>
      <c r="AO1483" s="21">
        <f>VLOOKUP(Transaction[[#This Row],[Model No.]],$AV$2:$BD$100,6,TRUE)</f>
        <v>17.989999999999998</v>
      </c>
      <c r="AP1483" s="9">
        <v>3</v>
      </c>
      <c r="AQ1483" s="5">
        <f>Transaction[[#This Row],[Price]]*Transaction[[#This Row],[Qty]]</f>
        <v>53.97</v>
      </c>
      <c r="AR1483" s="5">
        <f>VLOOKUP(Transaction[[#This Row],[Model No.]],$AV$2:$BD$100,7,TRUE)*Transaction[[#This Row],[Qty]]</f>
        <v>16.190999999999999</v>
      </c>
      <c r="AS1483">
        <v>1108</v>
      </c>
      <c r="AT1483">
        <v>1000</v>
      </c>
    </row>
    <row r="1484" spans="36:46" x14ac:dyDescent="0.3">
      <c r="AJ1484">
        <v>28045</v>
      </c>
      <c r="AK1484" s="30">
        <v>43453</v>
      </c>
      <c r="AL1484" t="s">
        <v>803</v>
      </c>
      <c r="AM1484">
        <v>48</v>
      </c>
      <c r="AN1484" t="str">
        <f>VLOOKUP(Transaction[[#This Row],[Model No.]],$AV$2:$BD$100,2,TRUE)</f>
        <v>CH TOUR D'AURON</v>
      </c>
      <c r="AO1484" s="21">
        <f>VLOOKUP(Transaction[[#This Row],[Model No.]],$AV$2:$BD$100,6,TRUE)</f>
        <v>15.99</v>
      </c>
      <c r="AP1484" s="9">
        <v>3</v>
      </c>
      <c r="AQ1484" s="5">
        <f>Transaction[[#This Row],[Price]]*Transaction[[#This Row],[Qty]]</f>
        <v>47.97</v>
      </c>
      <c r="AR1484" s="5">
        <f>VLOOKUP(Transaction[[#This Row],[Model No.]],$AV$2:$BD$100,7,TRUE)*Transaction[[#This Row],[Qty]]</f>
        <v>19.188000000000002</v>
      </c>
      <c r="AS1484">
        <v>1102</v>
      </c>
      <c r="AT1484">
        <v>1019</v>
      </c>
    </row>
    <row r="1485" spans="36:46" x14ac:dyDescent="0.3">
      <c r="AJ1485">
        <v>27565</v>
      </c>
      <c r="AK1485" s="30">
        <v>43453</v>
      </c>
      <c r="AL1485" t="s">
        <v>1467</v>
      </c>
      <c r="AM1485">
        <v>52</v>
      </c>
      <c r="AN1485" t="str">
        <f>VLOOKUP(Transaction[[#This Row],[Model No.]],$AV$2:$BD$100,2,TRUE)</f>
        <v>Finca Las Moras Barrel Select Cabernet Sauvignon</v>
      </c>
      <c r="AO1485" s="21">
        <f>VLOOKUP(Transaction[[#This Row],[Model No.]],$AV$2:$BD$100,6,TRUE)</f>
        <v>14.99</v>
      </c>
      <c r="AP1485" s="9">
        <v>2</v>
      </c>
      <c r="AQ1485" s="5">
        <f>Transaction[[#This Row],[Price]]*Transaction[[#This Row],[Qty]]</f>
        <v>29.98</v>
      </c>
      <c r="AR1485" s="5">
        <f>VLOOKUP(Transaction[[#This Row],[Model No.]],$AV$2:$BD$100,7,TRUE)*Transaction[[#This Row],[Qty]]</f>
        <v>2.9980000000000002</v>
      </c>
      <c r="AS1485">
        <v>1102</v>
      </c>
      <c r="AT1485">
        <v>1017</v>
      </c>
    </row>
    <row r="1486" spans="36:46" x14ac:dyDescent="0.3">
      <c r="AJ1486">
        <v>94652</v>
      </c>
      <c r="AK1486" s="30">
        <v>43453</v>
      </c>
      <c r="AL1486" t="s">
        <v>738</v>
      </c>
      <c r="AM1486">
        <v>58</v>
      </c>
      <c r="AN1486" t="str">
        <f>VLOOKUP(Transaction[[#This Row],[Model No.]],$AV$2:$BD$100,2,TRUE)</f>
        <v>Smirnoff Mango Vodka</v>
      </c>
      <c r="AO1486" s="21">
        <f>VLOOKUP(Transaction[[#This Row],[Model No.]],$AV$2:$BD$100,6,TRUE)</f>
        <v>13.49</v>
      </c>
      <c r="AP1486" s="9">
        <v>2</v>
      </c>
      <c r="AQ1486" s="5">
        <f>Transaction[[#This Row],[Price]]*Transaction[[#This Row],[Qty]]</f>
        <v>26.98</v>
      </c>
      <c r="AR1486" s="5">
        <f>VLOOKUP(Transaction[[#This Row],[Model No.]],$AV$2:$BD$100,7,TRUE)*Transaction[[#This Row],[Qty]]</f>
        <v>8.0939999999999994</v>
      </c>
      <c r="AS1486">
        <v>1101</v>
      </c>
      <c r="AT1486">
        <v>1011</v>
      </c>
    </row>
    <row r="1487" spans="36:46" x14ac:dyDescent="0.3">
      <c r="AJ1487">
        <v>19817</v>
      </c>
      <c r="AK1487" s="30">
        <v>43454</v>
      </c>
      <c r="AL1487" t="s">
        <v>1790</v>
      </c>
      <c r="AM1487">
        <v>98</v>
      </c>
      <c r="AN1487" t="str">
        <f>VLOOKUP(Transaction[[#This Row],[Model No.]],$AV$2:$BD$100,2,TRUE)</f>
        <v>Wychwood Hobgoblin</v>
      </c>
      <c r="AO1487" s="21">
        <f>VLOOKUP(Transaction[[#This Row],[Model No.]],$AV$2:$BD$100,6,TRUE)</f>
        <v>5.99</v>
      </c>
      <c r="AP1487" s="9">
        <v>5</v>
      </c>
      <c r="AQ1487" s="5">
        <f>Transaction[[#This Row],[Price]]*Transaction[[#This Row],[Qty]]</f>
        <v>29.950000000000003</v>
      </c>
      <c r="AR1487" s="5">
        <f>VLOOKUP(Transaction[[#This Row],[Model No.]],$AV$2:$BD$100,7,TRUE)*Transaction[[#This Row],[Qty]]</f>
        <v>8.9849999999999994</v>
      </c>
      <c r="AS1487">
        <v>1100</v>
      </c>
      <c r="AT1487">
        <v>1006</v>
      </c>
    </row>
    <row r="1488" spans="36:46" x14ac:dyDescent="0.3">
      <c r="AJ1488">
        <v>99089</v>
      </c>
      <c r="AK1488" s="30">
        <v>43457</v>
      </c>
      <c r="AL1488" t="s">
        <v>1011</v>
      </c>
      <c r="AM1488">
        <v>7</v>
      </c>
      <c r="AN1488" t="str">
        <f>VLOOKUP(Transaction[[#This Row],[Model No.]],$AV$2:$BD$100,2,TRUE)</f>
        <v>Glenkinchie Distillers Edition Single Malt Scotch Whisky</v>
      </c>
      <c r="AO1488" s="21">
        <f>VLOOKUP(Transaction[[#This Row],[Model No.]],$AV$2:$BD$100,6,TRUE)</f>
        <v>45.99</v>
      </c>
      <c r="AP1488" s="9">
        <v>3</v>
      </c>
      <c r="AQ1488" s="5">
        <f>Transaction[[#This Row],[Price]]*Transaction[[#This Row],[Qty]]</f>
        <v>137.97</v>
      </c>
      <c r="AR1488" s="5">
        <f>VLOOKUP(Transaction[[#This Row],[Model No.]],$AV$2:$BD$100,7,TRUE)*Transaction[[#This Row],[Qty]]</f>
        <v>41.391000000000005</v>
      </c>
      <c r="AS1488">
        <v>1103</v>
      </c>
      <c r="AT1488">
        <v>1009</v>
      </c>
    </row>
    <row r="1489" spans="36:46" x14ac:dyDescent="0.3">
      <c r="AJ1489">
        <v>95993</v>
      </c>
      <c r="AK1489" s="30">
        <v>43457</v>
      </c>
      <c r="AL1489" t="s">
        <v>1043</v>
      </c>
      <c r="AM1489">
        <v>57</v>
      </c>
      <c r="AN1489" t="str">
        <f>VLOOKUP(Transaction[[#This Row],[Model No.]],$AV$2:$BD$100,2,TRUE)</f>
        <v>Familia Dante Twelve Months Oak Aged Toscana IGT Sangiovese</v>
      </c>
      <c r="AO1489" s="21">
        <f>VLOOKUP(Transaction[[#This Row],[Model No.]],$AV$2:$BD$100,6,TRUE)</f>
        <v>13.69</v>
      </c>
      <c r="AP1489" s="9">
        <v>3</v>
      </c>
      <c r="AQ1489" s="5">
        <f>Transaction[[#This Row],[Price]]*Transaction[[#This Row],[Qty]]</f>
        <v>41.07</v>
      </c>
      <c r="AR1489" s="5">
        <f>VLOOKUP(Transaction[[#This Row],[Model No.]],$AV$2:$BD$100,7,TRUE)*Transaction[[#This Row],[Qty]]</f>
        <v>4.1070000000000002</v>
      </c>
      <c r="AS1489">
        <v>1103</v>
      </c>
      <c r="AT1489">
        <v>1017</v>
      </c>
    </row>
    <row r="1490" spans="36:46" x14ac:dyDescent="0.3">
      <c r="AJ1490">
        <v>78688</v>
      </c>
      <c r="AK1490" s="30">
        <v>43457</v>
      </c>
      <c r="AL1490" t="s">
        <v>1702</v>
      </c>
      <c r="AM1490">
        <v>83</v>
      </c>
      <c r="AN1490" t="str">
        <f>VLOOKUP(Transaction[[#This Row],[Model No.]],$AV$2:$BD$100,2,TRUE)</f>
        <v>Pinnacle Cherry Whipped Vodka</v>
      </c>
      <c r="AO1490" s="21">
        <f>VLOOKUP(Transaction[[#This Row],[Model No.]],$AV$2:$BD$100,6,TRUE)</f>
        <v>10.99</v>
      </c>
      <c r="AP1490" s="9">
        <v>4</v>
      </c>
      <c r="AQ1490" s="5">
        <f>Transaction[[#This Row],[Price]]*Transaction[[#This Row],[Qty]]</f>
        <v>43.96</v>
      </c>
      <c r="AR1490" s="5">
        <f>VLOOKUP(Transaction[[#This Row],[Model No.]],$AV$2:$BD$100,7,TRUE)*Transaction[[#This Row],[Qty]]</f>
        <v>13.188000000000001</v>
      </c>
      <c r="AS1490">
        <v>1099</v>
      </c>
      <c r="AT1490">
        <v>1014</v>
      </c>
    </row>
    <row r="1491" spans="36:46" x14ac:dyDescent="0.3">
      <c r="AJ1491">
        <v>55413</v>
      </c>
      <c r="AK1491" s="30">
        <v>43459</v>
      </c>
      <c r="AL1491" t="s">
        <v>1536</v>
      </c>
      <c r="AM1491">
        <v>31</v>
      </c>
      <c r="AN1491" t="str">
        <f>VLOOKUP(Transaction[[#This Row],[Model No.]],$AV$2:$BD$100,2,TRUE)</f>
        <v>Gulden Draak 9000 Quadruple - 4 Pack</v>
      </c>
      <c r="AO1491" s="21">
        <f>VLOOKUP(Transaction[[#This Row],[Model No.]],$AV$2:$BD$100,6,TRUE)</f>
        <v>21.99</v>
      </c>
      <c r="AP1491" s="9">
        <v>5</v>
      </c>
      <c r="AQ1491" s="5">
        <f>Transaction[[#This Row],[Price]]*Transaction[[#This Row],[Qty]]</f>
        <v>109.94999999999999</v>
      </c>
      <c r="AR1491" s="5">
        <f>VLOOKUP(Transaction[[#This Row],[Model No.]],$AV$2:$BD$100,7,TRUE)*Transaction[[#This Row],[Qty]]</f>
        <v>32.984999999999999</v>
      </c>
      <c r="AS1491">
        <v>1102</v>
      </c>
      <c r="AT1491">
        <v>1018</v>
      </c>
    </row>
    <row r="1492" spans="36:46" x14ac:dyDescent="0.3">
      <c r="AJ1492">
        <v>86786</v>
      </c>
      <c r="AK1492" s="30">
        <v>43459</v>
      </c>
      <c r="AL1492" t="s">
        <v>1382</v>
      </c>
      <c r="AM1492">
        <v>40</v>
      </c>
      <c r="AN1492" t="str">
        <f>VLOOKUP(Transaction[[#This Row],[Model No.]],$AV$2:$BD$100,2,TRUE)</f>
        <v>Takara Can Chu Hi JPop Grapefruit - 6 Pack</v>
      </c>
      <c r="AO1492" s="21">
        <f>VLOOKUP(Transaction[[#This Row],[Model No.]],$AV$2:$BD$100,6,TRUE)</f>
        <v>17.989999999999998</v>
      </c>
      <c r="AP1492" s="9">
        <v>4</v>
      </c>
      <c r="AQ1492" s="5">
        <f>Transaction[[#This Row],[Price]]*Transaction[[#This Row],[Qty]]</f>
        <v>71.959999999999994</v>
      </c>
      <c r="AR1492" s="5">
        <f>VLOOKUP(Transaction[[#This Row],[Model No.]],$AV$2:$BD$100,7,TRUE)*Transaction[[#This Row],[Qty]]</f>
        <v>21.587999999999997</v>
      </c>
      <c r="AS1492">
        <v>1098</v>
      </c>
      <c r="AT1492">
        <v>1010</v>
      </c>
    </row>
    <row r="1493" spans="36:46" x14ac:dyDescent="0.3">
      <c r="AJ1493">
        <v>29705</v>
      </c>
      <c r="AK1493" s="30">
        <v>43460</v>
      </c>
      <c r="AL1493" t="s">
        <v>1687</v>
      </c>
      <c r="AM1493">
        <v>1</v>
      </c>
      <c r="AN1493" t="str">
        <f>VLOOKUP(Transaction[[#This Row],[Model No.]],$AV$2:$BD$100,2,TRUE)</f>
        <v>Forager's Keep 26 Year Old Single Malt Scotch Whisky</v>
      </c>
      <c r="AO1493" s="21">
        <f>VLOOKUP(Transaction[[#This Row],[Model No.]],$AV$2:$BD$100,6,TRUE)</f>
        <v>325.99</v>
      </c>
      <c r="AP1493" s="9">
        <v>1</v>
      </c>
      <c r="AQ1493" s="5">
        <f>Transaction[[#This Row],[Price]]*Transaction[[#This Row],[Qty]]</f>
        <v>325.99</v>
      </c>
      <c r="AR1493" s="5">
        <f>VLOOKUP(Transaction[[#This Row],[Model No.]],$AV$2:$BD$100,7,TRUE)*Transaction[[#This Row],[Qty]]</f>
        <v>97.796999999999997</v>
      </c>
      <c r="AS1493">
        <v>1103</v>
      </c>
      <c r="AT1493">
        <v>1009</v>
      </c>
    </row>
    <row r="1494" spans="36:46" x14ac:dyDescent="0.3">
      <c r="AJ1494">
        <v>97195</v>
      </c>
      <c r="AK1494" s="30">
        <v>43463</v>
      </c>
      <c r="AL1494" t="s">
        <v>1213</v>
      </c>
      <c r="AM1494">
        <v>51</v>
      </c>
      <c r="AN1494" t="str">
        <f>VLOOKUP(Transaction[[#This Row],[Model No.]],$AV$2:$BD$100,2,TRUE)</f>
        <v>Waterbrook Cabernet Sauvignon</v>
      </c>
      <c r="AO1494" s="21">
        <f>VLOOKUP(Transaction[[#This Row],[Model No.]],$AV$2:$BD$100,6,TRUE)</f>
        <v>14.99</v>
      </c>
      <c r="AP1494" s="9">
        <v>2</v>
      </c>
      <c r="AQ1494" s="5">
        <f>Transaction[[#This Row],[Price]]*Transaction[[#This Row],[Qty]]</f>
        <v>29.98</v>
      </c>
      <c r="AR1494" s="5">
        <f>VLOOKUP(Transaction[[#This Row],[Model No.]],$AV$2:$BD$100,7,TRUE)*Transaction[[#This Row],[Qty]]</f>
        <v>2.9980000000000002</v>
      </c>
      <c r="AS1494">
        <v>1103</v>
      </c>
      <c r="AT1494">
        <v>1010</v>
      </c>
    </row>
    <row r="1495" spans="36:46" x14ac:dyDescent="0.3">
      <c r="AJ1495">
        <v>66248</v>
      </c>
      <c r="AK1495" s="30">
        <v>43464</v>
      </c>
      <c r="AL1495" t="s">
        <v>1674</v>
      </c>
      <c r="AM1495">
        <v>2</v>
      </c>
      <c r="AN1495" t="str">
        <f>VLOOKUP(Transaction[[#This Row],[Model No.]],$AV$2:$BD$100,2,TRUE)</f>
        <v>Grand Marnier Cuvee 1880 Liqueur</v>
      </c>
      <c r="AO1495" s="21">
        <f>VLOOKUP(Transaction[[#This Row],[Model No.]],$AV$2:$BD$100,6,TRUE)</f>
        <v>286.99</v>
      </c>
      <c r="AP1495" s="9">
        <v>1</v>
      </c>
      <c r="AQ1495" s="5">
        <f>Transaction[[#This Row],[Price]]*Transaction[[#This Row],[Qty]]</f>
        <v>286.99</v>
      </c>
      <c r="AR1495" s="5">
        <f>VLOOKUP(Transaction[[#This Row],[Model No.]],$AV$2:$BD$100,7,TRUE)*Transaction[[#This Row],[Qty]]</f>
        <v>86.096999999999994</v>
      </c>
      <c r="AS1495">
        <v>1108</v>
      </c>
      <c r="AT1495">
        <v>1004</v>
      </c>
    </row>
    <row r="1496" spans="36:46" x14ac:dyDescent="0.3">
      <c r="AJ1496">
        <v>51646</v>
      </c>
      <c r="AK1496" s="30">
        <v>43464</v>
      </c>
      <c r="AL1496" t="s">
        <v>918</v>
      </c>
      <c r="AM1496">
        <v>5</v>
      </c>
      <c r="AN1496" t="str">
        <f>VLOOKUP(Transaction[[#This Row],[Model No.]],$AV$2:$BD$100,2,TRUE)</f>
        <v>Old Forester 1897 Bottled in Bond Kentucky Straight Bourbon Whisky</v>
      </c>
      <c r="AO1496" s="21">
        <f>VLOOKUP(Transaction[[#This Row],[Model No.]],$AV$2:$BD$100,6,TRUE)</f>
        <v>46.99</v>
      </c>
      <c r="AP1496" s="9">
        <v>5</v>
      </c>
      <c r="AQ1496" s="5">
        <f>Transaction[[#This Row],[Price]]*Transaction[[#This Row],[Qty]]</f>
        <v>234.95000000000002</v>
      </c>
      <c r="AR1496" s="5">
        <f>VLOOKUP(Transaction[[#This Row],[Model No.]],$AV$2:$BD$100,7,TRUE)*Transaction[[#This Row],[Qty]]</f>
        <v>46.990000000000009</v>
      </c>
      <c r="AS1496">
        <v>1108</v>
      </c>
      <c r="AT1496">
        <v>1010</v>
      </c>
    </row>
    <row r="1497" spans="36:46" x14ac:dyDescent="0.3">
      <c r="AJ1497">
        <v>33243</v>
      </c>
      <c r="AK1497" s="30">
        <v>43464</v>
      </c>
      <c r="AL1497" t="s">
        <v>1040</v>
      </c>
      <c r="AM1497">
        <v>94</v>
      </c>
      <c r="AN1497" t="str">
        <f>VLOOKUP(Transaction[[#This Row],[Model No.]],$AV$2:$BD$100,2,TRUE)</f>
        <v>Freixenet Blanc de Blancs Brut Cava Blend</v>
      </c>
      <c r="AO1497" s="21">
        <f>VLOOKUP(Transaction[[#This Row],[Model No.]],$AV$2:$BD$100,6,TRUE)</f>
        <v>7.49</v>
      </c>
      <c r="AP1497" s="9">
        <v>1</v>
      </c>
      <c r="AQ1497" s="5">
        <f>Transaction[[#This Row],[Price]]*Transaction[[#This Row],[Qty]]</f>
        <v>7.49</v>
      </c>
      <c r="AR1497" s="5">
        <f>VLOOKUP(Transaction[[#This Row],[Model No.]],$AV$2:$BD$100,7,TRUE)*Transaction[[#This Row],[Qty]]</f>
        <v>0.74900000000000011</v>
      </c>
      <c r="AS1497">
        <v>1102</v>
      </c>
      <c r="AT1497">
        <v>1020</v>
      </c>
    </row>
    <row r="1498" spans="36:46" x14ac:dyDescent="0.3">
      <c r="AJ1498">
        <v>41786</v>
      </c>
      <c r="AK1498" s="30">
        <v>43467</v>
      </c>
      <c r="AL1498" t="s">
        <v>1141</v>
      </c>
      <c r="AM1498">
        <v>61</v>
      </c>
      <c r="AN1498" t="str">
        <f>VLOOKUP(Transaction[[#This Row],[Model No.]],$AV$2:$BD$100,2,TRUE)</f>
        <v>He'Brew Genesis Dry Hopped Session Ale - 6 Pack</v>
      </c>
      <c r="AO1498" s="21">
        <f>VLOOKUP(Transaction[[#This Row],[Model No.]],$AV$2:$BD$100,6,TRUE)</f>
        <v>12.99</v>
      </c>
      <c r="AP1498" s="9">
        <v>4</v>
      </c>
      <c r="AQ1498" s="5">
        <f>Transaction[[#This Row],[Price]]*Transaction[[#This Row],[Qty]]</f>
        <v>51.96</v>
      </c>
      <c r="AR1498" s="5">
        <f>VLOOKUP(Transaction[[#This Row],[Model No.]],$AV$2:$BD$100,7,TRUE)*Transaction[[#This Row],[Qty]]</f>
        <v>15.587999999999999</v>
      </c>
      <c r="AS1498">
        <v>1101</v>
      </c>
      <c r="AT1498">
        <v>1008</v>
      </c>
    </row>
    <row r="1499" spans="36:46" x14ac:dyDescent="0.3">
      <c r="AJ1499">
        <v>30168</v>
      </c>
      <c r="AK1499" s="30">
        <v>43468</v>
      </c>
      <c r="AL1499" t="s">
        <v>1539</v>
      </c>
      <c r="AM1499">
        <v>68</v>
      </c>
      <c r="AN1499" t="str">
        <f>VLOOKUP(Transaction[[#This Row],[Model No.]],$AV$2:$BD$100,2,TRUE)</f>
        <v>Conti Beretta Estate Bottled Friuli Grave Pinot Grigio</v>
      </c>
      <c r="AO1499" s="21">
        <f>VLOOKUP(Transaction[[#This Row],[Model No.]],$AV$2:$BD$100,6,TRUE)</f>
        <v>12.99</v>
      </c>
      <c r="AP1499" s="9">
        <v>4</v>
      </c>
      <c r="AQ1499" s="5">
        <f>Transaction[[#This Row],[Price]]*Transaction[[#This Row],[Qty]]</f>
        <v>51.96</v>
      </c>
      <c r="AR1499" s="5">
        <f>VLOOKUP(Transaction[[#This Row],[Model No.]],$AV$2:$BD$100,7,TRUE)*Transaction[[#This Row],[Qty]]</f>
        <v>5.1960000000000006</v>
      </c>
      <c r="AS1499">
        <v>1103</v>
      </c>
      <c r="AT1499">
        <v>1010</v>
      </c>
    </row>
    <row r="1500" spans="36:46" x14ac:dyDescent="0.3">
      <c r="AJ1500">
        <v>13757</v>
      </c>
      <c r="AK1500" s="30">
        <v>43469</v>
      </c>
      <c r="AL1500" t="s">
        <v>975</v>
      </c>
      <c r="AM1500">
        <v>25</v>
      </c>
      <c r="AN1500" t="str">
        <f>VLOOKUP(Transaction[[#This Row],[Model No.]],$AV$2:$BD$100,2,TRUE)</f>
        <v>ICEHOUSE 4/6 LNNR - 24 Pack</v>
      </c>
      <c r="AO1500" s="21">
        <f>VLOOKUP(Transaction[[#This Row],[Model No.]],$AV$2:$BD$100,6,TRUE)</f>
        <v>23.99</v>
      </c>
      <c r="AP1500" s="9">
        <v>5</v>
      </c>
      <c r="AQ1500" s="5">
        <f>Transaction[[#This Row],[Price]]*Transaction[[#This Row],[Qty]]</f>
        <v>119.94999999999999</v>
      </c>
      <c r="AR1500" s="5">
        <f>VLOOKUP(Transaction[[#This Row],[Model No.]],$AV$2:$BD$100,7,TRUE)*Transaction[[#This Row],[Qty]]</f>
        <v>35.984999999999999</v>
      </c>
      <c r="AS1500">
        <v>1104</v>
      </c>
      <c r="AT1500">
        <v>1012</v>
      </c>
    </row>
    <row r="1501" spans="36:46" x14ac:dyDescent="0.3">
      <c r="AJ1501">
        <v>83283</v>
      </c>
      <c r="AK1501" s="30">
        <v>43469</v>
      </c>
      <c r="AL1501" t="s">
        <v>666</v>
      </c>
      <c r="AM1501">
        <v>51</v>
      </c>
      <c r="AN1501" t="str">
        <f>VLOOKUP(Transaction[[#This Row],[Model No.]],$AV$2:$BD$100,2,TRUE)</f>
        <v>Waterbrook Cabernet Sauvignon</v>
      </c>
      <c r="AO1501" s="21">
        <f>VLOOKUP(Transaction[[#This Row],[Model No.]],$AV$2:$BD$100,6,TRUE)</f>
        <v>14.99</v>
      </c>
      <c r="AP1501" s="9">
        <v>3</v>
      </c>
      <c r="AQ1501" s="5">
        <f>Transaction[[#This Row],[Price]]*Transaction[[#This Row],[Qty]]</f>
        <v>44.97</v>
      </c>
      <c r="AR1501" s="5">
        <f>VLOOKUP(Transaction[[#This Row],[Model No.]],$AV$2:$BD$100,7,TRUE)*Transaction[[#This Row],[Qty]]</f>
        <v>4.4969999999999999</v>
      </c>
      <c r="AS1501">
        <v>1098</v>
      </c>
      <c r="AT1501">
        <v>1015</v>
      </c>
    </row>
    <row r="1502" spans="36:46" x14ac:dyDescent="0.3">
      <c r="AJ1502">
        <v>71294</v>
      </c>
      <c r="AK1502" s="30">
        <v>43469</v>
      </c>
      <c r="AL1502" t="s">
        <v>840</v>
      </c>
      <c r="AM1502">
        <v>62</v>
      </c>
      <c r="AN1502" t="str">
        <f>VLOOKUP(Transaction[[#This Row],[Model No.]],$AV$2:$BD$100,2,TRUE)</f>
        <v>Beerlao Dark Lager - 6 Pack</v>
      </c>
      <c r="AO1502" s="21">
        <f>VLOOKUP(Transaction[[#This Row],[Model No.]],$AV$2:$BD$100,6,TRUE)</f>
        <v>12.99</v>
      </c>
      <c r="AP1502" s="9">
        <v>2</v>
      </c>
      <c r="AQ1502" s="5">
        <f>Transaction[[#This Row],[Price]]*Transaction[[#This Row],[Qty]]</f>
        <v>25.98</v>
      </c>
      <c r="AR1502" s="5">
        <f>VLOOKUP(Transaction[[#This Row],[Model No.]],$AV$2:$BD$100,7,TRUE)*Transaction[[#This Row],[Qty]]</f>
        <v>7.7939999999999996</v>
      </c>
      <c r="AS1502">
        <v>1098</v>
      </c>
      <c r="AT1502">
        <v>1002</v>
      </c>
    </row>
    <row r="1503" spans="36:46" x14ac:dyDescent="0.3">
      <c r="AJ1503">
        <v>31656</v>
      </c>
      <c r="AK1503" s="30">
        <v>43471</v>
      </c>
      <c r="AL1503" t="s">
        <v>445</v>
      </c>
      <c r="AM1503">
        <v>47</v>
      </c>
      <c r="AN1503" t="str">
        <f>VLOOKUP(Transaction[[#This Row],[Model No.]],$AV$2:$BD$100,2,TRUE)</f>
        <v>IL Tramonto Amaretto Liqueur</v>
      </c>
      <c r="AO1503" s="21">
        <f>VLOOKUP(Transaction[[#This Row],[Model No.]],$AV$2:$BD$100,6,TRUE)</f>
        <v>15.99</v>
      </c>
      <c r="AP1503" s="9">
        <v>3</v>
      </c>
      <c r="AQ1503" s="5">
        <f>Transaction[[#This Row],[Price]]*Transaction[[#This Row],[Qty]]</f>
        <v>47.97</v>
      </c>
      <c r="AR1503" s="5">
        <f>VLOOKUP(Transaction[[#This Row],[Model No.]],$AV$2:$BD$100,7,TRUE)*Transaction[[#This Row],[Qty]]</f>
        <v>14.390999999999998</v>
      </c>
      <c r="AS1503">
        <v>1101</v>
      </c>
      <c r="AT1503">
        <v>1016</v>
      </c>
    </row>
    <row r="1504" spans="36:46" x14ac:dyDescent="0.3">
      <c r="AJ1504">
        <v>35882</v>
      </c>
      <c r="AK1504" s="30">
        <v>43472</v>
      </c>
      <c r="AL1504" t="s">
        <v>485</v>
      </c>
      <c r="AM1504">
        <v>22</v>
      </c>
      <c r="AN1504" t="str">
        <f>VLOOKUP(Transaction[[#This Row],[Model No.]],$AV$2:$BD$100,2,TRUE)</f>
        <v>Efe Raki Black Triple Distilled Liqueur</v>
      </c>
      <c r="AO1504" s="21">
        <f>VLOOKUP(Transaction[[#This Row],[Model No.]],$AV$2:$BD$100,6,TRUE)</f>
        <v>25.99</v>
      </c>
      <c r="AP1504" s="9">
        <v>1</v>
      </c>
      <c r="AQ1504" s="5">
        <f>Transaction[[#This Row],[Price]]*Transaction[[#This Row],[Qty]]</f>
        <v>25.99</v>
      </c>
      <c r="AR1504" s="5">
        <f>VLOOKUP(Transaction[[#This Row],[Model No.]],$AV$2:$BD$100,7,TRUE)*Transaction[[#This Row],[Qty]]</f>
        <v>7.7969999999999988</v>
      </c>
      <c r="AS1504">
        <v>1099</v>
      </c>
      <c r="AT1504">
        <v>1014</v>
      </c>
    </row>
    <row r="1505" spans="36:46" x14ac:dyDescent="0.3">
      <c r="AJ1505">
        <v>16280</v>
      </c>
      <c r="AK1505" s="30">
        <v>43476</v>
      </c>
      <c r="AL1505" t="s">
        <v>1603</v>
      </c>
      <c r="AM1505">
        <v>7</v>
      </c>
      <c r="AN1505" t="str">
        <f>VLOOKUP(Transaction[[#This Row],[Model No.]],$AV$2:$BD$100,2,TRUE)</f>
        <v>Glenkinchie Distillers Edition Single Malt Scotch Whisky</v>
      </c>
      <c r="AO1505" s="21">
        <f>VLOOKUP(Transaction[[#This Row],[Model No.]],$AV$2:$BD$100,6,TRUE)</f>
        <v>45.99</v>
      </c>
      <c r="AP1505" s="9">
        <v>1</v>
      </c>
      <c r="AQ1505" s="5">
        <f>Transaction[[#This Row],[Price]]*Transaction[[#This Row],[Qty]]</f>
        <v>45.99</v>
      </c>
      <c r="AR1505" s="5">
        <f>VLOOKUP(Transaction[[#This Row],[Model No.]],$AV$2:$BD$100,7,TRUE)*Transaction[[#This Row],[Qty]]</f>
        <v>13.797000000000001</v>
      </c>
      <c r="AS1505">
        <v>1105</v>
      </c>
      <c r="AT1505">
        <v>1008</v>
      </c>
    </row>
    <row r="1506" spans="36:46" x14ac:dyDescent="0.3">
      <c r="AJ1506">
        <v>19511</v>
      </c>
      <c r="AK1506" s="30">
        <v>43477</v>
      </c>
      <c r="AL1506" t="s">
        <v>567</v>
      </c>
      <c r="AM1506">
        <v>96</v>
      </c>
      <c r="AN1506" t="str">
        <f>VLOOKUP(Transaction[[#This Row],[Model No.]],$AV$2:$BD$100,2,TRUE)</f>
        <v>Arbor Mist Blackberry Merlot</v>
      </c>
      <c r="AO1506" s="21">
        <f>VLOOKUP(Transaction[[#This Row],[Model No.]],$AV$2:$BD$100,6,TRUE)</f>
        <v>6.19</v>
      </c>
      <c r="AP1506" s="9">
        <v>1</v>
      </c>
      <c r="AQ1506" s="5">
        <f>Transaction[[#This Row],[Price]]*Transaction[[#This Row],[Qty]]</f>
        <v>6.19</v>
      </c>
      <c r="AR1506" s="5">
        <f>VLOOKUP(Transaction[[#This Row],[Model No.]],$AV$2:$BD$100,7,TRUE)*Transaction[[#This Row],[Qty]]</f>
        <v>0.61900000000000011</v>
      </c>
      <c r="AS1506">
        <v>1101</v>
      </c>
      <c r="AT1506">
        <v>1006</v>
      </c>
    </row>
    <row r="1507" spans="36:46" x14ac:dyDescent="0.3">
      <c r="AJ1507">
        <v>55665</v>
      </c>
      <c r="AK1507" s="30">
        <v>43478</v>
      </c>
      <c r="AL1507" t="s">
        <v>1260</v>
      </c>
      <c r="AM1507">
        <v>60</v>
      </c>
      <c r="AN1507" t="str">
        <f>VLOOKUP(Transaction[[#This Row],[Model No.]],$AV$2:$BD$100,2,TRUE)</f>
        <v>La Catrina Cabernet Sauvignon</v>
      </c>
      <c r="AO1507" s="21">
        <f>VLOOKUP(Transaction[[#This Row],[Model No.]],$AV$2:$BD$100,6,TRUE)</f>
        <v>12.99</v>
      </c>
      <c r="AP1507" s="9">
        <v>2</v>
      </c>
      <c r="AQ1507" s="5">
        <f>Transaction[[#This Row],[Price]]*Transaction[[#This Row],[Qty]]</f>
        <v>25.98</v>
      </c>
      <c r="AR1507" s="5">
        <f>VLOOKUP(Transaction[[#This Row],[Model No.]],$AV$2:$BD$100,7,TRUE)*Transaction[[#This Row],[Qty]]</f>
        <v>2.5980000000000003</v>
      </c>
      <c r="AS1507">
        <v>1103</v>
      </c>
      <c r="AT1507">
        <v>1012</v>
      </c>
    </row>
    <row r="1508" spans="36:46" x14ac:dyDescent="0.3">
      <c r="AJ1508">
        <v>13251</v>
      </c>
      <c r="AK1508" s="30">
        <v>43480</v>
      </c>
      <c r="AL1508" t="s">
        <v>776</v>
      </c>
      <c r="AM1508">
        <v>96</v>
      </c>
      <c r="AN1508" t="str">
        <f>VLOOKUP(Transaction[[#This Row],[Model No.]],$AV$2:$BD$100,2,TRUE)</f>
        <v>Arbor Mist Blackberry Merlot</v>
      </c>
      <c r="AO1508" s="21">
        <f>VLOOKUP(Transaction[[#This Row],[Model No.]],$AV$2:$BD$100,6,TRUE)</f>
        <v>6.19</v>
      </c>
      <c r="AP1508" s="9">
        <v>1</v>
      </c>
      <c r="AQ1508" s="5">
        <f>Transaction[[#This Row],[Price]]*Transaction[[#This Row],[Qty]]</f>
        <v>6.19</v>
      </c>
      <c r="AR1508" s="5">
        <f>VLOOKUP(Transaction[[#This Row],[Model No.]],$AV$2:$BD$100,7,TRUE)*Transaction[[#This Row],[Qty]]</f>
        <v>0.61900000000000011</v>
      </c>
      <c r="AS1508">
        <v>1106</v>
      </c>
      <c r="AT1508">
        <v>1016</v>
      </c>
    </row>
    <row r="1509" spans="36:46" x14ac:dyDescent="0.3">
      <c r="AJ1509">
        <v>18203</v>
      </c>
      <c r="AK1509" s="30">
        <v>43482</v>
      </c>
      <c r="AL1509" t="s">
        <v>1511</v>
      </c>
      <c r="AM1509">
        <v>88</v>
      </c>
      <c r="AN1509" t="str">
        <f>VLOOKUP(Transaction[[#This Row],[Model No.]],$AV$2:$BD$100,2,TRUE)</f>
        <v>Ermita de Petrer Tinto Organic Alicante</v>
      </c>
      <c r="AO1509" s="21">
        <f>VLOOKUP(Transaction[[#This Row],[Model No.]],$AV$2:$BD$100,6,TRUE)</f>
        <v>8.99</v>
      </c>
      <c r="AP1509" s="9">
        <v>5</v>
      </c>
      <c r="AQ1509" s="5">
        <f>Transaction[[#This Row],[Price]]*Transaction[[#This Row],[Qty]]</f>
        <v>44.95</v>
      </c>
      <c r="AR1509" s="5">
        <f>VLOOKUP(Transaction[[#This Row],[Model No.]],$AV$2:$BD$100,7,TRUE)*Transaction[[#This Row],[Qty]]</f>
        <v>17.98</v>
      </c>
      <c r="AS1509">
        <v>1098</v>
      </c>
      <c r="AT1509">
        <v>1009</v>
      </c>
    </row>
    <row r="1510" spans="36:46" x14ac:dyDescent="0.3">
      <c r="AJ1510">
        <v>76593</v>
      </c>
      <c r="AK1510" s="30">
        <v>43483</v>
      </c>
      <c r="AL1510" t="s">
        <v>1832</v>
      </c>
      <c r="AM1510">
        <v>43</v>
      </c>
      <c r="AN1510" t="str">
        <f>VLOOKUP(Transaction[[#This Row],[Model No.]],$AV$2:$BD$100,2,TRUE)</f>
        <v>Green Flash Le Freak - 4 Pack</v>
      </c>
      <c r="AO1510" s="21">
        <f>VLOOKUP(Transaction[[#This Row],[Model No.]],$AV$2:$BD$100,6,TRUE)</f>
        <v>16.989999999999998</v>
      </c>
      <c r="AP1510" s="9">
        <v>2</v>
      </c>
      <c r="AQ1510" s="5">
        <f>Transaction[[#This Row],[Price]]*Transaction[[#This Row],[Qty]]</f>
        <v>33.979999999999997</v>
      </c>
      <c r="AR1510" s="5">
        <f>VLOOKUP(Transaction[[#This Row],[Model No.]],$AV$2:$BD$100,7,TRUE)*Transaction[[#This Row],[Qty]]</f>
        <v>10.193999999999999</v>
      </c>
      <c r="AS1510">
        <v>1105</v>
      </c>
      <c r="AT1510">
        <v>1006</v>
      </c>
    </row>
    <row r="1511" spans="36:46" x14ac:dyDescent="0.3">
      <c r="AJ1511">
        <v>85575</v>
      </c>
      <c r="AK1511" s="30">
        <v>43483</v>
      </c>
      <c r="AL1511" t="s">
        <v>1169</v>
      </c>
      <c r="AM1511">
        <v>97</v>
      </c>
      <c r="AN1511" t="str">
        <f>VLOOKUP(Transaction[[#This Row],[Model No.]],$AV$2:$BD$100,2,TRUE)</f>
        <v>Sea Ridge Cabernet Sauvignon</v>
      </c>
      <c r="AO1511" s="21">
        <f>VLOOKUP(Transaction[[#This Row],[Model No.]],$AV$2:$BD$100,6,TRUE)</f>
        <v>5.99</v>
      </c>
      <c r="AP1511" s="9">
        <v>1</v>
      </c>
      <c r="AQ1511" s="5">
        <f>Transaction[[#This Row],[Price]]*Transaction[[#This Row],[Qty]]</f>
        <v>5.99</v>
      </c>
      <c r="AR1511" s="5">
        <f>VLOOKUP(Transaction[[#This Row],[Model No.]],$AV$2:$BD$100,7,TRUE)*Transaction[[#This Row],[Qty]]</f>
        <v>0.59900000000000009</v>
      </c>
      <c r="AS1511">
        <v>1100</v>
      </c>
      <c r="AT1511">
        <v>1008</v>
      </c>
    </row>
    <row r="1512" spans="36:46" x14ac:dyDescent="0.3">
      <c r="AJ1512">
        <v>33677</v>
      </c>
      <c r="AK1512" s="30">
        <v>43485</v>
      </c>
      <c r="AL1512" t="s">
        <v>967</v>
      </c>
      <c r="AM1512">
        <v>54</v>
      </c>
      <c r="AN1512" t="str">
        <f>VLOOKUP(Transaction[[#This Row],[Model No.]],$AV$2:$BD$100,2,TRUE)</f>
        <v>Pucker Cherry Tease Vodka</v>
      </c>
      <c r="AO1512" s="21">
        <f>VLOOKUP(Transaction[[#This Row],[Model No.]],$AV$2:$BD$100,6,TRUE)</f>
        <v>14.99</v>
      </c>
      <c r="AP1512" s="9">
        <v>4</v>
      </c>
      <c r="AQ1512" s="5">
        <f>Transaction[[#This Row],[Price]]*Transaction[[#This Row],[Qty]]</f>
        <v>59.96</v>
      </c>
      <c r="AR1512" s="5">
        <f>VLOOKUP(Transaction[[#This Row],[Model No.]],$AV$2:$BD$100,7,TRUE)*Transaction[[#This Row],[Qty]]</f>
        <v>17.988</v>
      </c>
      <c r="AS1512">
        <v>1105</v>
      </c>
      <c r="AT1512">
        <v>1004</v>
      </c>
    </row>
    <row r="1513" spans="36:46" x14ac:dyDescent="0.3">
      <c r="AJ1513">
        <v>12045</v>
      </c>
      <c r="AK1513" s="30">
        <v>43487</v>
      </c>
      <c r="AL1513" t="s">
        <v>1042</v>
      </c>
      <c r="AM1513">
        <v>44</v>
      </c>
      <c r="AN1513" t="str">
        <f>VLOOKUP(Transaction[[#This Row],[Model No.]],$AV$2:$BD$100,2,TRUE)</f>
        <v>Brasserie de Silly Saison - 4 Pack</v>
      </c>
      <c r="AO1513" s="21">
        <f>VLOOKUP(Transaction[[#This Row],[Model No.]],$AV$2:$BD$100,6,TRUE)</f>
        <v>16.989999999999998</v>
      </c>
      <c r="AP1513" s="9">
        <v>2</v>
      </c>
      <c r="AQ1513" s="5">
        <f>Transaction[[#This Row],[Price]]*Transaction[[#This Row],[Qty]]</f>
        <v>33.979999999999997</v>
      </c>
      <c r="AR1513" s="5">
        <f>VLOOKUP(Transaction[[#This Row],[Model No.]],$AV$2:$BD$100,7,TRUE)*Transaction[[#This Row],[Qty]]</f>
        <v>10.193999999999999</v>
      </c>
      <c r="AS1513">
        <v>1099</v>
      </c>
      <c r="AT1513">
        <v>1015</v>
      </c>
    </row>
    <row r="1514" spans="36:46" x14ac:dyDescent="0.3">
      <c r="AJ1514">
        <v>53141</v>
      </c>
      <c r="AK1514" s="30">
        <v>43488</v>
      </c>
      <c r="AL1514" t="s">
        <v>1668</v>
      </c>
      <c r="AM1514">
        <v>50</v>
      </c>
      <c r="AN1514" t="str">
        <f>VLOOKUP(Transaction[[#This Row],[Model No.]],$AV$2:$BD$100,2,TRUE)</f>
        <v>CLOS DU BOIS ROSE</v>
      </c>
      <c r="AO1514" s="21">
        <f>VLOOKUP(Transaction[[#This Row],[Model No.]],$AV$2:$BD$100,6,TRUE)</f>
        <v>14.99</v>
      </c>
      <c r="AP1514" s="9">
        <v>3</v>
      </c>
      <c r="AQ1514" s="5">
        <f>Transaction[[#This Row],[Price]]*Transaction[[#This Row],[Qty]]</f>
        <v>44.97</v>
      </c>
      <c r="AR1514" s="5">
        <f>VLOOKUP(Transaction[[#This Row],[Model No.]],$AV$2:$BD$100,7,TRUE)*Transaction[[#This Row],[Qty]]</f>
        <v>17.988</v>
      </c>
      <c r="AS1514">
        <v>1106</v>
      </c>
      <c r="AT1514">
        <v>1003</v>
      </c>
    </row>
    <row r="1515" spans="36:46" x14ac:dyDescent="0.3">
      <c r="AJ1515">
        <v>33559</v>
      </c>
      <c r="AK1515" s="30">
        <v>43488</v>
      </c>
      <c r="AL1515" t="s">
        <v>1842</v>
      </c>
      <c r="AM1515">
        <v>59</v>
      </c>
      <c r="AN1515" t="str">
        <f>VLOOKUP(Transaction[[#This Row],[Model No.]],$AV$2:$BD$100,2,TRUE)</f>
        <v>Smirnoff Kissed Caramel Vodka</v>
      </c>
      <c r="AO1515" s="21">
        <f>VLOOKUP(Transaction[[#This Row],[Model No.]],$AV$2:$BD$100,6,TRUE)</f>
        <v>13.49</v>
      </c>
      <c r="AP1515" s="9">
        <v>2</v>
      </c>
      <c r="AQ1515" s="5">
        <f>Transaction[[#This Row],[Price]]*Transaction[[#This Row],[Qty]]</f>
        <v>26.98</v>
      </c>
      <c r="AR1515" s="5">
        <f>VLOOKUP(Transaction[[#This Row],[Model No.]],$AV$2:$BD$100,7,TRUE)*Transaction[[#This Row],[Qty]]</f>
        <v>8.0939999999999994</v>
      </c>
      <c r="AS1515">
        <v>1100</v>
      </c>
      <c r="AT1515">
        <v>1007</v>
      </c>
    </row>
    <row r="1516" spans="36:46" x14ac:dyDescent="0.3">
      <c r="AJ1516">
        <v>64208</v>
      </c>
      <c r="AK1516" s="30">
        <v>43489</v>
      </c>
      <c r="AL1516" t="s">
        <v>730</v>
      </c>
      <c r="AM1516">
        <v>47</v>
      </c>
      <c r="AN1516" t="str">
        <f>VLOOKUP(Transaction[[#This Row],[Model No.]],$AV$2:$BD$100,2,TRUE)</f>
        <v>IL Tramonto Amaretto Liqueur</v>
      </c>
      <c r="AO1516" s="21">
        <f>VLOOKUP(Transaction[[#This Row],[Model No.]],$AV$2:$BD$100,6,TRUE)</f>
        <v>15.99</v>
      </c>
      <c r="AP1516" s="9">
        <v>2</v>
      </c>
      <c r="AQ1516" s="5">
        <f>Transaction[[#This Row],[Price]]*Transaction[[#This Row],[Qty]]</f>
        <v>31.98</v>
      </c>
      <c r="AR1516" s="5">
        <f>VLOOKUP(Transaction[[#This Row],[Model No.]],$AV$2:$BD$100,7,TRUE)*Transaction[[#This Row],[Qty]]</f>
        <v>9.5939999999999994</v>
      </c>
      <c r="AS1516">
        <v>1098</v>
      </c>
      <c r="AT1516">
        <v>1000</v>
      </c>
    </row>
    <row r="1517" spans="36:46" x14ac:dyDescent="0.3">
      <c r="AJ1517">
        <v>88190</v>
      </c>
      <c r="AK1517" s="30">
        <v>43490</v>
      </c>
      <c r="AL1517" t="s">
        <v>1197</v>
      </c>
      <c r="AM1517">
        <v>65</v>
      </c>
      <c r="AN1517" t="str">
        <f>VLOOKUP(Transaction[[#This Row],[Model No.]],$AV$2:$BD$100,2,TRUE)</f>
        <v>Shipyard Summer Ale - 6 Pack</v>
      </c>
      <c r="AO1517" s="21">
        <f>VLOOKUP(Transaction[[#This Row],[Model No.]],$AV$2:$BD$100,6,TRUE)</f>
        <v>12.99</v>
      </c>
      <c r="AP1517" s="9">
        <v>2</v>
      </c>
      <c r="AQ1517" s="5">
        <f>Transaction[[#This Row],[Price]]*Transaction[[#This Row],[Qty]]</f>
        <v>25.98</v>
      </c>
      <c r="AR1517" s="5">
        <f>VLOOKUP(Transaction[[#This Row],[Model No.]],$AV$2:$BD$100,7,TRUE)*Transaction[[#This Row],[Qty]]</f>
        <v>7.7939999999999996</v>
      </c>
      <c r="AS1517">
        <v>1103</v>
      </c>
      <c r="AT1517">
        <v>1007</v>
      </c>
    </row>
    <row r="1518" spans="36:46" x14ac:dyDescent="0.3">
      <c r="AJ1518">
        <v>39030</v>
      </c>
      <c r="AK1518" s="30">
        <v>43490</v>
      </c>
      <c r="AL1518" t="s">
        <v>1219</v>
      </c>
      <c r="AM1518">
        <v>66</v>
      </c>
      <c r="AN1518" t="str">
        <f>VLOOKUP(Transaction[[#This Row],[Model No.]],$AV$2:$BD$100,2,TRUE)</f>
        <v>Red Horse Beer - 6 Pack</v>
      </c>
      <c r="AO1518" s="21">
        <f>VLOOKUP(Transaction[[#This Row],[Model No.]],$AV$2:$BD$100,6,TRUE)</f>
        <v>12.99</v>
      </c>
      <c r="AP1518" s="9">
        <v>2</v>
      </c>
      <c r="AQ1518" s="5">
        <f>Transaction[[#This Row],[Price]]*Transaction[[#This Row],[Qty]]</f>
        <v>25.98</v>
      </c>
      <c r="AR1518" s="5">
        <f>VLOOKUP(Transaction[[#This Row],[Model No.]],$AV$2:$BD$100,7,TRUE)*Transaction[[#This Row],[Qty]]</f>
        <v>7.7939999999999996</v>
      </c>
      <c r="AS1518">
        <v>1103</v>
      </c>
      <c r="AT1518">
        <v>1001</v>
      </c>
    </row>
    <row r="1519" spans="36:46" x14ac:dyDescent="0.3">
      <c r="AJ1519">
        <v>24144</v>
      </c>
      <c r="AK1519" s="30">
        <v>43490</v>
      </c>
      <c r="AL1519" t="s">
        <v>1441</v>
      </c>
      <c r="AM1519">
        <v>67</v>
      </c>
      <c r="AN1519" t="str">
        <f>VLOOKUP(Transaction[[#This Row],[Model No.]],$AV$2:$BD$100,2,TRUE)</f>
        <v>Oh Be Joyful Sweet Deutscher Qualitatswein Dornfelder</v>
      </c>
      <c r="AO1519" s="21">
        <f>VLOOKUP(Transaction[[#This Row],[Model No.]],$AV$2:$BD$100,6,TRUE)</f>
        <v>12.99</v>
      </c>
      <c r="AP1519" s="9">
        <v>4</v>
      </c>
      <c r="AQ1519" s="5">
        <f>Transaction[[#This Row],[Price]]*Transaction[[#This Row],[Qty]]</f>
        <v>51.96</v>
      </c>
      <c r="AR1519" s="5">
        <f>VLOOKUP(Transaction[[#This Row],[Model No.]],$AV$2:$BD$100,7,TRUE)*Transaction[[#This Row],[Qty]]</f>
        <v>20.784000000000002</v>
      </c>
      <c r="AS1519">
        <v>1103</v>
      </c>
      <c r="AT1519">
        <v>1001</v>
      </c>
    </row>
    <row r="1520" spans="36:46" x14ac:dyDescent="0.3">
      <c r="AJ1520">
        <v>63751</v>
      </c>
      <c r="AK1520" s="30">
        <v>43492</v>
      </c>
      <c r="AL1520" t="s">
        <v>771</v>
      </c>
      <c r="AM1520">
        <v>18</v>
      </c>
      <c r="AN1520" t="str">
        <f>VLOOKUP(Transaction[[#This Row],[Model No.]],$AV$2:$BD$100,2,TRUE)</f>
        <v>Twenty Grand Peach Vodka</v>
      </c>
      <c r="AO1520" s="21">
        <f>VLOOKUP(Transaction[[#This Row],[Model No.]],$AV$2:$BD$100,6,TRUE)</f>
        <v>30.99</v>
      </c>
      <c r="AP1520" s="9">
        <v>2</v>
      </c>
      <c r="AQ1520" s="5">
        <f>Transaction[[#This Row],[Price]]*Transaction[[#This Row],[Qty]]</f>
        <v>61.98</v>
      </c>
      <c r="AR1520" s="5">
        <f>VLOOKUP(Transaction[[#This Row],[Model No.]],$AV$2:$BD$100,7,TRUE)*Transaction[[#This Row],[Qty]]</f>
        <v>18.593999999999998</v>
      </c>
      <c r="AS1520">
        <v>1098</v>
      </c>
      <c r="AT1520">
        <v>1004</v>
      </c>
    </row>
    <row r="1521" spans="36:46" x14ac:dyDescent="0.3">
      <c r="AJ1521">
        <v>75214</v>
      </c>
      <c r="AK1521" s="30">
        <v>43493</v>
      </c>
      <c r="AL1521" t="s">
        <v>1756</v>
      </c>
      <c r="AM1521">
        <v>36</v>
      </c>
      <c r="AN1521" t="str">
        <f>VLOOKUP(Transaction[[#This Row],[Model No.]],$AV$2:$BD$100,2,TRUE)</f>
        <v>Patricius Reserve Dry Furmint</v>
      </c>
      <c r="AO1521" s="21">
        <f>VLOOKUP(Transaction[[#This Row],[Model No.]],$AV$2:$BD$100,6,TRUE)</f>
        <v>20.99</v>
      </c>
      <c r="AP1521" s="9">
        <v>1</v>
      </c>
      <c r="AQ1521" s="5">
        <f>Transaction[[#This Row],[Price]]*Transaction[[#This Row],[Qty]]</f>
        <v>20.99</v>
      </c>
      <c r="AR1521" s="5">
        <f>VLOOKUP(Transaction[[#This Row],[Model No.]],$AV$2:$BD$100,7,TRUE)*Transaction[[#This Row],[Qty]]</f>
        <v>2.0989999999999998</v>
      </c>
      <c r="AS1521">
        <v>1103</v>
      </c>
      <c r="AT1521">
        <v>1011</v>
      </c>
    </row>
    <row r="1522" spans="36:46" x14ac:dyDescent="0.3">
      <c r="AJ1522">
        <v>62065</v>
      </c>
      <c r="AK1522" s="30">
        <v>43493</v>
      </c>
      <c r="AL1522" t="s">
        <v>1864</v>
      </c>
      <c r="AM1522">
        <v>58</v>
      </c>
      <c r="AN1522" t="str">
        <f>VLOOKUP(Transaction[[#This Row],[Model No.]],$AV$2:$BD$100,2,TRUE)</f>
        <v>Smirnoff Mango Vodka</v>
      </c>
      <c r="AO1522" s="21">
        <f>VLOOKUP(Transaction[[#This Row],[Model No.]],$AV$2:$BD$100,6,TRUE)</f>
        <v>13.49</v>
      </c>
      <c r="AP1522" s="9">
        <v>2</v>
      </c>
      <c r="AQ1522" s="5">
        <f>Transaction[[#This Row],[Price]]*Transaction[[#This Row],[Qty]]</f>
        <v>26.98</v>
      </c>
      <c r="AR1522" s="5">
        <f>VLOOKUP(Transaction[[#This Row],[Model No.]],$AV$2:$BD$100,7,TRUE)*Transaction[[#This Row],[Qty]]</f>
        <v>8.0939999999999994</v>
      </c>
      <c r="AS1522">
        <v>1100</v>
      </c>
      <c r="AT1522">
        <v>1015</v>
      </c>
    </row>
    <row r="1523" spans="36:46" x14ac:dyDescent="0.3">
      <c r="AJ1523">
        <v>43752</v>
      </c>
      <c r="AK1523" s="30">
        <v>43494</v>
      </c>
      <c r="AL1523" t="s">
        <v>1293</v>
      </c>
      <c r="AM1523">
        <v>27</v>
      </c>
      <c r="AN1523" t="str">
        <f>VLOOKUP(Transaction[[#This Row],[Model No.]],$AV$2:$BD$100,2,TRUE)</f>
        <v>Prairie Organic Gin</v>
      </c>
      <c r="AO1523" s="21">
        <f>VLOOKUP(Transaction[[#This Row],[Model No.]],$AV$2:$BD$100,6,TRUE)</f>
        <v>23.99</v>
      </c>
      <c r="AP1523" s="9">
        <v>2</v>
      </c>
      <c r="AQ1523" s="5">
        <f>Transaction[[#This Row],[Price]]*Transaction[[#This Row],[Qty]]</f>
        <v>47.98</v>
      </c>
      <c r="AR1523" s="5">
        <f>VLOOKUP(Transaction[[#This Row],[Model No.]],$AV$2:$BD$100,7,TRUE)*Transaction[[#This Row],[Qty]]</f>
        <v>19.192</v>
      </c>
      <c r="AS1523">
        <v>1100</v>
      </c>
      <c r="AT1523">
        <v>1002</v>
      </c>
    </row>
    <row r="1524" spans="36:46" x14ac:dyDescent="0.3">
      <c r="AJ1524">
        <v>98057</v>
      </c>
      <c r="AK1524" s="30">
        <v>43495</v>
      </c>
      <c r="AL1524" t="s">
        <v>1208</v>
      </c>
      <c r="AM1524">
        <v>44</v>
      </c>
      <c r="AN1524" t="str">
        <f>VLOOKUP(Transaction[[#This Row],[Model No.]],$AV$2:$BD$100,2,TRUE)</f>
        <v>Brasserie de Silly Saison - 4 Pack</v>
      </c>
      <c r="AO1524" s="21">
        <f>VLOOKUP(Transaction[[#This Row],[Model No.]],$AV$2:$BD$100,6,TRUE)</f>
        <v>16.989999999999998</v>
      </c>
      <c r="AP1524" s="9">
        <v>1</v>
      </c>
      <c r="AQ1524" s="5">
        <f>Transaction[[#This Row],[Price]]*Transaction[[#This Row],[Qty]]</f>
        <v>16.989999999999998</v>
      </c>
      <c r="AR1524" s="5">
        <f>VLOOKUP(Transaction[[#This Row],[Model No.]],$AV$2:$BD$100,7,TRUE)*Transaction[[#This Row],[Qty]]</f>
        <v>5.0969999999999995</v>
      </c>
      <c r="AS1524">
        <v>1098</v>
      </c>
      <c r="AT1524">
        <v>1019</v>
      </c>
    </row>
    <row r="1525" spans="36:46" x14ac:dyDescent="0.3">
      <c r="AJ1525">
        <v>35187</v>
      </c>
      <c r="AK1525" s="30">
        <v>43497</v>
      </c>
      <c r="AL1525" t="s">
        <v>1611</v>
      </c>
      <c r="AM1525">
        <v>1</v>
      </c>
      <c r="AN1525" t="str">
        <f>VLOOKUP(Transaction[[#This Row],[Model No.]],$AV$2:$BD$100,2,TRUE)</f>
        <v>Forager's Keep 26 Year Old Single Malt Scotch Whisky</v>
      </c>
      <c r="AO1525" s="21">
        <f>VLOOKUP(Transaction[[#This Row],[Model No.]],$AV$2:$BD$100,6,TRUE)</f>
        <v>325.99</v>
      </c>
      <c r="AP1525" s="9">
        <v>1</v>
      </c>
      <c r="AQ1525" s="5">
        <f>Transaction[[#This Row],[Price]]*Transaction[[#This Row],[Qty]]</f>
        <v>325.99</v>
      </c>
      <c r="AR1525" s="5">
        <f>VLOOKUP(Transaction[[#This Row],[Model No.]],$AV$2:$BD$100,7,TRUE)*Transaction[[#This Row],[Qty]]</f>
        <v>97.796999999999997</v>
      </c>
      <c r="AS1525">
        <v>1106</v>
      </c>
      <c r="AT1525">
        <v>1017</v>
      </c>
    </row>
    <row r="1526" spans="36:46" x14ac:dyDescent="0.3">
      <c r="AJ1526">
        <v>86849</v>
      </c>
      <c r="AK1526" s="30">
        <v>43498</v>
      </c>
      <c r="AL1526" t="s">
        <v>331</v>
      </c>
      <c r="AM1526">
        <v>15</v>
      </c>
      <c r="AN1526" t="str">
        <f>VLOOKUP(Transaction[[#This Row],[Model No.]],$AV$2:$BD$100,2,TRUE)</f>
        <v>Wild Turkey 101 Kentucky Straight Bourbon Whiskey</v>
      </c>
      <c r="AO1526" s="21">
        <f>VLOOKUP(Transaction[[#This Row],[Model No.]],$AV$2:$BD$100,6,TRUE)</f>
        <v>32.99</v>
      </c>
      <c r="AP1526" s="9">
        <v>1</v>
      </c>
      <c r="AQ1526" s="5">
        <f>Transaction[[#This Row],[Price]]*Transaction[[#This Row],[Qty]]</f>
        <v>32.99</v>
      </c>
      <c r="AR1526" s="5">
        <f>VLOOKUP(Transaction[[#This Row],[Model No.]],$AV$2:$BD$100,7,TRUE)*Transaction[[#This Row],[Qty]]</f>
        <v>6.5980000000000008</v>
      </c>
      <c r="AS1526">
        <v>1101</v>
      </c>
      <c r="AT1526">
        <v>1018</v>
      </c>
    </row>
    <row r="1527" spans="36:46" x14ac:dyDescent="0.3">
      <c r="AJ1527">
        <v>90519</v>
      </c>
      <c r="AK1527" s="30">
        <v>43498</v>
      </c>
      <c r="AL1527" t="s">
        <v>1902</v>
      </c>
      <c r="AM1527">
        <v>62</v>
      </c>
      <c r="AN1527" t="str">
        <f>VLOOKUP(Transaction[[#This Row],[Model No.]],$AV$2:$BD$100,2,TRUE)</f>
        <v>Beerlao Dark Lager - 6 Pack</v>
      </c>
      <c r="AO1527" s="21">
        <f>VLOOKUP(Transaction[[#This Row],[Model No.]],$AV$2:$BD$100,6,TRUE)</f>
        <v>12.99</v>
      </c>
      <c r="AP1527" s="9">
        <v>2</v>
      </c>
      <c r="AQ1527" s="5">
        <f>Transaction[[#This Row],[Price]]*Transaction[[#This Row],[Qty]]</f>
        <v>25.98</v>
      </c>
      <c r="AR1527" s="5">
        <f>VLOOKUP(Transaction[[#This Row],[Model No.]],$AV$2:$BD$100,7,TRUE)*Transaction[[#This Row],[Qty]]</f>
        <v>7.7939999999999996</v>
      </c>
      <c r="AS1527">
        <v>1106</v>
      </c>
      <c r="AT1527">
        <v>1003</v>
      </c>
    </row>
    <row r="1528" spans="36:46" x14ac:dyDescent="0.3">
      <c r="AJ1528">
        <v>44945</v>
      </c>
      <c r="AK1528" s="30">
        <v>43500</v>
      </c>
      <c r="AL1528" t="s">
        <v>449</v>
      </c>
      <c r="AM1528">
        <v>9</v>
      </c>
      <c r="AN1528" t="str">
        <f>VLOOKUP(Transaction[[#This Row],[Model No.]],$AV$2:$BD$100,2,TRUE)</f>
        <v>Ass Kisser Double IPA - 12 Pack</v>
      </c>
      <c r="AO1528" s="21">
        <f>VLOOKUP(Transaction[[#This Row],[Model No.]],$AV$2:$BD$100,6,TRUE)</f>
        <v>43.99</v>
      </c>
      <c r="AP1528" s="9">
        <v>5</v>
      </c>
      <c r="AQ1528" s="5">
        <f>Transaction[[#This Row],[Price]]*Transaction[[#This Row],[Qty]]</f>
        <v>219.95000000000002</v>
      </c>
      <c r="AR1528" s="5">
        <f>VLOOKUP(Transaction[[#This Row],[Model No.]],$AV$2:$BD$100,7,TRUE)*Transaction[[#This Row],[Qty]]</f>
        <v>65.984999999999999</v>
      </c>
      <c r="AS1528">
        <v>1104</v>
      </c>
      <c r="AT1528">
        <v>1017</v>
      </c>
    </row>
    <row r="1529" spans="36:46" x14ac:dyDescent="0.3">
      <c r="AJ1529">
        <v>60351</v>
      </c>
      <c r="AK1529" s="30">
        <v>43502</v>
      </c>
      <c r="AL1529" t="s">
        <v>532</v>
      </c>
      <c r="AM1529">
        <v>52</v>
      </c>
      <c r="AN1529" t="str">
        <f>VLOOKUP(Transaction[[#This Row],[Model No.]],$AV$2:$BD$100,2,TRUE)</f>
        <v>Finca Las Moras Barrel Select Cabernet Sauvignon</v>
      </c>
      <c r="AO1529" s="21">
        <f>VLOOKUP(Transaction[[#This Row],[Model No.]],$AV$2:$BD$100,6,TRUE)</f>
        <v>14.99</v>
      </c>
      <c r="AP1529" s="9">
        <v>1</v>
      </c>
      <c r="AQ1529" s="5">
        <f>Transaction[[#This Row],[Price]]*Transaction[[#This Row],[Qty]]</f>
        <v>14.99</v>
      </c>
      <c r="AR1529" s="5">
        <f>VLOOKUP(Transaction[[#This Row],[Model No.]],$AV$2:$BD$100,7,TRUE)*Transaction[[#This Row],[Qty]]</f>
        <v>1.4990000000000001</v>
      </c>
      <c r="AS1529">
        <v>1101</v>
      </c>
      <c r="AT1529">
        <v>1021</v>
      </c>
    </row>
    <row r="1530" spans="36:46" x14ac:dyDescent="0.3">
      <c r="AJ1530">
        <v>61592</v>
      </c>
      <c r="AK1530" s="30">
        <v>43502</v>
      </c>
      <c r="AL1530" t="s">
        <v>731</v>
      </c>
      <c r="AM1530">
        <v>76</v>
      </c>
      <c r="AN1530" t="str">
        <f>VLOOKUP(Transaction[[#This Row],[Model No.]],$AV$2:$BD$100,2,TRUE)</f>
        <v>Lagunitas Super Cluster Can - 6 Pack</v>
      </c>
      <c r="AO1530" s="21">
        <f>VLOOKUP(Transaction[[#This Row],[Model No.]],$AV$2:$BD$100,6,TRUE)</f>
        <v>11.99</v>
      </c>
      <c r="AP1530" s="9">
        <v>3</v>
      </c>
      <c r="AQ1530" s="5">
        <f>Transaction[[#This Row],[Price]]*Transaction[[#This Row],[Qty]]</f>
        <v>35.97</v>
      </c>
      <c r="AR1530" s="5">
        <f>VLOOKUP(Transaction[[#This Row],[Model No.]],$AV$2:$BD$100,7,TRUE)*Transaction[[#This Row],[Qty]]</f>
        <v>10.791</v>
      </c>
      <c r="AS1530">
        <v>1098</v>
      </c>
      <c r="AT1530">
        <v>1017</v>
      </c>
    </row>
    <row r="1531" spans="36:46" x14ac:dyDescent="0.3">
      <c r="AJ1531">
        <v>60552</v>
      </c>
      <c r="AK1531" s="30">
        <v>43503</v>
      </c>
      <c r="AL1531" t="s">
        <v>935</v>
      </c>
      <c r="AM1531">
        <v>64</v>
      </c>
      <c r="AN1531" t="str">
        <f>VLOOKUP(Transaction[[#This Row],[Model No.]],$AV$2:$BD$100,2,TRUE)</f>
        <v>Maui Brewing Big Swell IPA - 6 Pack</v>
      </c>
      <c r="AO1531" s="21">
        <f>VLOOKUP(Transaction[[#This Row],[Model No.]],$AV$2:$BD$100,6,TRUE)</f>
        <v>12.99</v>
      </c>
      <c r="AP1531" s="9">
        <v>1</v>
      </c>
      <c r="AQ1531" s="5">
        <f>Transaction[[#This Row],[Price]]*Transaction[[#This Row],[Qty]]</f>
        <v>12.99</v>
      </c>
      <c r="AR1531" s="5">
        <f>VLOOKUP(Transaction[[#This Row],[Model No.]],$AV$2:$BD$100,7,TRUE)*Transaction[[#This Row],[Qty]]</f>
        <v>3.8969999999999998</v>
      </c>
      <c r="AS1531">
        <v>1101</v>
      </c>
      <c r="AT1531">
        <v>1001</v>
      </c>
    </row>
    <row r="1532" spans="36:46" x14ac:dyDescent="0.3">
      <c r="AJ1532">
        <v>40906</v>
      </c>
      <c r="AK1532" s="30">
        <v>43504</v>
      </c>
      <c r="AL1532" t="s">
        <v>1877</v>
      </c>
      <c r="AM1532">
        <v>12</v>
      </c>
      <c r="AN1532" t="str">
        <f>VLOOKUP(Transaction[[#This Row],[Model No.]],$AV$2:$BD$100,2,TRUE)</f>
        <v>Cuvaison Pinot Noir</v>
      </c>
      <c r="AO1532" s="21">
        <f>VLOOKUP(Transaction[[#This Row],[Model No.]],$AV$2:$BD$100,6,TRUE)</f>
        <v>36.99</v>
      </c>
      <c r="AP1532" s="9">
        <v>3</v>
      </c>
      <c r="AQ1532" s="5">
        <f>Transaction[[#This Row],[Price]]*Transaction[[#This Row],[Qty]]</f>
        <v>110.97</v>
      </c>
      <c r="AR1532" s="5">
        <f>VLOOKUP(Transaction[[#This Row],[Model No.]],$AV$2:$BD$100,7,TRUE)*Transaction[[#This Row],[Qty]]</f>
        <v>11.097000000000001</v>
      </c>
      <c r="AS1532">
        <v>1098</v>
      </c>
      <c r="AT1532">
        <v>1006</v>
      </c>
    </row>
    <row r="1533" spans="36:46" x14ac:dyDescent="0.3">
      <c r="AJ1533">
        <v>45133</v>
      </c>
      <c r="AK1533" s="30">
        <v>43507</v>
      </c>
      <c r="AL1533" t="s">
        <v>1846</v>
      </c>
      <c r="AM1533">
        <v>72</v>
      </c>
      <c r="AN1533" t="str">
        <f>VLOOKUP(Transaction[[#This Row],[Model No.]],$AV$2:$BD$100,2,TRUE)</f>
        <v>Pearl Wedding Cake Vodka</v>
      </c>
      <c r="AO1533" s="21">
        <f>VLOOKUP(Transaction[[#This Row],[Model No.]],$AV$2:$BD$100,6,TRUE)</f>
        <v>12.49</v>
      </c>
      <c r="AP1533" s="9">
        <v>1</v>
      </c>
      <c r="AQ1533" s="5">
        <f>Transaction[[#This Row],[Price]]*Transaction[[#This Row],[Qty]]</f>
        <v>12.49</v>
      </c>
      <c r="AR1533" s="5">
        <f>VLOOKUP(Transaction[[#This Row],[Model No.]],$AV$2:$BD$100,7,TRUE)*Transaction[[#This Row],[Qty]]</f>
        <v>3.7469999999999999</v>
      </c>
      <c r="AS1533">
        <v>1105</v>
      </c>
      <c r="AT1533">
        <v>1009</v>
      </c>
    </row>
    <row r="1534" spans="36:46" x14ac:dyDescent="0.3">
      <c r="AJ1534">
        <v>48149</v>
      </c>
      <c r="AK1534" s="30">
        <v>43508</v>
      </c>
      <c r="AL1534" t="s">
        <v>1431</v>
      </c>
      <c r="AM1534">
        <v>24</v>
      </c>
      <c r="AN1534" t="str">
        <f>VLOOKUP(Transaction[[#This Row],[Model No.]],$AV$2:$BD$100,2,TRUE)</f>
        <v>Matchbook The Arsonist Bordeaux Blend</v>
      </c>
      <c r="AO1534" s="21">
        <f>VLOOKUP(Transaction[[#This Row],[Model No.]],$AV$2:$BD$100,6,TRUE)</f>
        <v>24.99</v>
      </c>
      <c r="AP1534" s="9">
        <v>3</v>
      </c>
      <c r="AQ1534" s="5">
        <f>Transaction[[#This Row],[Price]]*Transaction[[#This Row],[Qty]]</f>
        <v>74.97</v>
      </c>
      <c r="AR1534" s="5">
        <f>VLOOKUP(Transaction[[#This Row],[Model No.]],$AV$2:$BD$100,7,TRUE)*Transaction[[#This Row],[Qty]]</f>
        <v>7.4969999999999999</v>
      </c>
      <c r="AS1534">
        <v>1106</v>
      </c>
      <c r="AT1534">
        <v>1017</v>
      </c>
    </row>
    <row r="1535" spans="36:46" x14ac:dyDescent="0.3">
      <c r="AJ1535">
        <v>29899</v>
      </c>
      <c r="AK1535" s="30">
        <v>43508</v>
      </c>
      <c r="AL1535" t="s">
        <v>1193</v>
      </c>
      <c r="AM1535">
        <v>35</v>
      </c>
      <c r="AN1535" t="str">
        <f>VLOOKUP(Transaction[[#This Row],[Model No.]],$AV$2:$BD$100,2,TRUE)</f>
        <v>Troegenator Double Bock Can - 12 Pack</v>
      </c>
      <c r="AO1535" s="21">
        <f>VLOOKUP(Transaction[[#This Row],[Model No.]],$AV$2:$BD$100,6,TRUE)</f>
        <v>20.99</v>
      </c>
      <c r="AP1535" s="9">
        <v>3</v>
      </c>
      <c r="AQ1535" s="5">
        <f>Transaction[[#This Row],[Price]]*Transaction[[#This Row],[Qty]]</f>
        <v>62.97</v>
      </c>
      <c r="AR1535" s="5">
        <f>VLOOKUP(Transaction[[#This Row],[Model No.]],$AV$2:$BD$100,7,TRUE)*Transaction[[#This Row],[Qty]]</f>
        <v>18.890999999999998</v>
      </c>
      <c r="AS1535">
        <v>1099</v>
      </c>
      <c r="AT1535">
        <v>1007</v>
      </c>
    </row>
    <row r="1536" spans="36:46" x14ac:dyDescent="0.3">
      <c r="AJ1536">
        <v>59700</v>
      </c>
      <c r="AK1536" s="30">
        <v>43512</v>
      </c>
      <c r="AL1536" t="s">
        <v>1176</v>
      </c>
      <c r="AM1536">
        <v>12</v>
      </c>
      <c r="AN1536" t="str">
        <f>VLOOKUP(Transaction[[#This Row],[Model No.]],$AV$2:$BD$100,2,TRUE)</f>
        <v>Cuvaison Pinot Noir</v>
      </c>
      <c r="AO1536" s="21">
        <f>VLOOKUP(Transaction[[#This Row],[Model No.]],$AV$2:$BD$100,6,TRUE)</f>
        <v>36.99</v>
      </c>
      <c r="AP1536" s="9">
        <v>1</v>
      </c>
      <c r="AQ1536" s="5">
        <f>Transaction[[#This Row],[Price]]*Transaction[[#This Row],[Qty]]</f>
        <v>36.99</v>
      </c>
      <c r="AR1536" s="5">
        <f>VLOOKUP(Transaction[[#This Row],[Model No.]],$AV$2:$BD$100,7,TRUE)*Transaction[[#This Row],[Qty]]</f>
        <v>3.6990000000000003</v>
      </c>
      <c r="AS1536">
        <v>1108</v>
      </c>
      <c r="AT1536">
        <v>1008</v>
      </c>
    </row>
    <row r="1537" spans="36:46" x14ac:dyDescent="0.3">
      <c r="AJ1537">
        <v>97977</v>
      </c>
      <c r="AK1537" s="30">
        <v>43512</v>
      </c>
      <c r="AL1537" t="s">
        <v>403</v>
      </c>
      <c r="AM1537">
        <v>34</v>
      </c>
      <c r="AN1537" t="str">
        <f>VLOOKUP(Transaction[[#This Row],[Model No.]],$AV$2:$BD$100,2,TRUE)</f>
        <v>The Eyrie Vineyards Pinot Gris</v>
      </c>
      <c r="AO1537" s="21">
        <f>VLOOKUP(Transaction[[#This Row],[Model No.]],$AV$2:$BD$100,6,TRUE)</f>
        <v>20.99</v>
      </c>
      <c r="AP1537" s="9">
        <v>5</v>
      </c>
      <c r="AQ1537" s="5">
        <f>Transaction[[#This Row],[Price]]*Transaction[[#This Row],[Qty]]</f>
        <v>104.94999999999999</v>
      </c>
      <c r="AR1537" s="5">
        <f>VLOOKUP(Transaction[[#This Row],[Model No.]],$AV$2:$BD$100,7,TRUE)*Transaction[[#This Row],[Qty]]</f>
        <v>20.99</v>
      </c>
      <c r="AS1537">
        <v>1100</v>
      </c>
      <c r="AT1537">
        <v>1010</v>
      </c>
    </row>
    <row r="1538" spans="36:46" x14ac:dyDescent="0.3">
      <c r="AJ1538">
        <v>82721</v>
      </c>
      <c r="AK1538" s="30">
        <v>43514</v>
      </c>
      <c r="AL1538" t="s">
        <v>1573</v>
      </c>
      <c r="AM1538">
        <v>33</v>
      </c>
      <c r="AN1538" t="str">
        <f>VLOOKUP(Transaction[[#This Row],[Model No.]],$AV$2:$BD$100,2,TRUE)</f>
        <v>Saracina Unoaked Chardonnay</v>
      </c>
      <c r="AO1538" s="21">
        <f>VLOOKUP(Transaction[[#This Row],[Model No.]],$AV$2:$BD$100,6,TRUE)</f>
        <v>20.99</v>
      </c>
      <c r="AP1538" s="9">
        <v>4</v>
      </c>
      <c r="AQ1538" s="5">
        <f>Transaction[[#This Row],[Price]]*Transaction[[#This Row],[Qty]]</f>
        <v>83.96</v>
      </c>
      <c r="AR1538" s="5">
        <f>VLOOKUP(Transaction[[#This Row],[Model No.]],$AV$2:$BD$100,7,TRUE)*Transaction[[#This Row],[Qty]]</f>
        <v>16.791999999999998</v>
      </c>
      <c r="AS1538">
        <v>1101</v>
      </c>
      <c r="AT1538">
        <v>1003</v>
      </c>
    </row>
    <row r="1539" spans="36:46" x14ac:dyDescent="0.3">
      <c r="AJ1539">
        <v>30011</v>
      </c>
      <c r="AK1539" s="30">
        <v>43516</v>
      </c>
      <c r="AL1539" t="s">
        <v>694</v>
      </c>
      <c r="AM1539">
        <v>54</v>
      </c>
      <c r="AN1539" t="str">
        <f>VLOOKUP(Transaction[[#This Row],[Model No.]],$AV$2:$BD$100,2,TRUE)</f>
        <v>Pucker Cherry Tease Vodka</v>
      </c>
      <c r="AO1539" s="21">
        <f>VLOOKUP(Transaction[[#This Row],[Model No.]],$AV$2:$BD$100,6,TRUE)</f>
        <v>14.99</v>
      </c>
      <c r="AP1539" s="9">
        <v>4</v>
      </c>
      <c r="AQ1539" s="5">
        <f>Transaction[[#This Row],[Price]]*Transaction[[#This Row],[Qty]]</f>
        <v>59.96</v>
      </c>
      <c r="AR1539" s="5">
        <f>VLOOKUP(Transaction[[#This Row],[Model No.]],$AV$2:$BD$100,7,TRUE)*Transaction[[#This Row],[Qty]]</f>
        <v>17.988</v>
      </c>
      <c r="AS1539">
        <v>1108</v>
      </c>
      <c r="AT1539">
        <v>1001</v>
      </c>
    </row>
    <row r="1540" spans="36:46" x14ac:dyDescent="0.3">
      <c r="AJ1540">
        <v>77540</v>
      </c>
      <c r="AK1540" s="30">
        <v>43519</v>
      </c>
      <c r="AL1540" t="s">
        <v>1133</v>
      </c>
      <c r="AM1540">
        <v>58</v>
      </c>
      <c r="AN1540" t="str">
        <f>VLOOKUP(Transaction[[#This Row],[Model No.]],$AV$2:$BD$100,2,TRUE)</f>
        <v>Smirnoff Mango Vodka</v>
      </c>
      <c r="AO1540" s="21">
        <f>VLOOKUP(Transaction[[#This Row],[Model No.]],$AV$2:$BD$100,6,TRUE)</f>
        <v>13.49</v>
      </c>
      <c r="AP1540" s="9">
        <v>2</v>
      </c>
      <c r="AQ1540" s="5">
        <f>Transaction[[#This Row],[Price]]*Transaction[[#This Row],[Qty]]</f>
        <v>26.98</v>
      </c>
      <c r="AR1540" s="5">
        <f>VLOOKUP(Transaction[[#This Row],[Model No.]],$AV$2:$BD$100,7,TRUE)*Transaction[[#This Row],[Qty]]</f>
        <v>8.0939999999999994</v>
      </c>
      <c r="AS1540">
        <v>1098</v>
      </c>
      <c r="AT1540">
        <v>1016</v>
      </c>
    </row>
    <row r="1541" spans="36:46" x14ac:dyDescent="0.3">
      <c r="AJ1541">
        <v>19711</v>
      </c>
      <c r="AK1541" s="30">
        <v>43520</v>
      </c>
      <c r="AL1541" t="s">
        <v>748</v>
      </c>
      <c r="AM1541">
        <v>26</v>
      </c>
      <c r="AN1541" t="str">
        <f>VLOOKUP(Transaction[[#This Row],[Model No.]],$AV$2:$BD$100,2,TRUE)</f>
        <v>Belhaven Scottish Stout - 4 Pack</v>
      </c>
      <c r="AO1541" s="21">
        <f>VLOOKUP(Transaction[[#This Row],[Model No.]],$AV$2:$BD$100,6,TRUE)</f>
        <v>23.99</v>
      </c>
      <c r="AP1541" s="9">
        <v>5</v>
      </c>
      <c r="AQ1541" s="5">
        <f>Transaction[[#This Row],[Price]]*Transaction[[#This Row],[Qty]]</f>
        <v>119.94999999999999</v>
      </c>
      <c r="AR1541" s="5">
        <f>VLOOKUP(Transaction[[#This Row],[Model No.]],$AV$2:$BD$100,7,TRUE)*Transaction[[#This Row],[Qty]]</f>
        <v>35.984999999999999</v>
      </c>
      <c r="AS1541">
        <v>1108</v>
      </c>
      <c r="AT1541">
        <v>1018</v>
      </c>
    </row>
    <row r="1542" spans="36:46" x14ac:dyDescent="0.3">
      <c r="AJ1542">
        <v>52049</v>
      </c>
      <c r="AK1542" s="30">
        <v>43521</v>
      </c>
      <c r="AL1542" t="s">
        <v>1163</v>
      </c>
      <c r="AM1542">
        <v>41</v>
      </c>
      <c r="AN1542" t="str">
        <f>VLOOKUP(Transaction[[#This Row],[Model No.]],$AV$2:$BD$100,2,TRUE)</f>
        <v>Brunellesco Delle Venezie IGT Pinot Grigio</v>
      </c>
      <c r="AO1542" s="21">
        <f>VLOOKUP(Transaction[[#This Row],[Model No.]],$AV$2:$BD$100,6,TRUE)</f>
        <v>17.39</v>
      </c>
      <c r="AP1542" s="9">
        <v>4</v>
      </c>
      <c r="AQ1542" s="5">
        <f>Transaction[[#This Row],[Price]]*Transaction[[#This Row],[Qty]]</f>
        <v>69.56</v>
      </c>
      <c r="AR1542" s="5">
        <f>VLOOKUP(Transaction[[#This Row],[Model No.]],$AV$2:$BD$100,7,TRUE)*Transaction[[#This Row],[Qty]]</f>
        <v>6.9560000000000004</v>
      </c>
      <c r="AS1542">
        <v>1103</v>
      </c>
      <c r="AT1542">
        <v>1002</v>
      </c>
    </row>
    <row r="1543" spans="36:46" x14ac:dyDescent="0.3">
      <c r="AJ1543">
        <v>26554</v>
      </c>
      <c r="AK1543" s="30">
        <v>43522</v>
      </c>
      <c r="AL1543" t="s">
        <v>1202</v>
      </c>
      <c r="AM1543">
        <v>58</v>
      </c>
      <c r="AN1543" t="str">
        <f>VLOOKUP(Transaction[[#This Row],[Model No.]],$AV$2:$BD$100,2,TRUE)</f>
        <v>Smirnoff Mango Vodka</v>
      </c>
      <c r="AO1543" s="21">
        <f>VLOOKUP(Transaction[[#This Row],[Model No.]],$AV$2:$BD$100,6,TRUE)</f>
        <v>13.49</v>
      </c>
      <c r="AP1543" s="9">
        <v>4</v>
      </c>
      <c r="AQ1543" s="5">
        <f>Transaction[[#This Row],[Price]]*Transaction[[#This Row],[Qty]]</f>
        <v>53.96</v>
      </c>
      <c r="AR1543" s="5">
        <f>VLOOKUP(Transaction[[#This Row],[Model No.]],$AV$2:$BD$100,7,TRUE)*Transaction[[#This Row],[Qty]]</f>
        <v>16.187999999999999</v>
      </c>
      <c r="AS1543">
        <v>1099</v>
      </c>
      <c r="AT1543">
        <v>1015</v>
      </c>
    </row>
    <row r="1544" spans="36:46" x14ac:dyDescent="0.3">
      <c r="AJ1544">
        <v>62842</v>
      </c>
      <c r="AK1544" s="30">
        <v>43522</v>
      </c>
      <c r="AL1544" t="s">
        <v>1446</v>
      </c>
      <c r="AM1544">
        <v>64</v>
      </c>
      <c r="AN1544" t="str">
        <f>VLOOKUP(Transaction[[#This Row],[Model No.]],$AV$2:$BD$100,2,TRUE)</f>
        <v>Maui Brewing Big Swell IPA - 6 Pack</v>
      </c>
      <c r="AO1544" s="21">
        <f>VLOOKUP(Transaction[[#This Row],[Model No.]],$AV$2:$BD$100,6,TRUE)</f>
        <v>12.99</v>
      </c>
      <c r="AP1544" s="9">
        <v>3</v>
      </c>
      <c r="AQ1544" s="5">
        <f>Transaction[[#This Row],[Price]]*Transaction[[#This Row],[Qty]]</f>
        <v>38.97</v>
      </c>
      <c r="AR1544" s="5">
        <f>VLOOKUP(Transaction[[#This Row],[Model No.]],$AV$2:$BD$100,7,TRUE)*Transaction[[#This Row],[Qty]]</f>
        <v>11.690999999999999</v>
      </c>
      <c r="AS1544">
        <v>1106</v>
      </c>
      <c r="AT1544">
        <v>1005</v>
      </c>
    </row>
    <row r="1545" spans="36:46" x14ac:dyDescent="0.3">
      <c r="AJ1545">
        <v>83362</v>
      </c>
      <c r="AK1545" s="30">
        <v>43522</v>
      </c>
      <c r="AL1545" t="s">
        <v>1512</v>
      </c>
      <c r="AM1545">
        <v>77</v>
      </c>
      <c r="AN1545" t="str">
        <f>VLOOKUP(Transaction[[#This Row],[Model No.]],$AV$2:$BD$100,2,TRUE)</f>
        <v>LA CHASSE PRETIGE CDR</v>
      </c>
      <c r="AO1545" s="21">
        <f>VLOOKUP(Transaction[[#This Row],[Model No.]],$AV$2:$BD$100,6,TRUE)</f>
        <v>11.99</v>
      </c>
      <c r="AP1545" s="9">
        <v>4</v>
      </c>
      <c r="AQ1545" s="5">
        <f>Transaction[[#This Row],[Price]]*Transaction[[#This Row],[Qty]]</f>
        <v>47.96</v>
      </c>
      <c r="AR1545" s="5">
        <f>VLOOKUP(Transaction[[#This Row],[Model No.]],$AV$2:$BD$100,7,TRUE)*Transaction[[#This Row],[Qty]]</f>
        <v>19.184000000000001</v>
      </c>
      <c r="AS1545">
        <v>1101</v>
      </c>
      <c r="AT1545">
        <v>1008</v>
      </c>
    </row>
    <row r="1546" spans="36:46" x14ac:dyDescent="0.3">
      <c r="AJ1546">
        <v>51285</v>
      </c>
      <c r="AK1546" s="30">
        <v>43523</v>
      </c>
      <c r="AL1546" t="s">
        <v>970</v>
      </c>
      <c r="AM1546">
        <v>73</v>
      </c>
      <c r="AN1546" t="str">
        <f>VLOOKUP(Transaction[[#This Row],[Model No.]],$AV$2:$BD$100,2,TRUE)</f>
        <v>Schlafly Oktoberfest - 6 Pack</v>
      </c>
      <c r="AO1546" s="21">
        <f>VLOOKUP(Transaction[[#This Row],[Model No.]],$AV$2:$BD$100,6,TRUE)</f>
        <v>11.99</v>
      </c>
      <c r="AP1546" s="9">
        <v>5</v>
      </c>
      <c r="AQ1546" s="5">
        <f>Transaction[[#This Row],[Price]]*Transaction[[#This Row],[Qty]]</f>
        <v>59.95</v>
      </c>
      <c r="AR1546" s="5">
        <f>VLOOKUP(Transaction[[#This Row],[Model No.]],$AV$2:$BD$100,7,TRUE)*Transaction[[#This Row],[Qty]]</f>
        <v>17.984999999999999</v>
      </c>
      <c r="AS1546">
        <v>1098</v>
      </c>
      <c r="AT1546">
        <v>1021</v>
      </c>
    </row>
    <row r="1547" spans="36:46" x14ac:dyDescent="0.3">
      <c r="AJ1547">
        <v>76287</v>
      </c>
      <c r="AK1547" s="30">
        <v>43524</v>
      </c>
      <c r="AL1547" t="s">
        <v>1659</v>
      </c>
      <c r="AM1547">
        <v>62</v>
      </c>
      <c r="AN1547" t="str">
        <f>VLOOKUP(Transaction[[#This Row],[Model No.]],$AV$2:$BD$100,2,TRUE)</f>
        <v>Beerlao Dark Lager - 6 Pack</v>
      </c>
      <c r="AO1547" s="21">
        <f>VLOOKUP(Transaction[[#This Row],[Model No.]],$AV$2:$BD$100,6,TRUE)</f>
        <v>12.99</v>
      </c>
      <c r="AP1547" s="9">
        <v>3</v>
      </c>
      <c r="AQ1547" s="5">
        <f>Transaction[[#This Row],[Price]]*Transaction[[#This Row],[Qty]]</f>
        <v>38.97</v>
      </c>
      <c r="AR1547" s="5">
        <f>VLOOKUP(Transaction[[#This Row],[Model No.]],$AV$2:$BD$100,7,TRUE)*Transaction[[#This Row],[Qty]]</f>
        <v>11.690999999999999</v>
      </c>
      <c r="AS1547">
        <v>1103</v>
      </c>
      <c r="AT1547">
        <v>1004</v>
      </c>
    </row>
    <row r="1548" spans="36:46" x14ac:dyDescent="0.3">
      <c r="AJ1548">
        <v>38288</v>
      </c>
      <c r="AK1548" s="30">
        <v>43525</v>
      </c>
      <c r="AL1548" t="s">
        <v>1677</v>
      </c>
      <c r="AM1548">
        <v>85</v>
      </c>
      <c r="AN1548" t="str">
        <f>VLOOKUP(Transaction[[#This Row],[Model No.]],$AV$2:$BD$100,2,TRUE)</f>
        <v>Shiner Sea Salt &amp; Lime - 6 Pack</v>
      </c>
      <c r="AO1548" s="21">
        <f>VLOOKUP(Transaction[[#This Row],[Model No.]],$AV$2:$BD$100,6,TRUE)</f>
        <v>9.99</v>
      </c>
      <c r="AP1548" s="9">
        <v>5</v>
      </c>
      <c r="AQ1548" s="5">
        <f>Transaction[[#This Row],[Price]]*Transaction[[#This Row],[Qty]]</f>
        <v>49.95</v>
      </c>
      <c r="AR1548" s="5">
        <f>VLOOKUP(Transaction[[#This Row],[Model No.]],$AV$2:$BD$100,7,TRUE)*Transaction[[#This Row],[Qty]]</f>
        <v>14.984999999999999</v>
      </c>
      <c r="AS1548">
        <v>1098</v>
      </c>
      <c r="AT1548">
        <v>1010</v>
      </c>
    </row>
    <row r="1549" spans="36:46" x14ac:dyDescent="0.3">
      <c r="AJ1549">
        <v>54529</v>
      </c>
      <c r="AK1549" s="30">
        <v>43527</v>
      </c>
      <c r="AL1549" t="s">
        <v>1051</v>
      </c>
      <c r="AM1549">
        <v>66</v>
      </c>
      <c r="AN1549" t="str">
        <f>VLOOKUP(Transaction[[#This Row],[Model No.]],$AV$2:$BD$100,2,TRUE)</f>
        <v>Red Horse Beer - 6 Pack</v>
      </c>
      <c r="AO1549" s="21">
        <f>VLOOKUP(Transaction[[#This Row],[Model No.]],$AV$2:$BD$100,6,TRUE)</f>
        <v>12.99</v>
      </c>
      <c r="AP1549" s="9">
        <v>2</v>
      </c>
      <c r="AQ1549" s="5">
        <f>Transaction[[#This Row],[Price]]*Transaction[[#This Row],[Qty]]</f>
        <v>25.98</v>
      </c>
      <c r="AR1549" s="5">
        <f>VLOOKUP(Transaction[[#This Row],[Model No.]],$AV$2:$BD$100,7,TRUE)*Transaction[[#This Row],[Qty]]</f>
        <v>7.7939999999999996</v>
      </c>
      <c r="AS1549">
        <v>1107</v>
      </c>
      <c r="AT1549">
        <v>1014</v>
      </c>
    </row>
    <row r="1550" spans="36:46" x14ac:dyDescent="0.3">
      <c r="AJ1550">
        <v>76034</v>
      </c>
      <c r="AK1550" s="30">
        <v>43529</v>
      </c>
      <c r="AL1550" t="s">
        <v>1245</v>
      </c>
      <c r="AM1550">
        <v>37</v>
      </c>
      <c r="AN1550" t="str">
        <f>VLOOKUP(Transaction[[#This Row],[Model No.]],$AV$2:$BD$100,2,TRUE)</f>
        <v>Francis Ford Coppola Diamond Collection Black Label Pavilion Chardonnay</v>
      </c>
      <c r="AO1550" s="21">
        <f>VLOOKUP(Transaction[[#This Row],[Model No.]],$AV$2:$BD$100,6,TRUE)</f>
        <v>19.989999999999998</v>
      </c>
      <c r="AP1550" s="9">
        <v>3</v>
      </c>
      <c r="AQ1550" s="5">
        <f>Transaction[[#This Row],[Price]]*Transaction[[#This Row],[Qty]]</f>
        <v>59.97</v>
      </c>
      <c r="AR1550" s="5">
        <f>VLOOKUP(Transaction[[#This Row],[Model No.]],$AV$2:$BD$100,7,TRUE)*Transaction[[#This Row],[Qty]]</f>
        <v>5.9969999999999999</v>
      </c>
      <c r="AS1550">
        <v>1105</v>
      </c>
      <c r="AT1550">
        <v>1014</v>
      </c>
    </row>
    <row r="1551" spans="36:46" x14ac:dyDescent="0.3">
      <c r="AJ1551">
        <v>64041</v>
      </c>
      <c r="AK1551" s="30">
        <v>43535</v>
      </c>
      <c r="AL1551" t="s">
        <v>704</v>
      </c>
      <c r="AM1551">
        <v>23</v>
      </c>
      <c r="AN1551" t="str">
        <f>VLOOKUP(Transaction[[#This Row],[Model No.]],$AV$2:$BD$100,2,TRUE)</f>
        <v>Brinley Gold Shipwreck Mango Rum</v>
      </c>
      <c r="AO1551" s="21">
        <f>VLOOKUP(Transaction[[#This Row],[Model No.]],$AV$2:$BD$100,6,TRUE)</f>
        <v>25.99</v>
      </c>
      <c r="AP1551" s="9">
        <v>2</v>
      </c>
      <c r="AQ1551" s="5">
        <f>Transaction[[#This Row],[Price]]*Transaction[[#This Row],[Qty]]</f>
        <v>51.98</v>
      </c>
      <c r="AR1551" s="5">
        <f>VLOOKUP(Transaction[[#This Row],[Model No.]],$AV$2:$BD$100,7,TRUE)*Transaction[[#This Row],[Qty]]</f>
        <v>10.396000000000001</v>
      </c>
      <c r="AS1551">
        <v>1108</v>
      </c>
      <c r="AT1551">
        <v>1007</v>
      </c>
    </row>
    <row r="1552" spans="36:46" x14ac:dyDescent="0.3">
      <c r="AJ1552">
        <v>29589</v>
      </c>
      <c r="AK1552" s="30">
        <v>43535</v>
      </c>
      <c r="AL1552" t="s">
        <v>907</v>
      </c>
      <c r="AM1552">
        <v>94</v>
      </c>
      <c r="AN1552" t="str">
        <f>VLOOKUP(Transaction[[#This Row],[Model No.]],$AV$2:$BD$100,2,TRUE)</f>
        <v>Freixenet Blanc de Blancs Brut Cava Blend</v>
      </c>
      <c r="AO1552" s="21">
        <f>VLOOKUP(Transaction[[#This Row],[Model No.]],$AV$2:$BD$100,6,TRUE)</f>
        <v>7.49</v>
      </c>
      <c r="AP1552" s="9">
        <v>2</v>
      </c>
      <c r="AQ1552" s="5">
        <f>Transaction[[#This Row],[Price]]*Transaction[[#This Row],[Qty]]</f>
        <v>14.98</v>
      </c>
      <c r="AR1552" s="5">
        <f>VLOOKUP(Transaction[[#This Row],[Model No.]],$AV$2:$BD$100,7,TRUE)*Transaction[[#This Row],[Qty]]</f>
        <v>1.4980000000000002</v>
      </c>
      <c r="AS1552">
        <v>1102</v>
      </c>
      <c r="AT1552">
        <v>1011</v>
      </c>
    </row>
    <row r="1553" spans="36:46" x14ac:dyDescent="0.3">
      <c r="AJ1553">
        <v>17955</v>
      </c>
      <c r="AK1553" s="30">
        <v>43536</v>
      </c>
      <c r="AL1553" t="s">
        <v>498</v>
      </c>
      <c r="AM1553">
        <v>35</v>
      </c>
      <c r="AN1553" t="str">
        <f>VLOOKUP(Transaction[[#This Row],[Model No.]],$AV$2:$BD$100,2,TRUE)</f>
        <v>Troegenator Double Bock Can - 12 Pack</v>
      </c>
      <c r="AO1553" s="21">
        <f>VLOOKUP(Transaction[[#This Row],[Model No.]],$AV$2:$BD$100,6,TRUE)</f>
        <v>20.99</v>
      </c>
      <c r="AP1553" s="9">
        <v>4</v>
      </c>
      <c r="AQ1553" s="5">
        <f>Transaction[[#This Row],[Price]]*Transaction[[#This Row],[Qty]]</f>
        <v>83.96</v>
      </c>
      <c r="AR1553" s="5">
        <f>VLOOKUP(Transaction[[#This Row],[Model No.]],$AV$2:$BD$100,7,TRUE)*Transaction[[#This Row],[Qty]]</f>
        <v>25.187999999999999</v>
      </c>
      <c r="AS1553">
        <v>1104</v>
      </c>
      <c r="AT1553">
        <v>1019</v>
      </c>
    </row>
    <row r="1554" spans="36:46" x14ac:dyDescent="0.3">
      <c r="AJ1554">
        <v>93364</v>
      </c>
      <c r="AK1554" s="30">
        <v>43536</v>
      </c>
      <c r="AL1554" t="s">
        <v>551</v>
      </c>
      <c r="AM1554">
        <v>61</v>
      </c>
      <c r="AN1554" t="str">
        <f>VLOOKUP(Transaction[[#This Row],[Model No.]],$AV$2:$BD$100,2,TRUE)</f>
        <v>He'Brew Genesis Dry Hopped Session Ale - 6 Pack</v>
      </c>
      <c r="AO1554" s="21">
        <f>VLOOKUP(Transaction[[#This Row],[Model No.]],$AV$2:$BD$100,6,TRUE)</f>
        <v>12.99</v>
      </c>
      <c r="AP1554" s="9">
        <v>2</v>
      </c>
      <c r="AQ1554" s="5">
        <f>Transaction[[#This Row],[Price]]*Transaction[[#This Row],[Qty]]</f>
        <v>25.98</v>
      </c>
      <c r="AR1554" s="5">
        <f>VLOOKUP(Transaction[[#This Row],[Model No.]],$AV$2:$BD$100,7,TRUE)*Transaction[[#This Row],[Qty]]</f>
        <v>7.7939999999999996</v>
      </c>
      <c r="AS1554">
        <v>1103</v>
      </c>
      <c r="AT1554">
        <v>1003</v>
      </c>
    </row>
    <row r="1555" spans="36:46" x14ac:dyDescent="0.3">
      <c r="AJ1555">
        <v>44322</v>
      </c>
      <c r="AK1555" s="30">
        <v>43537</v>
      </c>
      <c r="AL1555" t="s">
        <v>1626</v>
      </c>
      <c r="AM1555">
        <v>17</v>
      </c>
      <c r="AN1555" t="str">
        <f>VLOOKUP(Transaction[[#This Row],[Model No.]],$AV$2:$BD$100,2,TRUE)</f>
        <v>Miller Lite Can - 24 Pack</v>
      </c>
      <c r="AO1555" s="21">
        <f>VLOOKUP(Transaction[[#This Row],[Model No.]],$AV$2:$BD$100,6,TRUE)</f>
        <v>30.99</v>
      </c>
      <c r="AP1555" s="9">
        <v>3</v>
      </c>
      <c r="AQ1555" s="5">
        <f>Transaction[[#This Row],[Price]]*Transaction[[#This Row],[Qty]]</f>
        <v>92.97</v>
      </c>
      <c r="AR1555" s="5">
        <f>VLOOKUP(Transaction[[#This Row],[Model No.]],$AV$2:$BD$100,7,TRUE)*Transaction[[#This Row],[Qty]]</f>
        <v>27.890999999999998</v>
      </c>
      <c r="AS1555">
        <v>1105</v>
      </c>
      <c r="AT1555">
        <v>1017</v>
      </c>
    </row>
    <row r="1556" spans="36:46" x14ac:dyDescent="0.3">
      <c r="AJ1556">
        <v>28134</v>
      </c>
      <c r="AK1556" s="30">
        <v>43538</v>
      </c>
      <c r="AL1556" t="s">
        <v>1315</v>
      </c>
      <c r="AM1556">
        <v>85</v>
      </c>
      <c r="AN1556" t="str">
        <f>VLOOKUP(Transaction[[#This Row],[Model No.]],$AV$2:$BD$100,2,TRUE)</f>
        <v>Shiner Sea Salt &amp; Lime - 6 Pack</v>
      </c>
      <c r="AO1556" s="21">
        <f>VLOOKUP(Transaction[[#This Row],[Model No.]],$AV$2:$BD$100,6,TRUE)</f>
        <v>9.99</v>
      </c>
      <c r="AP1556" s="9">
        <v>3</v>
      </c>
      <c r="AQ1556" s="5">
        <f>Transaction[[#This Row],[Price]]*Transaction[[#This Row],[Qty]]</f>
        <v>29.97</v>
      </c>
      <c r="AR1556" s="5">
        <f>VLOOKUP(Transaction[[#This Row],[Model No.]],$AV$2:$BD$100,7,TRUE)*Transaction[[#This Row],[Qty]]</f>
        <v>8.9909999999999997</v>
      </c>
      <c r="AS1556">
        <v>1108</v>
      </c>
      <c r="AT1556">
        <v>1014</v>
      </c>
    </row>
    <row r="1557" spans="36:46" x14ac:dyDescent="0.3">
      <c r="AJ1557">
        <v>22235</v>
      </c>
      <c r="AK1557" s="30">
        <v>43539</v>
      </c>
      <c r="AL1557" t="s">
        <v>1586</v>
      </c>
      <c r="AM1557">
        <v>41</v>
      </c>
      <c r="AN1557" t="str">
        <f>VLOOKUP(Transaction[[#This Row],[Model No.]],$AV$2:$BD$100,2,TRUE)</f>
        <v>Brunellesco Delle Venezie IGT Pinot Grigio</v>
      </c>
      <c r="AO1557" s="21">
        <f>VLOOKUP(Transaction[[#This Row],[Model No.]],$AV$2:$BD$100,6,TRUE)</f>
        <v>17.39</v>
      </c>
      <c r="AP1557" s="9">
        <v>2</v>
      </c>
      <c r="AQ1557" s="5">
        <f>Transaction[[#This Row],[Price]]*Transaction[[#This Row],[Qty]]</f>
        <v>34.78</v>
      </c>
      <c r="AR1557" s="5">
        <f>VLOOKUP(Transaction[[#This Row],[Model No.]],$AV$2:$BD$100,7,TRUE)*Transaction[[#This Row],[Qty]]</f>
        <v>3.4780000000000002</v>
      </c>
      <c r="AS1557">
        <v>1102</v>
      </c>
      <c r="AT1557">
        <v>1008</v>
      </c>
    </row>
    <row r="1558" spans="36:46" x14ac:dyDescent="0.3">
      <c r="AJ1558">
        <v>35863</v>
      </c>
      <c r="AK1558" s="30">
        <v>43540</v>
      </c>
      <c r="AL1558" t="s">
        <v>687</v>
      </c>
      <c r="AM1558">
        <v>29</v>
      </c>
      <c r="AN1558" t="str">
        <f>VLOOKUP(Transaction[[#This Row],[Model No.]],$AV$2:$BD$100,2,TRUE)</f>
        <v>SCHLAFLY STOUT BOUT SAMPLER   2/12 - 12 Pack</v>
      </c>
      <c r="AO1558" s="21">
        <f>VLOOKUP(Transaction[[#This Row],[Model No.]],$AV$2:$BD$100,6,TRUE)</f>
        <v>22.99</v>
      </c>
      <c r="AP1558" s="9">
        <v>3</v>
      </c>
      <c r="AQ1558" s="5">
        <f>Transaction[[#This Row],[Price]]*Transaction[[#This Row],[Qty]]</f>
        <v>68.97</v>
      </c>
      <c r="AR1558" s="5">
        <f>VLOOKUP(Transaction[[#This Row],[Model No.]],$AV$2:$BD$100,7,TRUE)*Transaction[[#This Row],[Qty]]</f>
        <v>20.690999999999999</v>
      </c>
      <c r="AS1558">
        <v>1106</v>
      </c>
      <c r="AT1558">
        <v>1015</v>
      </c>
    </row>
    <row r="1559" spans="36:46" x14ac:dyDescent="0.3">
      <c r="AJ1559">
        <v>53252</v>
      </c>
      <c r="AK1559" s="30">
        <v>43542</v>
      </c>
      <c r="AL1559" t="s">
        <v>1501</v>
      </c>
      <c r="AM1559">
        <v>13</v>
      </c>
      <c r="AN1559" t="str">
        <f>VLOOKUP(Transaction[[#This Row],[Model No.]],$AV$2:$BD$100,2,TRUE)</f>
        <v>Luxardo Maraschino Liqueur</v>
      </c>
      <c r="AO1559" s="21">
        <f>VLOOKUP(Transaction[[#This Row],[Model No.]],$AV$2:$BD$100,6,TRUE)</f>
        <v>36.99</v>
      </c>
      <c r="AP1559" s="9">
        <v>1</v>
      </c>
      <c r="AQ1559" s="5">
        <f>Transaction[[#This Row],[Price]]*Transaction[[#This Row],[Qty]]</f>
        <v>36.99</v>
      </c>
      <c r="AR1559" s="5">
        <f>VLOOKUP(Transaction[[#This Row],[Model No.]],$AV$2:$BD$100,7,TRUE)*Transaction[[#This Row],[Qty]]</f>
        <v>11.097</v>
      </c>
      <c r="AS1559">
        <v>1106</v>
      </c>
      <c r="AT1559">
        <v>1006</v>
      </c>
    </row>
    <row r="1560" spans="36:46" x14ac:dyDescent="0.3">
      <c r="AJ1560">
        <v>70928</v>
      </c>
      <c r="AK1560" s="30">
        <v>43544</v>
      </c>
      <c r="AL1560" t="s">
        <v>335</v>
      </c>
      <c r="AM1560">
        <v>10</v>
      </c>
      <c r="AN1560" t="str">
        <f>VLOOKUP(Transaction[[#This Row],[Model No.]],$AV$2:$BD$100,2,TRUE)</f>
        <v>Hum Botanical Spirit Liqueur</v>
      </c>
      <c r="AO1560" s="21">
        <f>VLOOKUP(Transaction[[#This Row],[Model No.]],$AV$2:$BD$100,6,TRUE)</f>
        <v>41.99</v>
      </c>
      <c r="AP1560" s="9">
        <v>1</v>
      </c>
      <c r="AQ1560" s="5">
        <f>Transaction[[#This Row],[Price]]*Transaction[[#This Row],[Qty]]</f>
        <v>41.99</v>
      </c>
      <c r="AR1560" s="5">
        <f>VLOOKUP(Transaction[[#This Row],[Model No.]],$AV$2:$BD$100,7,TRUE)*Transaction[[#This Row],[Qty]]</f>
        <v>12.597</v>
      </c>
      <c r="AS1560">
        <v>1108</v>
      </c>
      <c r="AT1560">
        <v>1020</v>
      </c>
    </row>
    <row r="1561" spans="36:46" x14ac:dyDescent="0.3">
      <c r="AJ1561">
        <v>57596</v>
      </c>
      <c r="AK1561" s="30">
        <v>43544</v>
      </c>
      <c r="AL1561" t="s">
        <v>1081</v>
      </c>
      <c r="AM1561">
        <v>90</v>
      </c>
      <c r="AN1561" t="str">
        <f>VLOOKUP(Transaction[[#This Row],[Model No.]],$AV$2:$BD$100,2,TRUE)</f>
        <v>Carlo Rossi Moscato Sangria Muscat Blanc a Petits Grains</v>
      </c>
      <c r="AO1561" s="21">
        <f>VLOOKUP(Transaction[[#This Row],[Model No.]],$AV$2:$BD$100,6,TRUE)</f>
        <v>7.99</v>
      </c>
      <c r="AP1561" s="9">
        <v>3</v>
      </c>
      <c r="AQ1561" s="5">
        <f>Transaction[[#This Row],[Price]]*Transaction[[#This Row],[Qty]]</f>
        <v>23.97</v>
      </c>
      <c r="AR1561" s="5">
        <f>VLOOKUP(Transaction[[#This Row],[Model No.]],$AV$2:$BD$100,7,TRUE)*Transaction[[#This Row],[Qty]]</f>
        <v>4.7940000000000005</v>
      </c>
      <c r="AS1561">
        <v>1103</v>
      </c>
      <c r="AT1561">
        <v>1010</v>
      </c>
    </row>
    <row r="1562" spans="36:46" x14ac:dyDescent="0.3">
      <c r="AJ1562">
        <v>72427</v>
      </c>
      <c r="AK1562" s="30">
        <v>43545</v>
      </c>
      <c r="AL1562" t="s">
        <v>1386</v>
      </c>
      <c r="AM1562">
        <v>65</v>
      </c>
      <c r="AN1562" t="str">
        <f>VLOOKUP(Transaction[[#This Row],[Model No.]],$AV$2:$BD$100,2,TRUE)</f>
        <v>Shipyard Summer Ale - 6 Pack</v>
      </c>
      <c r="AO1562" s="21">
        <f>VLOOKUP(Transaction[[#This Row],[Model No.]],$AV$2:$BD$100,6,TRUE)</f>
        <v>12.99</v>
      </c>
      <c r="AP1562" s="9">
        <v>3</v>
      </c>
      <c r="AQ1562" s="5">
        <f>Transaction[[#This Row],[Price]]*Transaction[[#This Row],[Qty]]</f>
        <v>38.97</v>
      </c>
      <c r="AR1562" s="5">
        <f>VLOOKUP(Transaction[[#This Row],[Model No.]],$AV$2:$BD$100,7,TRUE)*Transaction[[#This Row],[Qty]]</f>
        <v>11.690999999999999</v>
      </c>
      <c r="AS1562">
        <v>1106</v>
      </c>
      <c r="AT1562">
        <v>1014</v>
      </c>
    </row>
    <row r="1563" spans="36:46" x14ac:dyDescent="0.3">
      <c r="AJ1563">
        <v>65879</v>
      </c>
      <c r="AK1563" s="30">
        <v>43546</v>
      </c>
      <c r="AL1563" t="s">
        <v>1652</v>
      </c>
      <c r="AM1563">
        <v>22</v>
      </c>
      <c r="AN1563" t="str">
        <f>VLOOKUP(Transaction[[#This Row],[Model No.]],$AV$2:$BD$100,2,TRUE)</f>
        <v>Efe Raki Black Triple Distilled Liqueur</v>
      </c>
      <c r="AO1563" s="21">
        <f>VLOOKUP(Transaction[[#This Row],[Model No.]],$AV$2:$BD$100,6,TRUE)</f>
        <v>25.99</v>
      </c>
      <c r="AP1563" s="9">
        <v>2</v>
      </c>
      <c r="AQ1563" s="5">
        <f>Transaction[[#This Row],[Price]]*Transaction[[#This Row],[Qty]]</f>
        <v>51.98</v>
      </c>
      <c r="AR1563" s="5">
        <f>VLOOKUP(Transaction[[#This Row],[Model No.]],$AV$2:$BD$100,7,TRUE)*Transaction[[#This Row],[Qty]]</f>
        <v>15.593999999999998</v>
      </c>
      <c r="AS1563">
        <v>1107</v>
      </c>
      <c r="AT1563">
        <v>1009</v>
      </c>
    </row>
    <row r="1564" spans="36:46" x14ac:dyDescent="0.3">
      <c r="AJ1564">
        <v>44349</v>
      </c>
      <c r="AK1564" s="30">
        <v>43546</v>
      </c>
      <c r="AL1564" t="s">
        <v>1436</v>
      </c>
      <c r="AM1564">
        <v>67</v>
      </c>
      <c r="AN1564" t="str">
        <f>VLOOKUP(Transaction[[#This Row],[Model No.]],$AV$2:$BD$100,2,TRUE)</f>
        <v>Oh Be Joyful Sweet Deutscher Qualitatswein Dornfelder</v>
      </c>
      <c r="AO1564" s="21">
        <f>VLOOKUP(Transaction[[#This Row],[Model No.]],$AV$2:$BD$100,6,TRUE)</f>
        <v>12.99</v>
      </c>
      <c r="AP1564" s="9">
        <v>4</v>
      </c>
      <c r="AQ1564" s="5">
        <f>Transaction[[#This Row],[Price]]*Transaction[[#This Row],[Qty]]</f>
        <v>51.96</v>
      </c>
      <c r="AR1564" s="5">
        <f>VLOOKUP(Transaction[[#This Row],[Model No.]],$AV$2:$BD$100,7,TRUE)*Transaction[[#This Row],[Qty]]</f>
        <v>20.784000000000002</v>
      </c>
      <c r="AS1564">
        <v>1100</v>
      </c>
      <c r="AT1564">
        <v>1009</v>
      </c>
    </row>
    <row r="1565" spans="36:46" x14ac:dyDescent="0.3">
      <c r="AJ1565">
        <v>98630</v>
      </c>
      <c r="AK1565" s="30">
        <v>43548</v>
      </c>
      <c r="AL1565" t="s">
        <v>1254</v>
      </c>
      <c r="AM1565">
        <v>11</v>
      </c>
      <c r="AN1565" t="str">
        <f>VLOOKUP(Transaction[[#This Row],[Model No.]],$AV$2:$BD$100,2,TRUE)</f>
        <v>Kurant 1852 Crystal Limited Edition Vodka</v>
      </c>
      <c r="AO1565" s="21">
        <f>VLOOKUP(Transaction[[#This Row],[Model No.]],$AV$2:$BD$100,6,TRUE)</f>
        <v>40.99</v>
      </c>
      <c r="AP1565" s="9">
        <v>5</v>
      </c>
      <c r="AQ1565" s="5">
        <f>Transaction[[#This Row],[Price]]*Transaction[[#This Row],[Qty]]</f>
        <v>204.95000000000002</v>
      </c>
      <c r="AR1565" s="5">
        <f>VLOOKUP(Transaction[[#This Row],[Model No.]],$AV$2:$BD$100,7,TRUE)*Transaction[[#This Row],[Qty]]</f>
        <v>61.484999999999999</v>
      </c>
      <c r="AS1565">
        <v>1098</v>
      </c>
      <c r="AT1565">
        <v>1005</v>
      </c>
    </row>
    <row r="1566" spans="36:46" x14ac:dyDescent="0.3">
      <c r="AJ1566">
        <v>79297</v>
      </c>
      <c r="AK1566" s="30">
        <v>43548</v>
      </c>
      <c r="AL1566" t="s">
        <v>1235</v>
      </c>
      <c r="AM1566">
        <v>26</v>
      </c>
      <c r="AN1566" t="str">
        <f>VLOOKUP(Transaction[[#This Row],[Model No.]],$AV$2:$BD$100,2,TRUE)</f>
        <v>Belhaven Scottish Stout - 4 Pack</v>
      </c>
      <c r="AO1566" s="21">
        <f>VLOOKUP(Transaction[[#This Row],[Model No.]],$AV$2:$BD$100,6,TRUE)</f>
        <v>23.99</v>
      </c>
      <c r="AP1566" s="9">
        <v>5</v>
      </c>
      <c r="AQ1566" s="5">
        <f>Transaction[[#This Row],[Price]]*Transaction[[#This Row],[Qty]]</f>
        <v>119.94999999999999</v>
      </c>
      <c r="AR1566" s="5">
        <f>VLOOKUP(Transaction[[#This Row],[Model No.]],$AV$2:$BD$100,7,TRUE)*Transaction[[#This Row],[Qty]]</f>
        <v>35.984999999999999</v>
      </c>
      <c r="AS1566">
        <v>1103</v>
      </c>
      <c r="AT1566">
        <v>1021</v>
      </c>
    </row>
    <row r="1567" spans="36:46" x14ac:dyDescent="0.3">
      <c r="AJ1567">
        <v>93134</v>
      </c>
      <c r="AK1567" s="30">
        <v>43548</v>
      </c>
      <c r="AL1567" t="s">
        <v>760</v>
      </c>
      <c r="AM1567">
        <v>40</v>
      </c>
      <c r="AN1567" t="str">
        <f>VLOOKUP(Transaction[[#This Row],[Model No.]],$AV$2:$BD$100,2,TRUE)</f>
        <v>Takara Can Chu Hi JPop Grapefruit - 6 Pack</v>
      </c>
      <c r="AO1567" s="21">
        <f>VLOOKUP(Transaction[[#This Row],[Model No.]],$AV$2:$BD$100,6,TRUE)</f>
        <v>17.989999999999998</v>
      </c>
      <c r="AP1567" s="9">
        <v>1</v>
      </c>
      <c r="AQ1567" s="5">
        <f>Transaction[[#This Row],[Price]]*Transaction[[#This Row],[Qty]]</f>
        <v>17.989999999999998</v>
      </c>
      <c r="AR1567" s="5">
        <f>VLOOKUP(Transaction[[#This Row],[Model No.]],$AV$2:$BD$100,7,TRUE)*Transaction[[#This Row],[Qty]]</f>
        <v>5.3969999999999994</v>
      </c>
      <c r="AS1567">
        <v>1105</v>
      </c>
      <c r="AT1567">
        <v>1000</v>
      </c>
    </row>
    <row r="1568" spans="36:46" x14ac:dyDescent="0.3">
      <c r="AJ1568">
        <v>57442</v>
      </c>
      <c r="AK1568" s="30">
        <v>43549</v>
      </c>
      <c r="AL1568" t="s">
        <v>1878</v>
      </c>
      <c r="AM1568">
        <v>9</v>
      </c>
      <c r="AN1568" t="str">
        <f>VLOOKUP(Transaction[[#This Row],[Model No.]],$AV$2:$BD$100,2,TRUE)</f>
        <v>Ass Kisser Double IPA - 12 Pack</v>
      </c>
      <c r="AO1568" s="21">
        <f>VLOOKUP(Transaction[[#This Row],[Model No.]],$AV$2:$BD$100,6,TRUE)</f>
        <v>43.99</v>
      </c>
      <c r="AP1568" s="9">
        <v>1</v>
      </c>
      <c r="AQ1568" s="5">
        <f>Transaction[[#This Row],[Price]]*Transaction[[#This Row],[Qty]]</f>
        <v>43.99</v>
      </c>
      <c r="AR1568" s="5">
        <f>VLOOKUP(Transaction[[#This Row],[Model No.]],$AV$2:$BD$100,7,TRUE)*Transaction[[#This Row],[Qty]]</f>
        <v>13.197000000000001</v>
      </c>
      <c r="AS1568">
        <v>1108</v>
      </c>
      <c r="AT1568">
        <v>1005</v>
      </c>
    </row>
    <row r="1569" spans="36:46" x14ac:dyDescent="0.3">
      <c r="AJ1569">
        <v>73039</v>
      </c>
      <c r="AK1569" s="30">
        <v>43551</v>
      </c>
      <c r="AL1569" t="s">
        <v>548</v>
      </c>
      <c r="AM1569">
        <v>94</v>
      </c>
      <c r="AN1569" t="str">
        <f>VLOOKUP(Transaction[[#This Row],[Model No.]],$AV$2:$BD$100,2,TRUE)</f>
        <v>Freixenet Blanc de Blancs Brut Cava Blend</v>
      </c>
      <c r="AO1569" s="21">
        <f>VLOOKUP(Transaction[[#This Row],[Model No.]],$AV$2:$BD$100,6,TRUE)</f>
        <v>7.49</v>
      </c>
      <c r="AP1569" s="9">
        <v>5</v>
      </c>
      <c r="AQ1569" s="5">
        <f>Transaction[[#This Row],[Price]]*Transaction[[#This Row],[Qty]]</f>
        <v>37.450000000000003</v>
      </c>
      <c r="AR1569" s="5">
        <f>VLOOKUP(Transaction[[#This Row],[Model No.]],$AV$2:$BD$100,7,TRUE)*Transaction[[#This Row],[Qty]]</f>
        <v>3.7450000000000006</v>
      </c>
      <c r="AS1569">
        <v>1106</v>
      </c>
      <c r="AT1569">
        <v>1017</v>
      </c>
    </row>
    <row r="1570" spans="36:46" x14ac:dyDescent="0.3">
      <c r="AJ1570">
        <v>24344</v>
      </c>
      <c r="AK1570" s="30">
        <v>43552</v>
      </c>
      <c r="AL1570" t="s">
        <v>1872</v>
      </c>
      <c r="AM1570">
        <v>81</v>
      </c>
      <c r="AN1570" t="str">
        <f>VLOOKUP(Transaction[[#This Row],[Model No.]],$AV$2:$BD$100,2,TRUE)</f>
        <v>TerraNoble Reserva La Higuera Vineyard Carmenere</v>
      </c>
      <c r="AO1570" s="21">
        <f>VLOOKUP(Transaction[[#This Row],[Model No.]],$AV$2:$BD$100,6,TRUE)</f>
        <v>10.99</v>
      </c>
      <c r="AP1570" s="9">
        <v>3</v>
      </c>
      <c r="AQ1570" s="5">
        <f>Transaction[[#This Row],[Price]]*Transaction[[#This Row],[Qty]]</f>
        <v>32.97</v>
      </c>
      <c r="AR1570" s="5">
        <f>VLOOKUP(Transaction[[#This Row],[Model No.]],$AV$2:$BD$100,7,TRUE)*Transaction[[#This Row],[Qty]]</f>
        <v>9.891</v>
      </c>
      <c r="AS1570">
        <v>1101</v>
      </c>
      <c r="AT1570">
        <v>1018</v>
      </c>
    </row>
    <row r="1571" spans="36:46" x14ac:dyDescent="0.3">
      <c r="AJ1571">
        <v>44033</v>
      </c>
      <c r="AK1571" s="30">
        <v>43554</v>
      </c>
      <c r="AL1571" t="s">
        <v>419</v>
      </c>
      <c r="AM1571">
        <v>94</v>
      </c>
      <c r="AN1571" t="str">
        <f>VLOOKUP(Transaction[[#This Row],[Model No.]],$AV$2:$BD$100,2,TRUE)</f>
        <v>Freixenet Blanc de Blancs Brut Cava Blend</v>
      </c>
      <c r="AO1571" s="21">
        <f>VLOOKUP(Transaction[[#This Row],[Model No.]],$AV$2:$BD$100,6,TRUE)</f>
        <v>7.49</v>
      </c>
      <c r="AP1571" s="9">
        <v>1</v>
      </c>
      <c r="AQ1571" s="5">
        <f>Transaction[[#This Row],[Price]]*Transaction[[#This Row],[Qty]]</f>
        <v>7.49</v>
      </c>
      <c r="AR1571" s="5">
        <f>VLOOKUP(Transaction[[#This Row],[Model No.]],$AV$2:$BD$100,7,TRUE)*Transaction[[#This Row],[Qty]]</f>
        <v>0.74900000000000011</v>
      </c>
      <c r="AS1571">
        <v>1099</v>
      </c>
      <c r="AT1571">
        <v>1018</v>
      </c>
    </row>
    <row r="1572" spans="36:46" x14ac:dyDescent="0.3">
      <c r="AJ1572">
        <v>51276</v>
      </c>
      <c r="AK1572" s="30">
        <v>43554</v>
      </c>
      <c r="AL1572" t="s">
        <v>1162</v>
      </c>
      <c r="AM1572">
        <v>98</v>
      </c>
      <c r="AN1572" t="str">
        <f>VLOOKUP(Transaction[[#This Row],[Model No.]],$AV$2:$BD$100,2,TRUE)</f>
        <v>Wychwood Hobgoblin</v>
      </c>
      <c r="AO1572" s="21">
        <f>VLOOKUP(Transaction[[#This Row],[Model No.]],$AV$2:$BD$100,6,TRUE)</f>
        <v>5.99</v>
      </c>
      <c r="AP1572" s="9">
        <v>4</v>
      </c>
      <c r="AQ1572" s="5">
        <f>Transaction[[#This Row],[Price]]*Transaction[[#This Row],[Qty]]</f>
        <v>23.96</v>
      </c>
      <c r="AR1572" s="5">
        <f>VLOOKUP(Transaction[[#This Row],[Model No.]],$AV$2:$BD$100,7,TRUE)*Transaction[[#This Row],[Qty]]</f>
        <v>7.1879999999999997</v>
      </c>
      <c r="AS1572">
        <v>1099</v>
      </c>
      <c r="AT1572">
        <v>1001</v>
      </c>
    </row>
    <row r="1573" spans="36:46" x14ac:dyDescent="0.3">
      <c r="AJ1573">
        <v>63949</v>
      </c>
      <c r="AK1573" s="30">
        <v>43557</v>
      </c>
      <c r="AL1573" t="s">
        <v>368</v>
      </c>
      <c r="AM1573">
        <v>6</v>
      </c>
      <c r="AN1573" t="str">
        <f>VLOOKUP(Transaction[[#This Row],[Model No.]],$AV$2:$BD$100,2,TRUE)</f>
        <v>Agricola Punica Barrua Isola Dei Nuraghi IGT Carignan</v>
      </c>
      <c r="AO1573" s="21">
        <f>VLOOKUP(Transaction[[#This Row],[Model No.]],$AV$2:$BD$100,6,TRUE)</f>
        <v>46.99</v>
      </c>
      <c r="AP1573" s="9">
        <v>4</v>
      </c>
      <c r="AQ1573" s="5">
        <f>Transaction[[#This Row],[Price]]*Transaction[[#This Row],[Qty]]</f>
        <v>187.96</v>
      </c>
      <c r="AR1573" s="5">
        <f>VLOOKUP(Transaction[[#This Row],[Model No.]],$AV$2:$BD$100,7,TRUE)*Transaction[[#This Row],[Qty]]</f>
        <v>18.796000000000003</v>
      </c>
      <c r="AS1573">
        <v>1105</v>
      </c>
      <c r="AT1573">
        <v>1010</v>
      </c>
    </row>
    <row r="1574" spans="36:46" x14ac:dyDescent="0.3">
      <c r="AJ1574">
        <v>78108</v>
      </c>
      <c r="AK1574" s="30">
        <v>43557</v>
      </c>
      <c r="AL1574" t="s">
        <v>1850</v>
      </c>
      <c r="AM1574">
        <v>60</v>
      </c>
      <c r="AN1574" t="str">
        <f>VLOOKUP(Transaction[[#This Row],[Model No.]],$AV$2:$BD$100,2,TRUE)</f>
        <v>La Catrina Cabernet Sauvignon</v>
      </c>
      <c r="AO1574" s="21">
        <f>VLOOKUP(Transaction[[#This Row],[Model No.]],$AV$2:$BD$100,6,TRUE)</f>
        <v>12.99</v>
      </c>
      <c r="AP1574" s="9">
        <v>1</v>
      </c>
      <c r="AQ1574" s="5">
        <f>Transaction[[#This Row],[Price]]*Transaction[[#This Row],[Qty]]</f>
        <v>12.99</v>
      </c>
      <c r="AR1574" s="5">
        <f>VLOOKUP(Transaction[[#This Row],[Model No.]],$AV$2:$BD$100,7,TRUE)*Transaction[[#This Row],[Qty]]</f>
        <v>1.2990000000000002</v>
      </c>
      <c r="AS1574">
        <v>1106</v>
      </c>
      <c r="AT1574">
        <v>1019</v>
      </c>
    </row>
    <row r="1575" spans="36:46" x14ac:dyDescent="0.3">
      <c r="AJ1575">
        <v>47070</v>
      </c>
      <c r="AK1575" s="30">
        <v>43558</v>
      </c>
      <c r="AL1575" t="s">
        <v>1450</v>
      </c>
      <c r="AM1575">
        <v>20</v>
      </c>
      <c r="AN1575" t="str">
        <f>VLOOKUP(Transaction[[#This Row],[Model No.]],$AV$2:$BD$100,2,TRUE)</f>
        <v>Stonewall American Rum</v>
      </c>
      <c r="AO1575" s="21">
        <f>VLOOKUP(Transaction[[#This Row],[Model No.]],$AV$2:$BD$100,6,TRUE)</f>
        <v>27.99</v>
      </c>
      <c r="AP1575" s="9">
        <v>4</v>
      </c>
      <c r="AQ1575" s="5">
        <f>Transaction[[#This Row],[Price]]*Transaction[[#This Row],[Qty]]</f>
        <v>111.96</v>
      </c>
      <c r="AR1575" s="5">
        <f>VLOOKUP(Transaction[[#This Row],[Model No.]],$AV$2:$BD$100,7,TRUE)*Transaction[[#This Row],[Qty]]</f>
        <v>22.391999999999999</v>
      </c>
      <c r="AS1575">
        <v>1098</v>
      </c>
      <c r="AT1575">
        <v>1018</v>
      </c>
    </row>
    <row r="1576" spans="36:46" x14ac:dyDescent="0.3">
      <c r="AJ1576">
        <v>27329</v>
      </c>
      <c r="AK1576" s="30">
        <v>43559</v>
      </c>
      <c r="AL1576" t="s">
        <v>1227</v>
      </c>
      <c r="AM1576">
        <v>35</v>
      </c>
      <c r="AN1576" t="str">
        <f>VLOOKUP(Transaction[[#This Row],[Model No.]],$AV$2:$BD$100,2,TRUE)</f>
        <v>Troegenator Double Bock Can - 12 Pack</v>
      </c>
      <c r="AO1576" s="21">
        <f>VLOOKUP(Transaction[[#This Row],[Model No.]],$AV$2:$BD$100,6,TRUE)</f>
        <v>20.99</v>
      </c>
      <c r="AP1576" s="9">
        <v>3</v>
      </c>
      <c r="AQ1576" s="5">
        <f>Transaction[[#This Row],[Price]]*Transaction[[#This Row],[Qty]]</f>
        <v>62.97</v>
      </c>
      <c r="AR1576" s="5">
        <f>VLOOKUP(Transaction[[#This Row],[Model No.]],$AV$2:$BD$100,7,TRUE)*Transaction[[#This Row],[Qty]]</f>
        <v>18.890999999999998</v>
      </c>
      <c r="AS1576">
        <v>1108</v>
      </c>
      <c r="AT1576">
        <v>1011</v>
      </c>
    </row>
    <row r="1577" spans="36:46" x14ac:dyDescent="0.3">
      <c r="AJ1577">
        <v>30203</v>
      </c>
      <c r="AK1577" s="30">
        <v>43559</v>
      </c>
      <c r="AL1577" t="s">
        <v>953</v>
      </c>
      <c r="AM1577">
        <v>67</v>
      </c>
      <c r="AN1577" t="str">
        <f>VLOOKUP(Transaction[[#This Row],[Model No.]],$AV$2:$BD$100,2,TRUE)</f>
        <v>Oh Be Joyful Sweet Deutscher Qualitatswein Dornfelder</v>
      </c>
      <c r="AO1577" s="21">
        <f>VLOOKUP(Transaction[[#This Row],[Model No.]],$AV$2:$BD$100,6,TRUE)</f>
        <v>12.99</v>
      </c>
      <c r="AP1577" s="9">
        <v>2</v>
      </c>
      <c r="AQ1577" s="5">
        <f>Transaction[[#This Row],[Price]]*Transaction[[#This Row],[Qty]]</f>
        <v>25.98</v>
      </c>
      <c r="AR1577" s="5">
        <f>VLOOKUP(Transaction[[#This Row],[Model No.]],$AV$2:$BD$100,7,TRUE)*Transaction[[#This Row],[Qty]]</f>
        <v>10.392000000000001</v>
      </c>
      <c r="AS1577">
        <v>1106</v>
      </c>
      <c r="AT1577">
        <v>1007</v>
      </c>
    </row>
    <row r="1578" spans="36:46" x14ac:dyDescent="0.3">
      <c r="AJ1578">
        <v>34812</v>
      </c>
      <c r="AK1578" s="30">
        <v>43559</v>
      </c>
      <c r="AL1578" t="s">
        <v>1499</v>
      </c>
      <c r="AM1578">
        <v>90</v>
      </c>
      <c r="AN1578" t="str">
        <f>VLOOKUP(Transaction[[#This Row],[Model No.]],$AV$2:$BD$100,2,TRUE)</f>
        <v>Carlo Rossi Moscato Sangria Muscat Blanc a Petits Grains</v>
      </c>
      <c r="AO1578" s="21">
        <f>VLOOKUP(Transaction[[#This Row],[Model No.]],$AV$2:$BD$100,6,TRUE)</f>
        <v>7.99</v>
      </c>
      <c r="AP1578" s="9">
        <v>2</v>
      </c>
      <c r="AQ1578" s="5">
        <f>Transaction[[#This Row],[Price]]*Transaction[[#This Row],[Qty]]</f>
        <v>15.98</v>
      </c>
      <c r="AR1578" s="5">
        <f>VLOOKUP(Transaction[[#This Row],[Model No.]],$AV$2:$BD$100,7,TRUE)*Transaction[[#This Row],[Qty]]</f>
        <v>3.1960000000000002</v>
      </c>
      <c r="AS1578">
        <v>1108</v>
      </c>
      <c r="AT1578">
        <v>1010</v>
      </c>
    </row>
    <row r="1579" spans="36:46" x14ac:dyDescent="0.3">
      <c r="AJ1579">
        <v>58591</v>
      </c>
      <c r="AK1579" s="30">
        <v>43561</v>
      </c>
      <c r="AL1579" t="s">
        <v>1479</v>
      </c>
      <c r="AM1579">
        <v>85</v>
      </c>
      <c r="AN1579" t="str">
        <f>VLOOKUP(Transaction[[#This Row],[Model No.]],$AV$2:$BD$100,2,TRUE)</f>
        <v>Shiner Sea Salt &amp; Lime - 6 Pack</v>
      </c>
      <c r="AO1579" s="21">
        <f>VLOOKUP(Transaction[[#This Row],[Model No.]],$AV$2:$BD$100,6,TRUE)</f>
        <v>9.99</v>
      </c>
      <c r="AP1579" s="9">
        <v>1</v>
      </c>
      <c r="AQ1579" s="5">
        <f>Transaction[[#This Row],[Price]]*Transaction[[#This Row],[Qty]]</f>
        <v>9.99</v>
      </c>
      <c r="AR1579" s="5">
        <f>VLOOKUP(Transaction[[#This Row],[Model No.]],$AV$2:$BD$100,7,TRUE)*Transaction[[#This Row],[Qty]]</f>
        <v>2.9969999999999999</v>
      </c>
      <c r="AS1579">
        <v>1101</v>
      </c>
      <c r="AT1579">
        <v>1021</v>
      </c>
    </row>
    <row r="1580" spans="36:46" x14ac:dyDescent="0.3">
      <c r="AJ1580">
        <v>85876</v>
      </c>
      <c r="AK1580" s="30">
        <v>43561</v>
      </c>
      <c r="AL1580" t="s">
        <v>329</v>
      </c>
      <c r="AM1580">
        <v>86</v>
      </c>
      <c r="AN1580" t="str">
        <f>VLOOKUP(Transaction[[#This Row],[Model No.]],$AV$2:$BD$100,2,TRUE)</f>
        <v>Bully Hill Vineyards Love My Goat Baco Noir</v>
      </c>
      <c r="AO1580" s="21">
        <f>VLOOKUP(Transaction[[#This Row],[Model No.]],$AV$2:$BD$100,6,TRUE)</f>
        <v>9.49</v>
      </c>
      <c r="AP1580" s="9">
        <v>4</v>
      </c>
      <c r="AQ1580" s="5">
        <f>Transaction[[#This Row],[Price]]*Transaction[[#This Row],[Qty]]</f>
        <v>37.96</v>
      </c>
      <c r="AR1580" s="5">
        <f>VLOOKUP(Transaction[[#This Row],[Model No.]],$AV$2:$BD$100,7,TRUE)*Transaction[[#This Row],[Qty]]</f>
        <v>3.7960000000000003</v>
      </c>
      <c r="AS1580">
        <v>1103</v>
      </c>
      <c r="AT1580">
        <v>1001</v>
      </c>
    </row>
    <row r="1581" spans="36:46" x14ac:dyDescent="0.3">
      <c r="AJ1581">
        <v>61941</v>
      </c>
      <c r="AK1581" s="30">
        <v>43565</v>
      </c>
      <c r="AL1581" t="s">
        <v>1572</v>
      </c>
      <c r="AM1581">
        <v>43</v>
      </c>
      <c r="AN1581" t="str">
        <f>VLOOKUP(Transaction[[#This Row],[Model No.]],$AV$2:$BD$100,2,TRUE)</f>
        <v>Green Flash Le Freak - 4 Pack</v>
      </c>
      <c r="AO1581" s="21">
        <f>VLOOKUP(Transaction[[#This Row],[Model No.]],$AV$2:$BD$100,6,TRUE)</f>
        <v>16.989999999999998</v>
      </c>
      <c r="AP1581" s="9">
        <v>3</v>
      </c>
      <c r="AQ1581" s="5">
        <f>Transaction[[#This Row],[Price]]*Transaction[[#This Row],[Qty]]</f>
        <v>50.97</v>
      </c>
      <c r="AR1581" s="5">
        <f>VLOOKUP(Transaction[[#This Row],[Model No.]],$AV$2:$BD$100,7,TRUE)*Transaction[[#This Row],[Qty]]</f>
        <v>15.290999999999999</v>
      </c>
      <c r="AS1581">
        <v>1104</v>
      </c>
      <c r="AT1581">
        <v>1002</v>
      </c>
    </row>
    <row r="1582" spans="36:46" x14ac:dyDescent="0.3">
      <c r="AJ1582">
        <v>89517</v>
      </c>
      <c r="AK1582" s="30">
        <v>43565</v>
      </c>
      <c r="AL1582" t="s">
        <v>1616</v>
      </c>
      <c r="AM1582">
        <v>83</v>
      </c>
      <c r="AN1582" t="str">
        <f>VLOOKUP(Transaction[[#This Row],[Model No.]],$AV$2:$BD$100,2,TRUE)</f>
        <v>Pinnacle Cherry Whipped Vodka</v>
      </c>
      <c r="AO1582" s="21">
        <f>VLOOKUP(Transaction[[#This Row],[Model No.]],$AV$2:$BD$100,6,TRUE)</f>
        <v>10.99</v>
      </c>
      <c r="AP1582" s="9">
        <v>3</v>
      </c>
      <c r="AQ1582" s="5">
        <f>Transaction[[#This Row],[Price]]*Transaction[[#This Row],[Qty]]</f>
        <v>32.97</v>
      </c>
      <c r="AR1582" s="5">
        <f>VLOOKUP(Transaction[[#This Row],[Model No.]],$AV$2:$BD$100,7,TRUE)*Transaction[[#This Row],[Qty]]</f>
        <v>9.891</v>
      </c>
      <c r="AS1582">
        <v>1104</v>
      </c>
      <c r="AT1582">
        <v>1015</v>
      </c>
    </row>
    <row r="1583" spans="36:46" x14ac:dyDescent="0.3">
      <c r="AJ1583">
        <v>83546</v>
      </c>
      <c r="AK1583" s="30">
        <v>43568</v>
      </c>
      <c r="AL1583" t="s">
        <v>466</v>
      </c>
      <c r="AM1583">
        <v>95</v>
      </c>
      <c r="AN1583" t="str">
        <f>VLOOKUP(Transaction[[#This Row],[Model No.]],$AV$2:$BD$100,2,TRUE)</f>
        <v>Kuromatsu Hakushika Chokara Extra Dry Sake</v>
      </c>
      <c r="AO1583" s="21">
        <f>VLOOKUP(Transaction[[#This Row],[Model No.]],$AV$2:$BD$100,6,TRUE)</f>
        <v>7.49</v>
      </c>
      <c r="AP1583" s="9">
        <v>2</v>
      </c>
      <c r="AQ1583" s="5">
        <f>Transaction[[#This Row],[Price]]*Transaction[[#This Row],[Qty]]</f>
        <v>14.98</v>
      </c>
      <c r="AR1583" s="5">
        <f>VLOOKUP(Transaction[[#This Row],[Model No.]],$AV$2:$BD$100,7,TRUE)*Transaction[[#This Row],[Qty]]</f>
        <v>1.4980000000000002</v>
      </c>
      <c r="AS1583">
        <v>1106</v>
      </c>
      <c r="AT1583">
        <v>1013</v>
      </c>
    </row>
    <row r="1584" spans="36:46" x14ac:dyDescent="0.3">
      <c r="AJ1584">
        <v>49246</v>
      </c>
      <c r="AK1584" s="30">
        <v>43569</v>
      </c>
      <c r="AL1584" t="s">
        <v>1719</v>
      </c>
      <c r="AM1584">
        <v>31</v>
      </c>
      <c r="AN1584" t="str">
        <f>VLOOKUP(Transaction[[#This Row],[Model No.]],$AV$2:$BD$100,2,TRUE)</f>
        <v>Gulden Draak 9000 Quadruple - 4 Pack</v>
      </c>
      <c r="AO1584" s="21">
        <f>VLOOKUP(Transaction[[#This Row],[Model No.]],$AV$2:$BD$100,6,TRUE)</f>
        <v>21.99</v>
      </c>
      <c r="AP1584" s="9">
        <v>1</v>
      </c>
      <c r="AQ1584" s="5">
        <f>Transaction[[#This Row],[Price]]*Transaction[[#This Row],[Qty]]</f>
        <v>21.99</v>
      </c>
      <c r="AR1584" s="5">
        <f>VLOOKUP(Transaction[[#This Row],[Model No.]],$AV$2:$BD$100,7,TRUE)*Transaction[[#This Row],[Qty]]</f>
        <v>6.5969999999999995</v>
      </c>
      <c r="AS1584">
        <v>1101</v>
      </c>
      <c r="AT1584">
        <v>1021</v>
      </c>
    </row>
    <row r="1585" spans="36:46" x14ac:dyDescent="0.3">
      <c r="AJ1585">
        <v>56179</v>
      </c>
      <c r="AK1585" s="30">
        <v>43570</v>
      </c>
      <c r="AL1585" t="s">
        <v>726</v>
      </c>
      <c r="AM1585">
        <v>4</v>
      </c>
      <c r="AN1585" t="str">
        <f>VLOOKUP(Transaction[[#This Row],[Model No.]],$AV$2:$BD$100,2,TRUE)</f>
        <v>Stags' Leap Winery Cabernet Sauvignon</v>
      </c>
      <c r="AO1585" s="21">
        <f>VLOOKUP(Transaction[[#This Row],[Model No.]],$AV$2:$BD$100,6,TRUE)</f>
        <v>54.99</v>
      </c>
      <c r="AP1585" s="9">
        <v>1</v>
      </c>
      <c r="AQ1585" s="5">
        <f>Transaction[[#This Row],[Price]]*Transaction[[#This Row],[Qty]]</f>
        <v>54.99</v>
      </c>
      <c r="AR1585" s="5">
        <f>VLOOKUP(Transaction[[#This Row],[Model No.]],$AV$2:$BD$100,7,TRUE)*Transaction[[#This Row],[Qty]]</f>
        <v>5.4990000000000006</v>
      </c>
      <c r="AS1585">
        <v>1104</v>
      </c>
      <c r="AT1585">
        <v>1001</v>
      </c>
    </row>
    <row r="1586" spans="36:46" x14ac:dyDescent="0.3">
      <c r="AJ1586">
        <v>31189</v>
      </c>
      <c r="AK1586" s="30">
        <v>43571</v>
      </c>
      <c r="AL1586" t="s">
        <v>732</v>
      </c>
      <c r="AM1586">
        <v>18</v>
      </c>
      <c r="AN1586" t="str">
        <f>VLOOKUP(Transaction[[#This Row],[Model No.]],$AV$2:$BD$100,2,TRUE)</f>
        <v>Twenty Grand Peach Vodka</v>
      </c>
      <c r="AO1586" s="21">
        <f>VLOOKUP(Transaction[[#This Row],[Model No.]],$AV$2:$BD$100,6,TRUE)</f>
        <v>30.99</v>
      </c>
      <c r="AP1586" s="9">
        <v>2</v>
      </c>
      <c r="AQ1586" s="5">
        <f>Transaction[[#This Row],[Price]]*Transaction[[#This Row],[Qty]]</f>
        <v>61.98</v>
      </c>
      <c r="AR1586" s="5">
        <f>VLOOKUP(Transaction[[#This Row],[Model No.]],$AV$2:$BD$100,7,TRUE)*Transaction[[#This Row],[Qty]]</f>
        <v>18.593999999999998</v>
      </c>
      <c r="AS1586">
        <v>1102</v>
      </c>
      <c r="AT1586">
        <v>1006</v>
      </c>
    </row>
    <row r="1587" spans="36:46" x14ac:dyDescent="0.3">
      <c r="AJ1587">
        <v>65500</v>
      </c>
      <c r="AK1587" s="30">
        <v>43571</v>
      </c>
      <c r="AL1587" t="s">
        <v>321</v>
      </c>
      <c r="AM1587">
        <v>90</v>
      </c>
      <c r="AN1587" t="str">
        <f>VLOOKUP(Transaction[[#This Row],[Model No.]],$AV$2:$BD$100,2,TRUE)</f>
        <v>Carlo Rossi Moscato Sangria Muscat Blanc a Petits Grains</v>
      </c>
      <c r="AO1587" s="21">
        <f>VLOOKUP(Transaction[[#This Row],[Model No.]],$AV$2:$BD$100,6,TRUE)</f>
        <v>7.99</v>
      </c>
      <c r="AP1587" s="9">
        <v>1</v>
      </c>
      <c r="AQ1587" s="5">
        <f>Transaction[[#This Row],[Price]]*Transaction[[#This Row],[Qty]]</f>
        <v>7.99</v>
      </c>
      <c r="AR1587" s="5">
        <f>VLOOKUP(Transaction[[#This Row],[Model No.]],$AV$2:$BD$100,7,TRUE)*Transaction[[#This Row],[Qty]]</f>
        <v>1.5980000000000001</v>
      </c>
      <c r="AS1587">
        <v>1100</v>
      </c>
      <c r="AT1587">
        <v>1011</v>
      </c>
    </row>
    <row r="1588" spans="36:46" x14ac:dyDescent="0.3">
      <c r="AJ1588">
        <v>22304</v>
      </c>
      <c r="AK1588" s="30">
        <v>43572</v>
      </c>
      <c r="AL1588" t="s">
        <v>844</v>
      </c>
      <c r="AM1588">
        <v>28</v>
      </c>
      <c r="AN1588" t="str">
        <f>VLOOKUP(Transaction[[#This Row],[Model No.]],$AV$2:$BD$100,2,TRUE)</f>
        <v>Quinta de Soalheiro Soalheiro Alvarinho</v>
      </c>
      <c r="AO1588" s="21">
        <f>VLOOKUP(Transaction[[#This Row],[Model No.]],$AV$2:$BD$100,6,TRUE)</f>
        <v>23.99</v>
      </c>
      <c r="AP1588" s="9">
        <v>3</v>
      </c>
      <c r="AQ1588" s="5">
        <f>Transaction[[#This Row],[Price]]*Transaction[[#This Row],[Qty]]</f>
        <v>71.97</v>
      </c>
      <c r="AR1588" s="5">
        <f>VLOOKUP(Transaction[[#This Row],[Model No.]],$AV$2:$BD$100,7,TRUE)*Transaction[[#This Row],[Qty]]</f>
        <v>28.788</v>
      </c>
      <c r="AS1588">
        <v>1105</v>
      </c>
      <c r="AT1588">
        <v>1015</v>
      </c>
    </row>
    <row r="1589" spans="36:46" x14ac:dyDescent="0.3">
      <c r="AJ1589">
        <v>57888</v>
      </c>
      <c r="AK1589" s="30">
        <v>43575</v>
      </c>
      <c r="AL1589" t="s">
        <v>322</v>
      </c>
      <c r="AM1589">
        <v>95</v>
      </c>
      <c r="AN1589" t="str">
        <f>VLOOKUP(Transaction[[#This Row],[Model No.]],$AV$2:$BD$100,2,TRUE)</f>
        <v>Kuromatsu Hakushika Chokara Extra Dry Sake</v>
      </c>
      <c r="AO1589" s="21">
        <f>VLOOKUP(Transaction[[#This Row],[Model No.]],$AV$2:$BD$100,6,TRUE)</f>
        <v>7.49</v>
      </c>
      <c r="AP1589" s="9">
        <v>3</v>
      </c>
      <c r="AQ1589" s="5">
        <f>Transaction[[#This Row],[Price]]*Transaction[[#This Row],[Qty]]</f>
        <v>22.47</v>
      </c>
      <c r="AR1589" s="5">
        <f>VLOOKUP(Transaction[[#This Row],[Model No.]],$AV$2:$BD$100,7,TRUE)*Transaction[[#This Row],[Qty]]</f>
        <v>2.2470000000000003</v>
      </c>
      <c r="AS1589">
        <v>1099</v>
      </c>
      <c r="AT1589">
        <v>1011</v>
      </c>
    </row>
    <row r="1590" spans="36:46" x14ac:dyDescent="0.3">
      <c r="AJ1590">
        <v>19102</v>
      </c>
      <c r="AK1590" s="30">
        <v>43576</v>
      </c>
      <c r="AL1590" t="s">
        <v>509</v>
      </c>
      <c r="AM1590">
        <v>87</v>
      </c>
      <c r="AN1590" t="str">
        <f>VLOOKUP(Transaction[[#This Row],[Model No.]],$AV$2:$BD$100,2,TRUE)</f>
        <v>Cruzan 9 Spiced Rum</v>
      </c>
      <c r="AO1590" s="21">
        <f>VLOOKUP(Transaction[[#This Row],[Model No.]],$AV$2:$BD$100,6,TRUE)</f>
        <v>9.49</v>
      </c>
      <c r="AP1590" s="9">
        <v>4</v>
      </c>
      <c r="AQ1590" s="5">
        <f>Transaction[[#This Row],[Price]]*Transaction[[#This Row],[Qty]]</f>
        <v>37.96</v>
      </c>
      <c r="AR1590" s="5">
        <f>VLOOKUP(Transaction[[#This Row],[Model No.]],$AV$2:$BD$100,7,TRUE)*Transaction[[#This Row],[Qty]]</f>
        <v>7.5920000000000005</v>
      </c>
      <c r="AS1590">
        <v>1100</v>
      </c>
      <c r="AT1590">
        <v>1007</v>
      </c>
    </row>
    <row r="1591" spans="36:46" x14ac:dyDescent="0.3">
      <c r="AJ1591">
        <v>34622</v>
      </c>
      <c r="AK1591" s="30">
        <v>43577</v>
      </c>
      <c r="AL1591" t="s">
        <v>1861</v>
      </c>
      <c r="AM1591">
        <v>81</v>
      </c>
      <c r="AN1591" t="str">
        <f>VLOOKUP(Transaction[[#This Row],[Model No.]],$AV$2:$BD$100,2,TRUE)</f>
        <v>TerraNoble Reserva La Higuera Vineyard Carmenere</v>
      </c>
      <c r="AO1591" s="21">
        <f>VLOOKUP(Transaction[[#This Row],[Model No.]],$AV$2:$BD$100,6,TRUE)</f>
        <v>10.99</v>
      </c>
      <c r="AP1591" s="9">
        <v>5</v>
      </c>
      <c r="AQ1591" s="5">
        <f>Transaction[[#This Row],[Price]]*Transaction[[#This Row],[Qty]]</f>
        <v>54.95</v>
      </c>
      <c r="AR1591" s="5">
        <f>VLOOKUP(Transaction[[#This Row],[Model No.]],$AV$2:$BD$100,7,TRUE)*Transaction[[#This Row],[Qty]]</f>
        <v>16.484999999999999</v>
      </c>
      <c r="AS1591">
        <v>1107</v>
      </c>
      <c r="AT1591">
        <v>1002</v>
      </c>
    </row>
    <row r="1592" spans="36:46" x14ac:dyDescent="0.3">
      <c r="AJ1592">
        <v>28203</v>
      </c>
      <c r="AK1592" s="30">
        <v>43578</v>
      </c>
      <c r="AL1592" t="s">
        <v>1396</v>
      </c>
      <c r="AM1592">
        <v>47</v>
      </c>
      <c r="AN1592" t="str">
        <f>VLOOKUP(Transaction[[#This Row],[Model No.]],$AV$2:$BD$100,2,TRUE)</f>
        <v>IL Tramonto Amaretto Liqueur</v>
      </c>
      <c r="AO1592" s="21">
        <f>VLOOKUP(Transaction[[#This Row],[Model No.]],$AV$2:$BD$100,6,TRUE)</f>
        <v>15.99</v>
      </c>
      <c r="AP1592" s="9">
        <v>2</v>
      </c>
      <c r="AQ1592" s="5">
        <f>Transaction[[#This Row],[Price]]*Transaction[[#This Row],[Qty]]</f>
        <v>31.98</v>
      </c>
      <c r="AR1592" s="5">
        <f>VLOOKUP(Transaction[[#This Row],[Model No.]],$AV$2:$BD$100,7,TRUE)*Transaction[[#This Row],[Qty]]</f>
        <v>9.5939999999999994</v>
      </c>
      <c r="AS1592">
        <v>1102</v>
      </c>
      <c r="AT1592">
        <v>1015</v>
      </c>
    </row>
    <row r="1593" spans="36:46" x14ac:dyDescent="0.3">
      <c r="AJ1593">
        <v>29204</v>
      </c>
      <c r="AK1593" s="30">
        <v>43578</v>
      </c>
      <c r="AL1593" t="s">
        <v>910</v>
      </c>
      <c r="AM1593">
        <v>72</v>
      </c>
      <c r="AN1593" t="str">
        <f>VLOOKUP(Transaction[[#This Row],[Model No.]],$AV$2:$BD$100,2,TRUE)</f>
        <v>Pearl Wedding Cake Vodka</v>
      </c>
      <c r="AO1593" s="21">
        <f>VLOOKUP(Transaction[[#This Row],[Model No.]],$AV$2:$BD$100,6,TRUE)</f>
        <v>12.49</v>
      </c>
      <c r="AP1593" s="9">
        <v>2</v>
      </c>
      <c r="AQ1593" s="5">
        <f>Transaction[[#This Row],[Price]]*Transaction[[#This Row],[Qty]]</f>
        <v>24.98</v>
      </c>
      <c r="AR1593" s="5">
        <f>VLOOKUP(Transaction[[#This Row],[Model No.]],$AV$2:$BD$100,7,TRUE)*Transaction[[#This Row],[Qty]]</f>
        <v>7.4939999999999998</v>
      </c>
      <c r="AS1593">
        <v>1106</v>
      </c>
      <c r="AT1593">
        <v>1013</v>
      </c>
    </row>
    <row r="1594" spans="36:46" x14ac:dyDescent="0.3">
      <c r="AJ1594">
        <v>50297</v>
      </c>
      <c r="AK1594" s="30">
        <v>43580</v>
      </c>
      <c r="AL1594" t="s">
        <v>1544</v>
      </c>
      <c r="AM1594">
        <v>64</v>
      </c>
      <c r="AN1594" t="str">
        <f>VLOOKUP(Transaction[[#This Row],[Model No.]],$AV$2:$BD$100,2,TRUE)</f>
        <v>Maui Brewing Big Swell IPA - 6 Pack</v>
      </c>
      <c r="AO1594" s="21">
        <f>VLOOKUP(Transaction[[#This Row],[Model No.]],$AV$2:$BD$100,6,TRUE)</f>
        <v>12.99</v>
      </c>
      <c r="AP1594" s="9">
        <v>5</v>
      </c>
      <c r="AQ1594" s="5">
        <f>Transaction[[#This Row],[Price]]*Transaction[[#This Row],[Qty]]</f>
        <v>64.95</v>
      </c>
      <c r="AR1594" s="5">
        <f>VLOOKUP(Transaction[[#This Row],[Model No.]],$AV$2:$BD$100,7,TRUE)*Transaction[[#This Row],[Qty]]</f>
        <v>19.484999999999999</v>
      </c>
      <c r="AS1594">
        <v>1101</v>
      </c>
      <c r="AT1594">
        <v>1019</v>
      </c>
    </row>
    <row r="1595" spans="36:46" x14ac:dyDescent="0.3">
      <c r="AJ1595">
        <v>69524</v>
      </c>
      <c r="AK1595" s="30">
        <v>43581</v>
      </c>
      <c r="AL1595" t="s">
        <v>1173</v>
      </c>
      <c r="AM1595">
        <v>23</v>
      </c>
      <c r="AN1595" t="str">
        <f>VLOOKUP(Transaction[[#This Row],[Model No.]],$AV$2:$BD$100,2,TRUE)</f>
        <v>Brinley Gold Shipwreck Mango Rum</v>
      </c>
      <c r="AO1595" s="21">
        <f>VLOOKUP(Transaction[[#This Row],[Model No.]],$AV$2:$BD$100,6,TRUE)</f>
        <v>25.99</v>
      </c>
      <c r="AP1595" s="9">
        <v>2</v>
      </c>
      <c r="AQ1595" s="5">
        <f>Transaction[[#This Row],[Price]]*Transaction[[#This Row],[Qty]]</f>
        <v>51.98</v>
      </c>
      <c r="AR1595" s="5">
        <f>VLOOKUP(Transaction[[#This Row],[Model No.]],$AV$2:$BD$100,7,TRUE)*Transaction[[#This Row],[Qty]]</f>
        <v>10.396000000000001</v>
      </c>
      <c r="AS1595">
        <v>1104</v>
      </c>
      <c r="AT1595">
        <v>1009</v>
      </c>
    </row>
    <row r="1596" spans="36:46" x14ac:dyDescent="0.3">
      <c r="AJ1596">
        <v>65427</v>
      </c>
      <c r="AK1596" s="30">
        <v>43584</v>
      </c>
      <c r="AL1596" t="s">
        <v>334</v>
      </c>
      <c r="AM1596">
        <v>25</v>
      </c>
      <c r="AN1596" t="str">
        <f>VLOOKUP(Transaction[[#This Row],[Model No.]],$AV$2:$BD$100,2,TRUE)</f>
        <v>ICEHOUSE 4/6 LNNR - 24 Pack</v>
      </c>
      <c r="AO1596" s="21">
        <f>VLOOKUP(Transaction[[#This Row],[Model No.]],$AV$2:$BD$100,6,TRUE)</f>
        <v>23.99</v>
      </c>
      <c r="AP1596" s="9">
        <v>1</v>
      </c>
      <c r="AQ1596" s="5">
        <f>Transaction[[#This Row],[Price]]*Transaction[[#This Row],[Qty]]</f>
        <v>23.99</v>
      </c>
      <c r="AR1596" s="5">
        <f>VLOOKUP(Transaction[[#This Row],[Model No.]],$AV$2:$BD$100,7,TRUE)*Transaction[[#This Row],[Qty]]</f>
        <v>7.1969999999999992</v>
      </c>
      <c r="AS1596">
        <v>1107</v>
      </c>
      <c r="AT1596">
        <v>1017</v>
      </c>
    </row>
    <row r="1597" spans="36:46" x14ac:dyDescent="0.3">
      <c r="AJ1597">
        <v>22830</v>
      </c>
      <c r="AK1597" s="30">
        <v>43584</v>
      </c>
      <c r="AL1597" t="s">
        <v>536</v>
      </c>
      <c r="AM1597">
        <v>51</v>
      </c>
      <c r="AN1597" t="str">
        <f>VLOOKUP(Transaction[[#This Row],[Model No.]],$AV$2:$BD$100,2,TRUE)</f>
        <v>Waterbrook Cabernet Sauvignon</v>
      </c>
      <c r="AO1597" s="21">
        <f>VLOOKUP(Transaction[[#This Row],[Model No.]],$AV$2:$BD$100,6,TRUE)</f>
        <v>14.99</v>
      </c>
      <c r="AP1597" s="9">
        <v>3</v>
      </c>
      <c r="AQ1597" s="5">
        <f>Transaction[[#This Row],[Price]]*Transaction[[#This Row],[Qty]]</f>
        <v>44.97</v>
      </c>
      <c r="AR1597" s="5">
        <f>VLOOKUP(Transaction[[#This Row],[Model No.]],$AV$2:$BD$100,7,TRUE)*Transaction[[#This Row],[Qty]]</f>
        <v>4.4969999999999999</v>
      </c>
      <c r="AS1597">
        <v>1100</v>
      </c>
      <c r="AT1597">
        <v>1002</v>
      </c>
    </row>
    <row r="1598" spans="36:46" x14ac:dyDescent="0.3">
      <c r="AJ1598">
        <v>75868</v>
      </c>
      <c r="AK1598" s="30">
        <v>43584</v>
      </c>
      <c r="AL1598" t="s">
        <v>1637</v>
      </c>
      <c r="AM1598">
        <v>76</v>
      </c>
      <c r="AN1598" t="str">
        <f>VLOOKUP(Transaction[[#This Row],[Model No.]],$AV$2:$BD$100,2,TRUE)</f>
        <v>Lagunitas Super Cluster Can - 6 Pack</v>
      </c>
      <c r="AO1598" s="21">
        <f>VLOOKUP(Transaction[[#This Row],[Model No.]],$AV$2:$BD$100,6,TRUE)</f>
        <v>11.99</v>
      </c>
      <c r="AP1598" s="9">
        <v>4</v>
      </c>
      <c r="AQ1598" s="5">
        <f>Transaction[[#This Row],[Price]]*Transaction[[#This Row],[Qty]]</f>
        <v>47.96</v>
      </c>
      <c r="AR1598" s="5">
        <f>VLOOKUP(Transaction[[#This Row],[Model No.]],$AV$2:$BD$100,7,TRUE)*Transaction[[#This Row],[Qty]]</f>
        <v>14.388</v>
      </c>
      <c r="AS1598">
        <v>1104</v>
      </c>
      <c r="AT1598">
        <v>1006</v>
      </c>
    </row>
    <row r="1599" spans="36:46" x14ac:dyDescent="0.3">
      <c r="AJ1599">
        <v>59724</v>
      </c>
      <c r="AK1599" s="30">
        <v>43585</v>
      </c>
      <c r="AL1599" t="s">
        <v>750</v>
      </c>
      <c r="AM1599">
        <v>56</v>
      </c>
      <c r="AN1599" t="str">
        <f>VLOOKUP(Transaction[[#This Row],[Model No.]],$AV$2:$BD$100,2,TRUE)</f>
        <v>Roy Pitz Sour Hound - 6 Pack</v>
      </c>
      <c r="AO1599" s="21">
        <f>VLOOKUP(Transaction[[#This Row],[Model No.]],$AV$2:$BD$100,6,TRUE)</f>
        <v>13.99</v>
      </c>
      <c r="AP1599" s="9">
        <v>5</v>
      </c>
      <c r="AQ1599" s="5">
        <f>Transaction[[#This Row],[Price]]*Transaction[[#This Row],[Qty]]</f>
        <v>69.95</v>
      </c>
      <c r="AR1599" s="5">
        <f>VLOOKUP(Transaction[[#This Row],[Model No.]],$AV$2:$BD$100,7,TRUE)*Transaction[[#This Row],[Qty]]</f>
        <v>20.984999999999999</v>
      </c>
      <c r="AS1599">
        <v>1107</v>
      </c>
      <c r="AT1599">
        <v>1010</v>
      </c>
    </row>
    <row r="1600" spans="36:46" x14ac:dyDescent="0.3">
      <c r="AJ1600">
        <v>10824</v>
      </c>
      <c r="AK1600" s="30">
        <v>43585</v>
      </c>
      <c r="AL1600" t="s">
        <v>1581</v>
      </c>
      <c r="AM1600">
        <v>64</v>
      </c>
      <c r="AN1600" t="str">
        <f>VLOOKUP(Transaction[[#This Row],[Model No.]],$AV$2:$BD$100,2,TRUE)</f>
        <v>Maui Brewing Big Swell IPA - 6 Pack</v>
      </c>
      <c r="AO1600" s="21">
        <f>VLOOKUP(Transaction[[#This Row],[Model No.]],$AV$2:$BD$100,6,TRUE)</f>
        <v>12.99</v>
      </c>
      <c r="AP1600" s="9">
        <v>2</v>
      </c>
      <c r="AQ1600" s="5">
        <f>Transaction[[#This Row],[Price]]*Transaction[[#This Row],[Qty]]</f>
        <v>25.98</v>
      </c>
      <c r="AR1600" s="5">
        <f>VLOOKUP(Transaction[[#This Row],[Model No.]],$AV$2:$BD$100,7,TRUE)*Transaction[[#This Row],[Qty]]</f>
        <v>7.7939999999999996</v>
      </c>
      <c r="AS1600">
        <v>1107</v>
      </c>
      <c r="AT1600">
        <v>1007</v>
      </c>
    </row>
    <row r="1601" spans="36:46" x14ac:dyDescent="0.3">
      <c r="AJ1601">
        <v>13006</v>
      </c>
      <c r="AK1601" s="30">
        <v>43585</v>
      </c>
      <c r="AL1601" s="19">
        <v>0.38626157407407408</v>
      </c>
      <c r="AM1601">
        <v>3</v>
      </c>
      <c r="AN1601" s="19" t="s">
        <v>73</v>
      </c>
      <c r="AO1601" s="21">
        <v>36.99</v>
      </c>
      <c r="AP1601" s="9">
        <v>1</v>
      </c>
      <c r="AQ1601" s="5">
        <f>Transaction[[#This Row],[Price]]*Transaction[[#This Row],[Qty]]</f>
        <v>36.99</v>
      </c>
      <c r="AR1601" s="24">
        <f>VLOOKUP(Transaction[[#This Row],[Model No.]],$AV$2:$BD$100,7,TRUE)*Transaction[[#This Row],[Qty]]</f>
        <v>17.097000000000001</v>
      </c>
      <c r="AS1601">
        <v>1103</v>
      </c>
      <c r="AT1601" t="s">
        <v>1985</v>
      </c>
    </row>
    <row r="1602" spans="36:46" x14ac:dyDescent="0.3">
      <c r="AJ1602">
        <v>63417</v>
      </c>
      <c r="AK1602" s="30">
        <v>43585</v>
      </c>
      <c r="AL1602" s="19">
        <v>0.38798611111111114</v>
      </c>
      <c r="AM1602">
        <v>3</v>
      </c>
      <c r="AN1602" s="19" t="s">
        <v>73</v>
      </c>
      <c r="AO1602" s="21">
        <v>36.99</v>
      </c>
      <c r="AP1602" s="9">
        <v>1</v>
      </c>
      <c r="AQ1602" s="5">
        <f>Transaction[[#This Row],[Price]]*Transaction[[#This Row],[Qty]]</f>
        <v>36.99</v>
      </c>
      <c r="AR1602" s="24">
        <f>VLOOKUP(Transaction[[#This Row],[Model No.]],$AV$2:$BD$100,7,TRUE)*Transaction[[#This Row],[Qty]]</f>
        <v>17.097000000000001</v>
      </c>
      <c r="AS1602">
        <v>1103</v>
      </c>
      <c r="AT1602" t="s">
        <v>1985</v>
      </c>
    </row>
    <row r="1603" spans="36:46" x14ac:dyDescent="0.3">
      <c r="AJ1603">
        <v>10814</v>
      </c>
      <c r="AK1603" s="30">
        <v>43587</v>
      </c>
      <c r="AL1603" t="s">
        <v>1811</v>
      </c>
      <c r="AM1603">
        <v>8</v>
      </c>
      <c r="AN1603" t="str">
        <f>VLOOKUP(Transaction[[#This Row],[Model No.]],$AV$2:$BD$100,2,TRUE)</f>
        <v>Roco Marsh Estate Vineyard Pinot Noir</v>
      </c>
      <c r="AO1603" s="21">
        <f>VLOOKUP(Transaction[[#This Row],[Model No.]],$AV$2:$BD$100,6,TRUE)</f>
        <v>44.99</v>
      </c>
      <c r="AP1603" s="9">
        <v>4</v>
      </c>
      <c r="AQ1603" s="5">
        <f>Transaction[[#This Row],[Price]]*Transaction[[#This Row],[Qty]]</f>
        <v>179.96</v>
      </c>
      <c r="AR1603" s="5">
        <f>VLOOKUP(Transaction[[#This Row],[Model No.]],$AV$2:$BD$100,7,TRUE)*Transaction[[#This Row],[Qty]]</f>
        <v>17.996000000000002</v>
      </c>
      <c r="AS1603">
        <v>1105</v>
      </c>
      <c r="AT1603">
        <v>1005</v>
      </c>
    </row>
    <row r="1604" spans="36:46" x14ac:dyDescent="0.3">
      <c r="AJ1604">
        <v>10003</v>
      </c>
      <c r="AK1604" s="30">
        <v>43588</v>
      </c>
      <c r="AL1604" t="s">
        <v>801</v>
      </c>
      <c r="AM1604">
        <v>86</v>
      </c>
      <c r="AN1604" t="str">
        <f>VLOOKUP(Transaction[[#This Row],[Model No.]],$AV$2:$BD$100,2,TRUE)</f>
        <v>Bully Hill Vineyards Love My Goat Baco Noir</v>
      </c>
      <c r="AO1604" s="21">
        <f>VLOOKUP(Transaction[[#This Row],[Model No.]],$AV$2:$BD$100,6,TRUE)</f>
        <v>9.49</v>
      </c>
      <c r="AP1604" s="9">
        <v>1</v>
      </c>
      <c r="AQ1604" s="5">
        <f>Transaction[[#This Row],[Price]]*Transaction[[#This Row],[Qty]]</f>
        <v>9.49</v>
      </c>
      <c r="AR1604" s="5">
        <f>VLOOKUP(Transaction[[#This Row],[Model No.]],$AV$2:$BD$100,7,TRUE)*Transaction[[#This Row],[Qty]]</f>
        <v>0.94900000000000007</v>
      </c>
      <c r="AS1604">
        <v>1101</v>
      </c>
      <c r="AT1604">
        <v>1018</v>
      </c>
    </row>
    <row r="1605" spans="36:46" x14ac:dyDescent="0.3">
      <c r="AJ1605">
        <v>26974</v>
      </c>
      <c r="AK1605" s="30">
        <v>43591</v>
      </c>
      <c r="AL1605" t="s">
        <v>724</v>
      </c>
      <c r="AM1605">
        <v>46</v>
      </c>
      <c r="AN1605" t="str">
        <f>VLOOKUP(Transaction[[#This Row],[Model No.]],$AV$2:$BD$100,2,TRUE)</f>
        <v>Label 5 Classic Black Blended Scotch Whisky</v>
      </c>
      <c r="AO1605" s="21">
        <f>VLOOKUP(Transaction[[#This Row],[Model No.]],$AV$2:$BD$100,6,TRUE)</f>
        <v>15.99</v>
      </c>
      <c r="AP1605" s="9">
        <v>5</v>
      </c>
      <c r="AQ1605" s="5">
        <f>Transaction[[#This Row],[Price]]*Transaction[[#This Row],[Qty]]</f>
        <v>79.95</v>
      </c>
      <c r="AR1605" s="5">
        <f>VLOOKUP(Transaction[[#This Row],[Model No.]],$AV$2:$BD$100,7,TRUE)*Transaction[[#This Row],[Qty]]</f>
        <v>15.990000000000002</v>
      </c>
      <c r="AS1605">
        <v>1102</v>
      </c>
      <c r="AT1605">
        <v>1009</v>
      </c>
    </row>
    <row r="1606" spans="36:46" x14ac:dyDescent="0.3">
      <c r="AJ1606">
        <v>30009</v>
      </c>
      <c r="AK1606" s="30">
        <v>43593</v>
      </c>
      <c r="AL1606" t="s">
        <v>516</v>
      </c>
      <c r="AM1606">
        <v>13</v>
      </c>
      <c r="AN1606" t="str">
        <f>VLOOKUP(Transaction[[#This Row],[Model No.]],$AV$2:$BD$100,2,TRUE)</f>
        <v>Luxardo Maraschino Liqueur</v>
      </c>
      <c r="AO1606" s="21">
        <f>VLOOKUP(Transaction[[#This Row],[Model No.]],$AV$2:$BD$100,6,TRUE)</f>
        <v>36.99</v>
      </c>
      <c r="AP1606" s="9">
        <v>3</v>
      </c>
      <c r="AQ1606" s="5">
        <f>Transaction[[#This Row],[Price]]*Transaction[[#This Row],[Qty]]</f>
        <v>110.97</v>
      </c>
      <c r="AR1606" s="5">
        <f>VLOOKUP(Transaction[[#This Row],[Model No.]],$AV$2:$BD$100,7,TRUE)*Transaction[[#This Row],[Qty]]</f>
        <v>33.290999999999997</v>
      </c>
      <c r="AS1606">
        <v>1105</v>
      </c>
      <c r="AT1606">
        <v>1013</v>
      </c>
    </row>
    <row r="1607" spans="36:46" x14ac:dyDescent="0.3">
      <c r="AJ1607">
        <v>42214</v>
      </c>
      <c r="AK1607" s="30">
        <v>43593</v>
      </c>
      <c r="AL1607" t="s">
        <v>330</v>
      </c>
      <c r="AM1607">
        <v>55</v>
      </c>
      <c r="AN1607" t="str">
        <f>VLOOKUP(Transaction[[#This Row],[Model No.]],$AV$2:$BD$100,2,TRUE)</f>
        <v>Clos du Bois Hand Selected Lots Shiraz</v>
      </c>
      <c r="AO1607" s="21">
        <f>VLOOKUP(Transaction[[#This Row],[Model No.]],$AV$2:$BD$100,6,TRUE)</f>
        <v>14.49</v>
      </c>
      <c r="AP1607" s="9">
        <v>5</v>
      </c>
      <c r="AQ1607" s="5">
        <f>Transaction[[#This Row],[Price]]*Transaction[[#This Row],[Qty]]</f>
        <v>72.45</v>
      </c>
      <c r="AR1607" s="5">
        <f>VLOOKUP(Transaction[[#This Row],[Model No.]],$AV$2:$BD$100,7,TRUE)*Transaction[[#This Row],[Qty]]</f>
        <v>7.2450000000000001</v>
      </c>
      <c r="AS1607">
        <v>1108</v>
      </c>
      <c r="AT1607">
        <v>1007</v>
      </c>
    </row>
    <row r="1608" spans="36:46" x14ac:dyDescent="0.3">
      <c r="AJ1608">
        <v>26254</v>
      </c>
      <c r="AK1608" s="30">
        <v>43593</v>
      </c>
      <c r="AL1608" t="s">
        <v>1766</v>
      </c>
      <c r="AM1608">
        <v>89</v>
      </c>
      <c r="AN1608" t="str">
        <f>VLOOKUP(Transaction[[#This Row],[Model No.]],$AV$2:$BD$100,2,TRUE)</f>
        <v>Piera Martellozzo Blu Giovello Moscato Puglia IGT Muscat</v>
      </c>
      <c r="AO1608" s="21">
        <f>VLOOKUP(Transaction[[#This Row],[Model No.]],$AV$2:$BD$100,6,TRUE)</f>
        <v>8.49</v>
      </c>
      <c r="AP1608" s="9">
        <v>3</v>
      </c>
      <c r="AQ1608" s="5">
        <f>Transaction[[#This Row],[Price]]*Transaction[[#This Row],[Qty]]</f>
        <v>25.47</v>
      </c>
      <c r="AR1608" s="5">
        <f>VLOOKUP(Transaction[[#This Row],[Model No.]],$AV$2:$BD$100,7,TRUE)*Transaction[[#This Row],[Qty]]</f>
        <v>2.5470000000000002</v>
      </c>
      <c r="AS1608">
        <v>1106</v>
      </c>
      <c r="AT1608">
        <v>1001</v>
      </c>
    </row>
    <row r="1609" spans="36:46" x14ac:dyDescent="0.3">
      <c r="AJ1609">
        <v>75627</v>
      </c>
      <c r="AK1609" s="30">
        <v>43594</v>
      </c>
      <c r="AL1609" t="s">
        <v>497</v>
      </c>
      <c r="AM1609">
        <v>16</v>
      </c>
      <c r="AN1609" t="str">
        <f>VLOOKUP(Transaction[[#This Row],[Model No.]],$AV$2:$BD$100,2,TRUE)</f>
        <v>Hitachino Nest Red Rice Ale - 6 Pack</v>
      </c>
      <c r="AO1609" s="21">
        <f>VLOOKUP(Transaction[[#This Row],[Model No.]],$AV$2:$BD$100,6,TRUE)</f>
        <v>31.99</v>
      </c>
      <c r="AP1609" s="9">
        <v>5</v>
      </c>
      <c r="AQ1609" s="5">
        <f>Transaction[[#This Row],[Price]]*Transaction[[#This Row],[Qty]]</f>
        <v>159.94999999999999</v>
      </c>
      <c r="AR1609" s="5">
        <f>VLOOKUP(Transaction[[#This Row],[Model No.]],$AV$2:$BD$100,7,TRUE)*Transaction[[#This Row],[Qty]]</f>
        <v>47.984999999999999</v>
      </c>
      <c r="AS1609">
        <v>1108</v>
      </c>
      <c r="AT1609">
        <v>1015</v>
      </c>
    </row>
    <row r="1610" spans="36:46" x14ac:dyDescent="0.3">
      <c r="AJ1610">
        <v>28410</v>
      </c>
      <c r="AK1610" s="30">
        <v>43594</v>
      </c>
      <c r="AL1610" t="s">
        <v>1015</v>
      </c>
      <c r="AM1610">
        <v>64</v>
      </c>
      <c r="AN1610" t="str">
        <f>VLOOKUP(Transaction[[#This Row],[Model No.]],$AV$2:$BD$100,2,TRUE)</f>
        <v>Maui Brewing Big Swell IPA - 6 Pack</v>
      </c>
      <c r="AO1610" s="21">
        <f>VLOOKUP(Transaction[[#This Row],[Model No.]],$AV$2:$BD$100,6,TRUE)</f>
        <v>12.99</v>
      </c>
      <c r="AP1610" s="9">
        <v>5</v>
      </c>
      <c r="AQ1610" s="5">
        <f>Transaction[[#This Row],[Price]]*Transaction[[#This Row],[Qty]]</f>
        <v>64.95</v>
      </c>
      <c r="AR1610" s="5">
        <f>VLOOKUP(Transaction[[#This Row],[Model No.]],$AV$2:$BD$100,7,TRUE)*Transaction[[#This Row],[Qty]]</f>
        <v>19.484999999999999</v>
      </c>
      <c r="AS1610">
        <v>1102</v>
      </c>
      <c r="AT1610">
        <v>1002</v>
      </c>
    </row>
    <row r="1611" spans="36:46" x14ac:dyDescent="0.3">
      <c r="AJ1611">
        <v>98139</v>
      </c>
      <c r="AK1611" s="30">
        <v>43594</v>
      </c>
      <c r="AL1611" t="s">
        <v>744</v>
      </c>
      <c r="AM1611">
        <v>83</v>
      </c>
      <c r="AN1611" t="str">
        <f>VLOOKUP(Transaction[[#This Row],[Model No.]],$AV$2:$BD$100,2,TRUE)</f>
        <v>Pinnacle Cherry Whipped Vodka</v>
      </c>
      <c r="AO1611" s="21">
        <f>VLOOKUP(Transaction[[#This Row],[Model No.]],$AV$2:$BD$100,6,TRUE)</f>
        <v>10.99</v>
      </c>
      <c r="AP1611" s="9">
        <v>4</v>
      </c>
      <c r="AQ1611" s="5">
        <f>Transaction[[#This Row],[Price]]*Transaction[[#This Row],[Qty]]</f>
        <v>43.96</v>
      </c>
      <c r="AR1611" s="5">
        <f>VLOOKUP(Transaction[[#This Row],[Model No.]],$AV$2:$BD$100,7,TRUE)*Transaction[[#This Row],[Qty]]</f>
        <v>13.188000000000001</v>
      </c>
      <c r="AS1611">
        <v>1103</v>
      </c>
      <c r="AT1611">
        <v>1013</v>
      </c>
    </row>
    <row r="1612" spans="36:46" x14ac:dyDescent="0.3">
      <c r="AJ1612">
        <v>89416</v>
      </c>
      <c r="AK1612" s="30">
        <v>43597</v>
      </c>
      <c r="AL1612" t="s">
        <v>545</v>
      </c>
      <c r="AM1612">
        <v>86</v>
      </c>
      <c r="AN1612" t="str">
        <f>VLOOKUP(Transaction[[#This Row],[Model No.]],$AV$2:$BD$100,2,TRUE)</f>
        <v>Bully Hill Vineyards Love My Goat Baco Noir</v>
      </c>
      <c r="AO1612" s="21">
        <f>VLOOKUP(Transaction[[#This Row],[Model No.]],$AV$2:$BD$100,6,TRUE)</f>
        <v>9.49</v>
      </c>
      <c r="AP1612" s="9">
        <v>4</v>
      </c>
      <c r="AQ1612" s="5">
        <f>Transaction[[#This Row],[Price]]*Transaction[[#This Row],[Qty]]</f>
        <v>37.96</v>
      </c>
      <c r="AR1612" s="5">
        <f>VLOOKUP(Transaction[[#This Row],[Model No.]],$AV$2:$BD$100,7,TRUE)*Transaction[[#This Row],[Qty]]</f>
        <v>3.7960000000000003</v>
      </c>
      <c r="AS1612">
        <v>1100</v>
      </c>
      <c r="AT1612">
        <v>1013</v>
      </c>
    </row>
    <row r="1613" spans="36:46" x14ac:dyDescent="0.3">
      <c r="AJ1613">
        <v>23619</v>
      </c>
      <c r="AK1613" s="30">
        <v>43598</v>
      </c>
      <c r="AL1613" t="s">
        <v>341</v>
      </c>
      <c r="AM1613">
        <v>68</v>
      </c>
      <c r="AN1613" t="str">
        <f>VLOOKUP(Transaction[[#This Row],[Model No.]],$AV$2:$BD$100,2,TRUE)</f>
        <v>Conti Beretta Estate Bottled Friuli Grave Pinot Grigio</v>
      </c>
      <c r="AO1613" s="21">
        <f>VLOOKUP(Transaction[[#This Row],[Model No.]],$AV$2:$BD$100,6,TRUE)</f>
        <v>12.99</v>
      </c>
      <c r="AP1613" s="9">
        <v>2</v>
      </c>
      <c r="AQ1613" s="5">
        <f>Transaction[[#This Row],[Price]]*Transaction[[#This Row],[Qty]]</f>
        <v>25.98</v>
      </c>
      <c r="AR1613" s="5">
        <f>VLOOKUP(Transaction[[#This Row],[Model No.]],$AV$2:$BD$100,7,TRUE)*Transaction[[#This Row],[Qty]]</f>
        <v>2.5980000000000003</v>
      </c>
      <c r="AS1613">
        <v>1101</v>
      </c>
      <c r="AT1613">
        <v>1015</v>
      </c>
    </row>
    <row r="1614" spans="36:46" x14ac:dyDescent="0.3">
      <c r="AJ1614">
        <v>72705</v>
      </c>
      <c r="AK1614" s="30">
        <v>43600</v>
      </c>
      <c r="AL1614" t="s">
        <v>1484</v>
      </c>
      <c r="AM1614">
        <v>8</v>
      </c>
      <c r="AN1614" t="str">
        <f>VLOOKUP(Transaction[[#This Row],[Model No.]],$AV$2:$BD$100,2,TRUE)</f>
        <v>Roco Marsh Estate Vineyard Pinot Noir</v>
      </c>
      <c r="AO1614" s="21">
        <f>VLOOKUP(Transaction[[#This Row],[Model No.]],$AV$2:$BD$100,6,TRUE)</f>
        <v>44.99</v>
      </c>
      <c r="AP1614" s="9">
        <v>4</v>
      </c>
      <c r="AQ1614" s="5">
        <f>Transaction[[#This Row],[Price]]*Transaction[[#This Row],[Qty]]</f>
        <v>179.96</v>
      </c>
      <c r="AR1614" s="5">
        <f>VLOOKUP(Transaction[[#This Row],[Model No.]],$AV$2:$BD$100,7,TRUE)*Transaction[[#This Row],[Qty]]</f>
        <v>17.996000000000002</v>
      </c>
      <c r="AS1614">
        <v>1098</v>
      </c>
      <c r="AT1614">
        <v>1000</v>
      </c>
    </row>
    <row r="1615" spans="36:46" x14ac:dyDescent="0.3">
      <c r="AJ1615">
        <v>10487</v>
      </c>
      <c r="AK1615" s="30">
        <v>43600</v>
      </c>
      <c r="AL1615" t="s">
        <v>1390</v>
      </c>
      <c r="AM1615">
        <v>16</v>
      </c>
      <c r="AN1615" t="str">
        <f>VLOOKUP(Transaction[[#This Row],[Model No.]],$AV$2:$BD$100,2,TRUE)</f>
        <v>Hitachino Nest Red Rice Ale - 6 Pack</v>
      </c>
      <c r="AO1615" s="21">
        <f>VLOOKUP(Transaction[[#This Row],[Model No.]],$AV$2:$BD$100,6,TRUE)</f>
        <v>31.99</v>
      </c>
      <c r="AP1615" s="9">
        <v>1</v>
      </c>
      <c r="AQ1615" s="5">
        <f>Transaction[[#This Row],[Price]]*Transaction[[#This Row],[Qty]]</f>
        <v>31.99</v>
      </c>
      <c r="AR1615" s="5">
        <f>VLOOKUP(Transaction[[#This Row],[Model No.]],$AV$2:$BD$100,7,TRUE)*Transaction[[#This Row],[Qty]]</f>
        <v>9.5969999999999995</v>
      </c>
      <c r="AS1615">
        <v>1098</v>
      </c>
      <c r="AT1615">
        <v>1012</v>
      </c>
    </row>
    <row r="1616" spans="36:46" x14ac:dyDescent="0.3">
      <c r="AJ1616">
        <v>67916</v>
      </c>
      <c r="AK1616" s="30">
        <v>43601</v>
      </c>
      <c r="AL1616" t="s">
        <v>1246</v>
      </c>
      <c r="AM1616">
        <v>33</v>
      </c>
      <c r="AN1616" t="str">
        <f>VLOOKUP(Transaction[[#This Row],[Model No.]],$AV$2:$BD$100,2,TRUE)</f>
        <v>Saracina Unoaked Chardonnay</v>
      </c>
      <c r="AO1616" s="21">
        <f>VLOOKUP(Transaction[[#This Row],[Model No.]],$AV$2:$BD$100,6,TRUE)</f>
        <v>20.99</v>
      </c>
      <c r="AP1616" s="9">
        <v>4</v>
      </c>
      <c r="AQ1616" s="5">
        <f>Transaction[[#This Row],[Price]]*Transaction[[#This Row],[Qty]]</f>
        <v>83.96</v>
      </c>
      <c r="AR1616" s="5">
        <f>VLOOKUP(Transaction[[#This Row],[Model No.]],$AV$2:$BD$100,7,TRUE)*Transaction[[#This Row],[Qty]]</f>
        <v>16.791999999999998</v>
      </c>
      <c r="AS1616">
        <v>1104</v>
      </c>
      <c r="AT1616">
        <v>1020</v>
      </c>
    </row>
    <row r="1617" spans="36:46" x14ac:dyDescent="0.3">
      <c r="AJ1617">
        <v>30816</v>
      </c>
      <c r="AK1617" s="30">
        <v>43602</v>
      </c>
      <c r="AL1617" t="s">
        <v>1633</v>
      </c>
      <c r="AM1617">
        <v>49</v>
      </c>
      <c r="AN1617" t="str">
        <f>VLOOKUP(Transaction[[#This Row],[Model No.]],$AV$2:$BD$100,2,TRUE)</f>
        <v>Marchesi di Barolo Ruvei Barbera d'Alba</v>
      </c>
      <c r="AO1617" s="21">
        <f>VLOOKUP(Transaction[[#This Row],[Model No.]],$AV$2:$BD$100,6,TRUE)</f>
        <v>15.99</v>
      </c>
      <c r="AP1617" s="9">
        <v>2</v>
      </c>
      <c r="AQ1617" s="5">
        <f>Transaction[[#This Row],[Price]]*Transaction[[#This Row],[Qty]]</f>
        <v>31.98</v>
      </c>
      <c r="AR1617" s="5">
        <f>VLOOKUP(Transaction[[#This Row],[Model No.]],$AV$2:$BD$100,7,TRUE)*Transaction[[#This Row],[Qty]]</f>
        <v>3.1980000000000004</v>
      </c>
      <c r="AS1617">
        <v>1104</v>
      </c>
      <c r="AT1617">
        <v>1011</v>
      </c>
    </row>
    <row r="1618" spans="36:46" x14ac:dyDescent="0.3">
      <c r="AJ1618">
        <v>34983</v>
      </c>
      <c r="AK1618" s="30">
        <v>43602</v>
      </c>
      <c r="AL1618" t="s">
        <v>1462</v>
      </c>
      <c r="AM1618">
        <v>53</v>
      </c>
      <c r="AN1618" t="str">
        <f>VLOOKUP(Transaction[[#This Row],[Model No.]],$AV$2:$BD$100,2,TRUE)</f>
        <v>Ommegang Hennepin - 4 Pack</v>
      </c>
      <c r="AO1618" s="21">
        <f>VLOOKUP(Transaction[[#This Row],[Model No.]],$AV$2:$BD$100,6,TRUE)</f>
        <v>14.99</v>
      </c>
      <c r="AP1618" s="9">
        <v>5</v>
      </c>
      <c r="AQ1618" s="5">
        <f>Transaction[[#This Row],[Price]]*Transaction[[#This Row],[Qty]]</f>
        <v>74.95</v>
      </c>
      <c r="AR1618" s="5">
        <f>VLOOKUP(Transaction[[#This Row],[Model No.]],$AV$2:$BD$100,7,TRUE)*Transaction[[#This Row],[Qty]]</f>
        <v>22.484999999999999</v>
      </c>
      <c r="AS1618">
        <v>1106</v>
      </c>
      <c r="AT1618">
        <v>1008</v>
      </c>
    </row>
    <row r="1619" spans="36:46" x14ac:dyDescent="0.3">
      <c r="AJ1619">
        <v>64369</v>
      </c>
      <c r="AK1619" s="30">
        <v>43602</v>
      </c>
      <c r="AL1619" t="s">
        <v>1819</v>
      </c>
      <c r="AM1619">
        <v>68</v>
      </c>
      <c r="AN1619" t="str">
        <f>VLOOKUP(Transaction[[#This Row],[Model No.]],$AV$2:$BD$100,2,TRUE)</f>
        <v>Conti Beretta Estate Bottled Friuli Grave Pinot Grigio</v>
      </c>
      <c r="AO1619" s="21">
        <f>VLOOKUP(Transaction[[#This Row],[Model No.]],$AV$2:$BD$100,6,TRUE)</f>
        <v>12.99</v>
      </c>
      <c r="AP1619" s="9">
        <v>5</v>
      </c>
      <c r="AQ1619" s="5">
        <f>Transaction[[#This Row],[Price]]*Transaction[[#This Row],[Qty]]</f>
        <v>64.95</v>
      </c>
      <c r="AR1619" s="5">
        <f>VLOOKUP(Transaction[[#This Row],[Model No.]],$AV$2:$BD$100,7,TRUE)*Transaction[[#This Row],[Qty]]</f>
        <v>6.495000000000001</v>
      </c>
      <c r="AS1619">
        <v>1099</v>
      </c>
      <c r="AT1619">
        <v>1021</v>
      </c>
    </row>
    <row r="1620" spans="36:46" x14ac:dyDescent="0.3">
      <c r="AJ1620">
        <v>10086</v>
      </c>
      <c r="AK1620" s="30">
        <v>43603</v>
      </c>
      <c r="AL1620" t="s">
        <v>1476</v>
      </c>
      <c r="AM1620">
        <v>51</v>
      </c>
      <c r="AN1620" t="str">
        <f>VLOOKUP(Transaction[[#This Row],[Model No.]],$AV$2:$BD$100,2,TRUE)</f>
        <v>Waterbrook Cabernet Sauvignon</v>
      </c>
      <c r="AO1620" s="21">
        <f>VLOOKUP(Transaction[[#This Row],[Model No.]],$AV$2:$BD$100,6,TRUE)</f>
        <v>14.99</v>
      </c>
      <c r="AP1620" s="9">
        <v>4</v>
      </c>
      <c r="AQ1620" s="5">
        <f>Transaction[[#This Row],[Price]]*Transaction[[#This Row],[Qty]]</f>
        <v>59.96</v>
      </c>
      <c r="AR1620" s="5">
        <f>VLOOKUP(Transaction[[#This Row],[Model No.]],$AV$2:$BD$100,7,TRUE)*Transaction[[#This Row],[Qty]]</f>
        <v>5.9960000000000004</v>
      </c>
      <c r="AS1620">
        <v>1100</v>
      </c>
      <c r="AT1620">
        <v>1001</v>
      </c>
    </row>
    <row r="1621" spans="36:46" x14ac:dyDescent="0.3">
      <c r="AJ1621">
        <v>45046</v>
      </c>
      <c r="AK1621" s="30">
        <v>43605</v>
      </c>
      <c r="AL1621" t="s">
        <v>965</v>
      </c>
      <c r="AM1621">
        <v>4</v>
      </c>
      <c r="AN1621" t="str">
        <f>VLOOKUP(Transaction[[#This Row],[Model No.]],$AV$2:$BD$100,2,TRUE)</f>
        <v>Stags' Leap Winery Cabernet Sauvignon</v>
      </c>
      <c r="AO1621" s="21">
        <f>VLOOKUP(Transaction[[#This Row],[Model No.]],$AV$2:$BD$100,6,TRUE)</f>
        <v>54.99</v>
      </c>
      <c r="AP1621" s="9">
        <v>4</v>
      </c>
      <c r="AQ1621" s="5">
        <f>Transaction[[#This Row],[Price]]*Transaction[[#This Row],[Qty]]</f>
        <v>219.96</v>
      </c>
      <c r="AR1621" s="5">
        <f>VLOOKUP(Transaction[[#This Row],[Model No.]],$AV$2:$BD$100,7,TRUE)*Transaction[[#This Row],[Qty]]</f>
        <v>21.996000000000002</v>
      </c>
      <c r="AS1621">
        <v>1106</v>
      </c>
      <c r="AT1621">
        <v>1011</v>
      </c>
    </row>
    <row r="1622" spans="36:46" x14ac:dyDescent="0.3">
      <c r="AJ1622">
        <v>24670</v>
      </c>
      <c r="AK1622" s="30">
        <v>43605</v>
      </c>
      <c r="AL1622" t="s">
        <v>1808</v>
      </c>
      <c r="AM1622">
        <v>60</v>
      </c>
      <c r="AN1622" t="str">
        <f>VLOOKUP(Transaction[[#This Row],[Model No.]],$AV$2:$BD$100,2,TRUE)</f>
        <v>La Catrina Cabernet Sauvignon</v>
      </c>
      <c r="AO1622" s="21">
        <f>VLOOKUP(Transaction[[#This Row],[Model No.]],$AV$2:$BD$100,6,TRUE)</f>
        <v>12.99</v>
      </c>
      <c r="AP1622" s="9">
        <v>3</v>
      </c>
      <c r="AQ1622" s="5">
        <f>Transaction[[#This Row],[Price]]*Transaction[[#This Row],[Qty]]</f>
        <v>38.97</v>
      </c>
      <c r="AR1622" s="5">
        <f>VLOOKUP(Transaction[[#This Row],[Model No.]],$AV$2:$BD$100,7,TRUE)*Transaction[[#This Row],[Qty]]</f>
        <v>3.8970000000000002</v>
      </c>
      <c r="AS1622">
        <v>1104</v>
      </c>
      <c r="AT1622">
        <v>1004</v>
      </c>
    </row>
    <row r="1623" spans="36:46" x14ac:dyDescent="0.3">
      <c r="AJ1623">
        <v>21586</v>
      </c>
      <c r="AK1623" s="30">
        <v>43607</v>
      </c>
      <c r="AL1623" t="s">
        <v>619</v>
      </c>
      <c r="AM1623">
        <v>61</v>
      </c>
      <c r="AN1623" t="str">
        <f>VLOOKUP(Transaction[[#This Row],[Model No.]],$AV$2:$BD$100,2,TRUE)</f>
        <v>He'Brew Genesis Dry Hopped Session Ale - 6 Pack</v>
      </c>
      <c r="AO1623" s="21">
        <f>VLOOKUP(Transaction[[#This Row],[Model No.]],$AV$2:$BD$100,6,TRUE)</f>
        <v>12.99</v>
      </c>
      <c r="AP1623" s="9">
        <v>3</v>
      </c>
      <c r="AQ1623" s="5">
        <f>Transaction[[#This Row],[Price]]*Transaction[[#This Row],[Qty]]</f>
        <v>38.97</v>
      </c>
      <c r="AR1623" s="5">
        <f>VLOOKUP(Transaction[[#This Row],[Model No.]],$AV$2:$BD$100,7,TRUE)*Transaction[[#This Row],[Qty]]</f>
        <v>11.690999999999999</v>
      </c>
      <c r="AS1623">
        <v>1104</v>
      </c>
      <c r="AT1623">
        <v>1013</v>
      </c>
    </row>
    <row r="1624" spans="36:46" x14ac:dyDescent="0.3">
      <c r="AJ1624">
        <v>93964</v>
      </c>
      <c r="AK1624" s="30">
        <v>43610</v>
      </c>
      <c r="AL1624" t="s">
        <v>1234</v>
      </c>
      <c r="AM1624">
        <v>91</v>
      </c>
      <c r="AN1624" t="str">
        <f>VLOOKUP(Transaction[[#This Row],[Model No.]],$AV$2:$BD$100,2,TRUE)</f>
        <v>Rex Goliath Free Range Giant 47 Pound Rooster Merlot</v>
      </c>
      <c r="AO1624" s="21">
        <f>VLOOKUP(Transaction[[#This Row],[Model No.]],$AV$2:$BD$100,6,TRUE)</f>
        <v>7.79</v>
      </c>
      <c r="AP1624" s="9">
        <v>5</v>
      </c>
      <c r="AQ1624" s="5">
        <f>Transaction[[#This Row],[Price]]*Transaction[[#This Row],[Qty]]</f>
        <v>38.950000000000003</v>
      </c>
      <c r="AR1624" s="5">
        <f>VLOOKUP(Transaction[[#This Row],[Model No.]],$AV$2:$BD$100,7,TRUE)*Transaction[[#This Row],[Qty]]</f>
        <v>3.895</v>
      </c>
      <c r="AS1624">
        <v>1107</v>
      </c>
      <c r="AT1624">
        <v>1012</v>
      </c>
    </row>
    <row r="1625" spans="36:46" x14ac:dyDescent="0.3">
      <c r="AJ1625">
        <v>13360</v>
      </c>
      <c r="AK1625" s="30">
        <v>43612</v>
      </c>
      <c r="AL1625" t="s">
        <v>559</v>
      </c>
      <c r="AM1625">
        <v>91</v>
      </c>
      <c r="AN1625" t="str">
        <f>VLOOKUP(Transaction[[#This Row],[Model No.]],$AV$2:$BD$100,2,TRUE)</f>
        <v>Rex Goliath Free Range Giant 47 Pound Rooster Merlot</v>
      </c>
      <c r="AO1625" s="21">
        <f>VLOOKUP(Transaction[[#This Row],[Model No.]],$AV$2:$BD$100,6,TRUE)</f>
        <v>7.79</v>
      </c>
      <c r="AP1625" s="9">
        <v>5</v>
      </c>
      <c r="AQ1625" s="5">
        <f>Transaction[[#This Row],[Price]]*Transaction[[#This Row],[Qty]]</f>
        <v>38.950000000000003</v>
      </c>
      <c r="AR1625" s="5">
        <f>VLOOKUP(Transaction[[#This Row],[Model No.]],$AV$2:$BD$100,7,TRUE)*Transaction[[#This Row],[Qty]]</f>
        <v>3.895</v>
      </c>
      <c r="AS1625">
        <v>1102</v>
      </c>
      <c r="AT1625">
        <v>1008</v>
      </c>
    </row>
    <row r="1626" spans="36:46" x14ac:dyDescent="0.3">
      <c r="AJ1626">
        <v>62989</v>
      </c>
      <c r="AK1626" s="30">
        <v>43613</v>
      </c>
      <c r="AL1626" t="s">
        <v>1217</v>
      </c>
      <c r="AM1626">
        <v>33</v>
      </c>
      <c r="AN1626" t="str">
        <f>VLOOKUP(Transaction[[#This Row],[Model No.]],$AV$2:$BD$100,2,TRUE)</f>
        <v>Saracina Unoaked Chardonnay</v>
      </c>
      <c r="AO1626" s="21">
        <f>VLOOKUP(Transaction[[#This Row],[Model No.]],$AV$2:$BD$100,6,TRUE)</f>
        <v>20.99</v>
      </c>
      <c r="AP1626" s="9">
        <v>2</v>
      </c>
      <c r="AQ1626" s="5">
        <f>Transaction[[#This Row],[Price]]*Transaction[[#This Row],[Qty]]</f>
        <v>41.98</v>
      </c>
      <c r="AR1626" s="5">
        <f>VLOOKUP(Transaction[[#This Row],[Model No.]],$AV$2:$BD$100,7,TRUE)*Transaction[[#This Row],[Qty]]</f>
        <v>8.395999999999999</v>
      </c>
      <c r="AS1626">
        <v>1107</v>
      </c>
      <c r="AT1626">
        <v>1003</v>
      </c>
    </row>
    <row r="1627" spans="36:46" x14ac:dyDescent="0.3">
      <c r="AJ1627">
        <v>48280</v>
      </c>
      <c r="AK1627" s="30">
        <v>43614</v>
      </c>
      <c r="AL1627" t="s">
        <v>593</v>
      </c>
      <c r="AM1627">
        <v>30</v>
      </c>
      <c r="AN1627" t="str">
        <f>VLOOKUP(Transaction[[#This Row],[Model No.]],$AV$2:$BD$100,2,TRUE)</f>
        <v>Kahlua Cinnamon Spice Liqueur</v>
      </c>
      <c r="AO1627" s="21">
        <f>VLOOKUP(Transaction[[#This Row],[Model No.]],$AV$2:$BD$100,6,TRUE)</f>
        <v>22.99</v>
      </c>
      <c r="AP1627" s="9">
        <v>5</v>
      </c>
      <c r="AQ1627" s="5">
        <f>Transaction[[#This Row],[Price]]*Transaction[[#This Row],[Qty]]</f>
        <v>114.94999999999999</v>
      </c>
      <c r="AR1627" s="5">
        <f>VLOOKUP(Transaction[[#This Row],[Model No.]],$AV$2:$BD$100,7,TRUE)*Transaction[[#This Row],[Qty]]</f>
        <v>34.484999999999999</v>
      </c>
      <c r="AS1627">
        <v>1102</v>
      </c>
      <c r="AT1627">
        <v>1005</v>
      </c>
    </row>
    <row r="1628" spans="36:46" x14ac:dyDescent="0.3">
      <c r="AJ1628">
        <v>29610</v>
      </c>
      <c r="AK1628" s="30">
        <v>43614</v>
      </c>
      <c r="AL1628" t="s">
        <v>349</v>
      </c>
      <c r="AM1628">
        <v>44</v>
      </c>
      <c r="AN1628" t="str">
        <f>VLOOKUP(Transaction[[#This Row],[Model No.]],$AV$2:$BD$100,2,TRUE)</f>
        <v>Brasserie de Silly Saison - 4 Pack</v>
      </c>
      <c r="AO1628" s="21">
        <f>VLOOKUP(Transaction[[#This Row],[Model No.]],$AV$2:$BD$100,6,TRUE)</f>
        <v>16.989999999999998</v>
      </c>
      <c r="AP1628" s="9">
        <v>3</v>
      </c>
      <c r="AQ1628" s="5">
        <f>Transaction[[#This Row],[Price]]*Transaction[[#This Row],[Qty]]</f>
        <v>50.97</v>
      </c>
      <c r="AR1628" s="5">
        <f>VLOOKUP(Transaction[[#This Row],[Model No.]],$AV$2:$BD$100,7,TRUE)*Transaction[[#This Row],[Qty]]</f>
        <v>15.290999999999999</v>
      </c>
      <c r="AS1628">
        <v>1098</v>
      </c>
      <c r="AT1628">
        <v>1013</v>
      </c>
    </row>
    <row r="1629" spans="36:46" x14ac:dyDescent="0.3">
      <c r="AJ1629">
        <v>66499</v>
      </c>
      <c r="AK1629" s="30">
        <v>43614</v>
      </c>
      <c r="AL1629" t="s">
        <v>1776</v>
      </c>
      <c r="AM1629">
        <v>46</v>
      </c>
      <c r="AN1629" t="str">
        <f>VLOOKUP(Transaction[[#This Row],[Model No.]],$AV$2:$BD$100,2,TRUE)</f>
        <v>Label 5 Classic Black Blended Scotch Whisky</v>
      </c>
      <c r="AO1629" s="21">
        <f>VLOOKUP(Transaction[[#This Row],[Model No.]],$AV$2:$BD$100,6,TRUE)</f>
        <v>15.99</v>
      </c>
      <c r="AP1629" s="9">
        <v>1</v>
      </c>
      <c r="AQ1629" s="5">
        <f>Transaction[[#This Row],[Price]]*Transaction[[#This Row],[Qty]]</f>
        <v>15.99</v>
      </c>
      <c r="AR1629" s="5">
        <f>VLOOKUP(Transaction[[#This Row],[Model No.]],$AV$2:$BD$100,7,TRUE)*Transaction[[#This Row],[Qty]]</f>
        <v>3.1980000000000004</v>
      </c>
      <c r="AS1629">
        <v>1107</v>
      </c>
      <c r="AT1629">
        <v>1000</v>
      </c>
    </row>
    <row r="1630" spans="36:46" x14ac:dyDescent="0.3">
      <c r="AJ1630">
        <v>24103</v>
      </c>
      <c r="AK1630" s="30">
        <v>43614</v>
      </c>
      <c r="AL1630" t="s">
        <v>1562</v>
      </c>
      <c r="AM1630">
        <v>73</v>
      </c>
      <c r="AN1630" t="str">
        <f>VLOOKUP(Transaction[[#This Row],[Model No.]],$AV$2:$BD$100,2,TRUE)</f>
        <v>Schlafly Oktoberfest - 6 Pack</v>
      </c>
      <c r="AO1630" s="21">
        <f>VLOOKUP(Transaction[[#This Row],[Model No.]],$AV$2:$BD$100,6,TRUE)</f>
        <v>11.99</v>
      </c>
      <c r="AP1630" s="9">
        <v>5</v>
      </c>
      <c r="AQ1630" s="5">
        <f>Transaction[[#This Row],[Price]]*Transaction[[#This Row],[Qty]]</f>
        <v>59.95</v>
      </c>
      <c r="AR1630" s="5">
        <f>VLOOKUP(Transaction[[#This Row],[Model No.]],$AV$2:$BD$100,7,TRUE)*Transaction[[#This Row],[Qty]]</f>
        <v>17.984999999999999</v>
      </c>
      <c r="AS1630">
        <v>1098</v>
      </c>
      <c r="AT1630">
        <v>1005</v>
      </c>
    </row>
    <row r="1631" spans="36:46" x14ac:dyDescent="0.3">
      <c r="AJ1631">
        <v>99550</v>
      </c>
      <c r="AK1631" s="30">
        <v>43614</v>
      </c>
      <c r="AL1631" t="s">
        <v>1348</v>
      </c>
      <c r="AM1631">
        <v>90</v>
      </c>
      <c r="AN1631" t="str">
        <f>VLOOKUP(Transaction[[#This Row],[Model No.]],$AV$2:$BD$100,2,TRUE)</f>
        <v>Carlo Rossi Moscato Sangria Muscat Blanc a Petits Grains</v>
      </c>
      <c r="AO1631" s="21">
        <f>VLOOKUP(Transaction[[#This Row],[Model No.]],$AV$2:$BD$100,6,TRUE)</f>
        <v>7.99</v>
      </c>
      <c r="AP1631" s="9">
        <v>5</v>
      </c>
      <c r="AQ1631" s="5">
        <f>Transaction[[#This Row],[Price]]*Transaction[[#This Row],[Qty]]</f>
        <v>39.950000000000003</v>
      </c>
      <c r="AR1631" s="5">
        <f>VLOOKUP(Transaction[[#This Row],[Model No.]],$AV$2:$BD$100,7,TRUE)*Transaction[[#This Row],[Qty]]</f>
        <v>7.99</v>
      </c>
      <c r="AS1631">
        <v>1102</v>
      </c>
      <c r="AT1631">
        <v>1012</v>
      </c>
    </row>
    <row r="1632" spans="36:46" x14ac:dyDescent="0.3">
      <c r="AJ1632">
        <v>99112</v>
      </c>
      <c r="AK1632" s="30">
        <v>43615</v>
      </c>
      <c r="AL1632" s="25" t="s">
        <v>1474</v>
      </c>
      <c r="AM1632">
        <v>8</v>
      </c>
      <c r="AN1632" s="25" t="str">
        <f>VLOOKUP(Transaction[[#This Row],[Model No.]],$AV$2:$BD$100,2,TRUE)</f>
        <v>Roco Marsh Estate Vineyard Pinot Noir</v>
      </c>
      <c r="AO1632" s="21">
        <f>VLOOKUP(Transaction[[#This Row],[Model No.]],$AV$2:$BD$100,6,TRUE)</f>
        <v>44.99</v>
      </c>
      <c r="AP1632" s="9">
        <v>1</v>
      </c>
      <c r="AQ1632" s="5">
        <f>Transaction[[#This Row],[Price]]*Transaction[[#This Row],[Qty]]</f>
        <v>44.99</v>
      </c>
      <c r="AR1632" s="5">
        <f>VLOOKUP(Transaction[[#This Row],[Model No.]],$AV$2:$BD$100,7,TRUE)*Transaction[[#This Row],[Qty]]</f>
        <v>4.4990000000000006</v>
      </c>
      <c r="AS1632">
        <v>1108</v>
      </c>
      <c r="AT1632">
        <v>1019</v>
      </c>
    </row>
    <row r="1633" spans="36:46" x14ac:dyDescent="0.3">
      <c r="AJ1633">
        <v>13622</v>
      </c>
      <c r="AK1633" s="30">
        <v>43615</v>
      </c>
      <c r="AL1633" s="25" t="s">
        <v>1401</v>
      </c>
      <c r="AM1633">
        <v>93</v>
      </c>
      <c r="AN1633" s="25" t="str">
        <f>VLOOKUP(Transaction[[#This Row],[Model No.]],$AV$2:$BD$100,2,TRUE)</f>
        <v>Beringer Vineyards Stone Cellars Shiraz</v>
      </c>
      <c r="AO1633" s="21">
        <f>VLOOKUP(Transaction[[#This Row],[Model No.]],$AV$2:$BD$100,6,TRUE)</f>
        <v>7.49</v>
      </c>
      <c r="AP1633" s="9">
        <v>2</v>
      </c>
      <c r="AQ1633" s="5">
        <f>Transaction[[#This Row],[Price]]*Transaction[[#This Row],[Qty]]</f>
        <v>14.98</v>
      </c>
      <c r="AR1633" s="5">
        <f>VLOOKUP(Transaction[[#This Row],[Model No.]],$AV$2:$BD$100,7,TRUE)*Transaction[[#This Row],[Qty]]</f>
        <v>1.4980000000000002</v>
      </c>
      <c r="AS1633">
        <v>1102</v>
      </c>
      <c r="AT1633">
        <v>1000</v>
      </c>
    </row>
    <row r="1634" spans="36:46" x14ac:dyDescent="0.3">
      <c r="AJ1634" s="25">
        <v>13388</v>
      </c>
      <c r="AK1634" s="30">
        <v>43585</v>
      </c>
      <c r="AL1634" s="19">
        <v>0.47153935185185186</v>
      </c>
      <c r="AM1634" s="25">
        <v>1</v>
      </c>
      <c r="AN1634" s="19" t="s">
        <v>177</v>
      </c>
      <c r="AO1634" s="21">
        <v>36.99</v>
      </c>
      <c r="AP1634" s="9">
        <v>1</v>
      </c>
      <c r="AQ1634" s="5">
        <f>Transaction[[#This Row],[Price]]*Transaction[[#This Row],[Qty]]</f>
        <v>36.99</v>
      </c>
      <c r="AR1634" s="24">
        <f>VLOOKUP(Transaction[[#This Row],[Model No.]],$AV$2:$BD$100,7,TRUE)*Transaction[[#This Row],[Qty]]</f>
        <v>97.796999999999997</v>
      </c>
      <c r="AS1634" s="25">
        <v>1103</v>
      </c>
      <c r="AT1634" s="25" t="s">
        <v>1995</v>
      </c>
    </row>
  </sheetData>
  <mergeCells count="1">
    <mergeCell ref="AJ1:AK1"/>
  </mergeCells>
  <conditionalFormatting sqref="L3:L23">
    <cfRule type="colorScale" priority="2">
      <colorScale>
        <cfvo type="min"/>
        <cfvo type="max"/>
        <color rgb="FFFFEF9C"/>
        <color rgb="FF63BE7B"/>
      </colorScale>
    </cfRule>
  </conditionalFormatting>
  <conditionalFormatting sqref="X3:X13">
    <cfRule type="colorScale" priority="4">
      <colorScale>
        <cfvo type="min"/>
        <cfvo type="max"/>
        <color rgb="FFFFEF9C"/>
        <color rgb="FF63BE7B"/>
      </colorScale>
    </cfRule>
  </conditionalFormatting>
  <hyperlinks>
    <hyperlink ref="AD21" r:id="rId1" xr:uid="{A16ECA2F-3158-41C8-89A0-6E9DA865AE2A}"/>
  </hyperlinks>
  <pageMargins left="0.7" right="0.7" top="0.75" bottom="0.75" header="0.3" footer="0.3"/>
  <pageSetup orientation="portrait"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10155-E39E-4AFF-88A6-F853E5D6618C}">
  <sheetPr codeName="Sheet7"/>
  <dimension ref="A1:K31"/>
  <sheetViews>
    <sheetView workbookViewId="0">
      <selection activeCell="A8" sqref="A8:D9"/>
    </sheetView>
  </sheetViews>
  <sheetFormatPr defaultRowHeight="14.4" x14ac:dyDescent="0.3"/>
  <cols>
    <col min="9" max="9" width="88.3984375" bestFit="1" customWidth="1"/>
    <col min="10" max="10" width="8.3984375" style="6" customWidth="1"/>
    <col min="11" max="11" width="56.8984375" bestFit="1" customWidth="1"/>
  </cols>
  <sheetData>
    <row r="1" spans="1:11" ht="15" customHeight="1" x14ac:dyDescent="0.3">
      <c r="A1" s="44" t="s">
        <v>0</v>
      </c>
      <c r="B1" s="44"/>
      <c r="C1" s="44"/>
      <c r="D1" s="44"/>
      <c r="E1" s="44"/>
      <c r="F1" s="44"/>
      <c r="G1" s="2"/>
      <c r="H1" s="2"/>
      <c r="I1" t="s">
        <v>36</v>
      </c>
      <c r="J1" s="6" t="s">
        <v>1924</v>
      </c>
      <c r="K1" t="s">
        <v>251</v>
      </c>
    </row>
    <row r="2" spans="1:11" x14ac:dyDescent="0.3">
      <c r="A2" s="44"/>
      <c r="B2" s="44"/>
      <c r="C2" s="44"/>
      <c r="D2" s="44"/>
      <c r="E2" s="44"/>
      <c r="F2" s="44"/>
      <c r="G2" s="2"/>
      <c r="H2" s="2"/>
      <c r="I2" t="s">
        <v>41</v>
      </c>
      <c r="J2" s="6" t="s">
        <v>52</v>
      </c>
    </row>
    <row r="3" spans="1:11" x14ac:dyDescent="0.3">
      <c r="A3" s="44"/>
      <c r="B3" s="44"/>
      <c r="C3" s="44"/>
      <c r="D3" s="44"/>
      <c r="E3" s="44"/>
      <c r="F3" s="44"/>
      <c r="G3" s="2"/>
      <c r="H3" s="2"/>
      <c r="I3" t="s">
        <v>45</v>
      </c>
      <c r="J3" s="6" t="s">
        <v>52</v>
      </c>
    </row>
    <row r="4" spans="1:11" x14ac:dyDescent="0.3">
      <c r="A4" s="44"/>
      <c r="B4" s="44"/>
      <c r="C4" s="44"/>
      <c r="D4" s="44"/>
      <c r="E4" s="44"/>
      <c r="F4" s="44"/>
      <c r="G4" s="2"/>
      <c r="H4" s="2"/>
      <c r="I4" t="s">
        <v>47</v>
      </c>
      <c r="J4" s="6" t="s">
        <v>52</v>
      </c>
      <c r="K4" t="s">
        <v>56</v>
      </c>
    </row>
    <row r="5" spans="1:11" x14ac:dyDescent="0.3">
      <c r="A5" s="44"/>
      <c r="B5" s="44"/>
      <c r="C5" s="44"/>
      <c r="D5" s="44"/>
      <c r="E5" s="44"/>
      <c r="F5" s="44"/>
      <c r="G5" s="2"/>
      <c r="H5" s="2"/>
      <c r="I5" t="s">
        <v>49</v>
      </c>
      <c r="J5" s="6" t="s">
        <v>52</v>
      </c>
      <c r="K5" t="s">
        <v>56</v>
      </c>
    </row>
    <row r="6" spans="1:11" x14ac:dyDescent="0.3">
      <c r="A6" s="44"/>
      <c r="B6" s="44"/>
      <c r="C6" s="44"/>
      <c r="D6" s="44"/>
      <c r="E6" s="44"/>
      <c r="F6" s="44"/>
      <c r="G6" s="2"/>
      <c r="H6" s="2"/>
      <c r="I6" t="s">
        <v>50</v>
      </c>
      <c r="J6" s="6" t="s">
        <v>52</v>
      </c>
      <c r="K6" t="s">
        <v>56</v>
      </c>
    </row>
    <row r="7" spans="1:11" x14ac:dyDescent="0.3">
      <c r="A7" s="2"/>
      <c r="B7" s="2"/>
      <c r="C7" s="2"/>
      <c r="D7" s="2"/>
      <c r="E7" s="2"/>
      <c r="F7" s="2"/>
      <c r="G7" s="2"/>
      <c r="H7" s="2"/>
      <c r="I7" t="s">
        <v>51</v>
      </c>
      <c r="J7" s="6" t="s">
        <v>52</v>
      </c>
      <c r="K7" t="s">
        <v>57</v>
      </c>
    </row>
    <row r="8" spans="1:11" x14ac:dyDescent="0.3">
      <c r="A8" s="2" t="s">
        <v>1</v>
      </c>
      <c r="B8" s="35" t="s">
        <v>2</v>
      </c>
      <c r="C8" s="35"/>
      <c r="D8" s="34">
        <v>23543295</v>
      </c>
      <c r="E8" s="2"/>
      <c r="F8" s="2"/>
      <c r="G8" s="2"/>
      <c r="H8" s="2"/>
      <c r="I8" t="s">
        <v>39</v>
      </c>
      <c r="J8" s="6" t="s">
        <v>52</v>
      </c>
      <c r="K8" t="s">
        <v>62</v>
      </c>
    </row>
    <row r="9" spans="1:11" x14ac:dyDescent="0.3">
      <c r="A9" s="2"/>
      <c r="B9" s="35" t="s">
        <v>2028</v>
      </c>
      <c r="C9" s="35"/>
      <c r="D9" s="34">
        <v>23658292</v>
      </c>
      <c r="E9" s="2"/>
      <c r="F9" s="2"/>
      <c r="G9" s="2"/>
      <c r="H9" s="2"/>
      <c r="I9" t="s">
        <v>37</v>
      </c>
      <c r="J9" s="6" t="s">
        <v>52</v>
      </c>
    </row>
    <row r="10" spans="1:11" x14ac:dyDescent="0.3">
      <c r="A10" s="2"/>
      <c r="B10" s="2"/>
      <c r="C10" s="2"/>
      <c r="D10" s="2"/>
      <c r="E10" s="2"/>
      <c r="F10" s="2"/>
      <c r="G10" s="2"/>
      <c r="H10" s="2"/>
      <c r="I10" t="s">
        <v>38</v>
      </c>
      <c r="K10" t="s">
        <v>61</v>
      </c>
    </row>
    <row r="11" spans="1:11" x14ac:dyDescent="0.3">
      <c r="A11" s="2"/>
      <c r="B11" s="2"/>
      <c r="C11" s="2"/>
      <c r="D11" s="2"/>
      <c r="E11" s="2"/>
      <c r="F11" s="2"/>
      <c r="G11" s="2"/>
      <c r="H11" s="2"/>
      <c r="I11" t="s">
        <v>40</v>
      </c>
      <c r="K11" t="s">
        <v>63</v>
      </c>
    </row>
    <row r="12" spans="1:11" x14ac:dyDescent="0.3">
      <c r="A12" s="2"/>
      <c r="B12" s="2"/>
      <c r="C12" s="2"/>
      <c r="D12" s="2"/>
      <c r="E12" s="2"/>
      <c r="F12" s="2"/>
      <c r="G12" s="2"/>
      <c r="H12" s="2"/>
      <c r="I12" t="s">
        <v>42</v>
      </c>
      <c r="J12" s="6" t="s">
        <v>52</v>
      </c>
      <c r="K12" t="s">
        <v>53</v>
      </c>
    </row>
    <row r="13" spans="1:11" x14ac:dyDescent="0.3">
      <c r="A13" s="2"/>
      <c r="B13" s="2"/>
      <c r="C13" s="2"/>
      <c r="D13" s="2"/>
      <c r="E13" s="2"/>
      <c r="F13" s="2"/>
      <c r="G13" s="2"/>
      <c r="H13" s="2"/>
      <c r="I13" t="s">
        <v>43</v>
      </c>
    </row>
    <row r="14" spans="1:11" x14ac:dyDescent="0.3">
      <c r="A14" s="2"/>
      <c r="B14" s="2"/>
      <c r="C14" s="2"/>
      <c r="D14" s="2"/>
      <c r="E14" s="2"/>
      <c r="F14" s="2"/>
      <c r="G14" s="2"/>
      <c r="H14" s="2"/>
      <c r="I14" t="s">
        <v>44</v>
      </c>
    </row>
    <row r="15" spans="1:11" x14ac:dyDescent="0.3">
      <c r="I15" t="s">
        <v>46</v>
      </c>
      <c r="J15" s="6" t="s">
        <v>52</v>
      </c>
      <c r="K15" t="s">
        <v>54</v>
      </c>
    </row>
    <row r="16" spans="1:11" x14ac:dyDescent="0.3">
      <c r="I16" t="s">
        <v>48</v>
      </c>
      <c r="J16" s="6" t="s">
        <v>52</v>
      </c>
      <c r="K16" t="s">
        <v>55</v>
      </c>
    </row>
    <row r="17" spans="9:11" x14ac:dyDescent="0.3">
      <c r="I17" s="11"/>
      <c r="J17" s="12" t="s">
        <v>1924</v>
      </c>
      <c r="K17" s="11"/>
    </row>
    <row r="18" spans="9:11" x14ac:dyDescent="0.3">
      <c r="I18" t="s">
        <v>1920</v>
      </c>
    </row>
    <row r="19" spans="9:11" x14ac:dyDescent="0.3">
      <c r="I19" t="s">
        <v>1978</v>
      </c>
      <c r="J19" s="6" t="s">
        <v>52</v>
      </c>
    </row>
    <row r="20" spans="9:11" x14ac:dyDescent="0.3">
      <c r="I20" t="s">
        <v>34</v>
      </c>
      <c r="J20" s="6" t="s">
        <v>52</v>
      </c>
      <c r="K20" t="s">
        <v>1925</v>
      </c>
    </row>
    <row r="21" spans="9:11" x14ac:dyDescent="0.3">
      <c r="I21" t="s">
        <v>1921</v>
      </c>
      <c r="J21" s="6" t="s">
        <v>52</v>
      </c>
      <c r="K21" t="s">
        <v>1926</v>
      </c>
    </row>
    <row r="22" spans="9:11" x14ac:dyDescent="0.3">
      <c r="I22" t="s">
        <v>59</v>
      </c>
      <c r="J22" s="6" t="s">
        <v>52</v>
      </c>
      <c r="K22" s="17" t="s">
        <v>1983</v>
      </c>
    </row>
    <row r="23" spans="9:11" x14ac:dyDescent="0.3">
      <c r="I23" t="s">
        <v>1922</v>
      </c>
    </row>
    <row r="24" spans="9:11" x14ac:dyDescent="0.3">
      <c r="I24" t="s">
        <v>1923</v>
      </c>
      <c r="J24" s="6" t="s">
        <v>52</v>
      </c>
      <c r="K24" t="s">
        <v>1927</v>
      </c>
    </row>
    <row r="25" spans="9:11" ht="13.55" customHeight="1" x14ac:dyDescent="0.3"/>
    <row r="31" spans="9:11" x14ac:dyDescent="0.3">
      <c r="I31" s="13"/>
    </row>
  </sheetData>
  <mergeCells count="3">
    <mergeCell ref="A1:F6"/>
    <mergeCell ref="B8:C8"/>
    <mergeCell ref="B9:C9"/>
  </mergeCells>
  <hyperlinks>
    <hyperlink ref="K22" r:id="rId1" xr:uid="{9738DA6C-4555-4907-A6D5-4E9401996540}"/>
  </hyperlink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B4CB6A-D890-4097-AC3D-D054A1BC4F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 Menu</vt:lpstr>
      <vt:lpstr>Customer Look up</vt:lpstr>
      <vt:lpstr>POS</vt:lpstr>
      <vt:lpstr>Inventory</vt:lpstr>
      <vt:lpstr>Sales Manager</vt:lpstr>
      <vt:lpstr>Inventory prediction</vt:lpstr>
      <vt:lpstr>Data</vt:lpstr>
      <vt:lpstr>Requirements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Naeem</dc:creator>
  <cp:lastModifiedBy>Naeem</cp:lastModifiedBy>
  <dcterms:created xsi:type="dcterms:W3CDTF">2019-04-28T23:37:24Z</dcterms:created>
  <dcterms:modified xsi:type="dcterms:W3CDTF">2019-05-31T14:21:36Z</dcterms:modified>
</cp:coreProperties>
</file>