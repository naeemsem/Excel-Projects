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hidePivotFieldList="1" defaultThemeVersion="166925"/>
  <mc:AlternateContent xmlns:mc="http://schemas.openxmlformats.org/markup-compatibility/2006">
    <mc:Choice Requires="x15">
      <x15ac:absPath xmlns:x15ac="http://schemas.microsoft.com/office/spreadsheetml/2010/11/ac" url="C:\Users\naeems\Google Drive\4th spring\"/>
    </mc:Choice>
  </mc:AlternateContent>
  <xr:revisionPtr revIDLastSave="0" documentId="13_ncr:1_{1EAE5355-D35A-4492-A698-4488799BBE9D}" xr6:coauthVersionLast="43" xr6:coauthVersionMax="43" xr10:uidLastSave="{00000000-0000-0000-0000-000000000000}"/>
  <bookViews>
    <workbookView xWindow="-104" yWindow="-104" windowWidth="22326" windowHeight="12200" firstSheet="5" activeTab="9" xr2:uid="{9D21AC86-1FEB-4594-8476-7D472E1BE1A7}"/>
  </bookViews>
  <sheets>
    <sheet name="Cover Page" sheetId="1" r:id="rId1"/>
    <sheet name="Dashboard" sheetId="5" r:id="rId2"/>
    <sheet name="Pivot Table" sheetId="8" r:id="rId3"/>
    <sheet name="Grade Curving" sheetId="10" r:id="rId4"/>
    <sheet name="Scenario Summary" sheetId="14" r:id="rId5"/>
    <sheet name="Advanced Filtering " sheetId="6" r:id="rId6"/>
    <sheet name="Teacher Bonus Data Table" sheetId="15" r:id="rId7"/>
    <sheet name="Grade Book" sheetId="4" r:id="rId8"/>
    <sheet name="Data for Charts" sheetId="7" r:id="rId9"/>
    <sheet name="Data" sheetId="11" r:id="rId10"/>
  </sheets>
  <definedNames>
    <definedName name="_xlnm._FilterDatabase" localSheetId="5" hidden="1">'Advanced Filtering '!$A$9:$S$123</definedName>
    <definedName name="_xlchart.v1.0" hidden="1">'Data for Charts'!$Q$5</definedName>
    <definedName name="_xlchart.v1.1" hidden="1">'Data for Charts'!$Q$5:$Q$29</definedName>
    <definedName name="_xlchart.v1.2" hidden="1">'Data for Charts'!$Q$6:$Q$35</definedName>
    <definedName name="_xlchart.v1.3" hidden="1">'Data for Charts'!$Q$5</definedName>
    <definedName name="_xlchart.v1.4" hidden="1">'Data for Charts'!$Q$5:$Q$29</definedName>
    <definedName name="_xlchart.v1.5" hidden="1">'Data for Charts'!$Q$6:$Q$30</definedName>
    <definedName name="_xlnm.Criteria" localSheetId="5">'Advanced Filtering '!$A$1:$S$2</definedName>
    <definedName name="ExternalData_1" localSheetId="8" hidden="1">'Data for Charts'!$A$5:$S$35</definedName>
    <definedName name="ExternalData_1" localSheetId="3" hidden="1">'Grade Curving'!$A$7:$B$32</definedName>
    <definedName name="P1MTH101">Grades[Last]</definedName>
    <definedName name="P2MTH101">'Grade Book'!$C$40:$C$69</definedName>
    <definedName name="p3MTH102">Grades3[Last]</definedName>
    <definedName name="P4MTH204">Grades4[Last]</definedName>
    <definedName name="Slicer_Class">#N/A</definedName>
  </definedNames>
  <calcPr calcId="191029"/>
  <pivotCaches>
    <pivotCache cacheId="67"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 i="15" l="1"/>
  <c r="C6" i="15" s="1"/>
  <c r="C7" i="15" s="1"/>
  <c r="C8" i="15" s="1"/>
  <c r="G11" i="15" s="1"/>
  <c r="C8" i="10"/>
  <c r="D8" i="10" s="1"/>
  <c r="C9" i="10"/>
  <c r="C10" i="10"/>
  <c r="D10" i="10" s="1"/>
  <c r="C11" i="10"/>
  <c r="D11" i="10" s="1"/>
  <c r="C12" i="10"/>
  <c r="C13" i="10"/>
  <c r="D13" i="10" s="1"/>
  <c r="C14" i="10"/>
  <c r="D14" i="10" s="1"/>
  <c r="C15" i="10"/>
  <c r="D15" i="10" s="1"/>
  <c r="C16" i="10"/>
  <c r="D16" i="10" s="1"/>
  <c r="C17" i="10"/>
  <c r="D17" i="10" s="1"/>
  <c r="C18" i="10"/>
  <c r="D18" i="10" s="1"/>
  <c r="C19" i="10"/>
  <c r="D19" i="10" s="1"/>
  <c r="C20" i="10"/>
  <c r="C21" i="10"/>
  <c r="D21" i="10" s="1"/>
  <c r="C22" i="10"/>
  <c r="D22" i="10" s="1"/>
  <c r="C23" i="10"/>
  <c r="D23" i="10" s="1"/>
  <c r="C24" i="10"/>
  <c r="D24" i="10" s="1"/>
  <c r="C25" i="10"/>
  <c r="D25" i="10" s="1"/>
  <c r="C26" i="10"/>
  <c r="D26" i="10" s="1"/>
  <c r="C27" i="10"/>
  <c r="D27" i="10" s="1"/>
  <c r="C28" i="10"/>
  <c r="D28" i="10" s="1"/>
  <c r="C29" i="10"/>
  <c r="D29" i="10" s="1"/>
  <c r="C30" i="10"/>
  <c r="D30" i="10" s="1"/>
  <c r="C31" i="10"/>
  <c r="D31" i="10" s="1"/>
  <c r="C32" i="10"/>
  <c r="D32" i="10" s="1"/>
  <c r="D9" i="10"/>
  <c r="D12" i="10"/>
  <c r="D20" i="10"/>
  <c r="T6" i="7"/>
  <c r="T7" i="7"/>
  <c r="T8" i="7"/>
  <c r="T9" i="7"/>
  <c r="T10" i="7"/>
  <c r="T11" i="7"/>
  <c r="T12" i="7"/>
  <c r="T13" i="7"/>
  <c r="T14" i="7"/>
  <c r="T15" i="7"/>
  <c r="T16" i="7"/>
  <c r="T17" i="7"/>
  <c r="T18" i="7"/>
  <c r="T19" i="7"/>
  <c r="T20" i="7"/>
  <c r="T21" i="7"/>
  <c r="T22" i="7"/>
  <c r="T23" i="7"/>
  <c r="T24" i="7"/>
  <c r="T25" i="7"/>
  <c r="T26" i="7"/>
  <c r="T27" i="7"/>
  <c r="T28" i="7"/>
  <c r="T29" i="7"/>
  <c r="T30" i="7"/>
  <c r="T31" i="7"/>
  <c r="T32" i="7"/>
  <c r="T33" i="7"/>
  <c r="T34" i="7"/>
  <c r="T35" i="7"/>
  <c r="O1" i="1"/>
  <c r="C9" i="14"/>
  <c r="C10" i="14"/>
  <c r="C11" i="14"/>
  <c r="C12" i="14"/>
  <c r="C13" i="14"/>
  <c r="C14" i="14"/>
  <c r="C15" i="14"/>
  <c r="C16" i="14"/>
  <c r="C17" i="14"/>
  <c r="C18" i="14"/>
  <c r="C19" i="14"/>
  <c r="C20" i="14"/>
  <c r="C21" i="14"/>
  <c r="C22" i="14"/>
  <c r="C23" i="14"/>
  <c r="C24" i="14"/>
  <c r="C25" i="14"/>
  <c r="C26" i="14"/>
  <c r="C27" i="14"/>
  <c r="C28" i="14"/>
  <c r="C29" i="14"/>
  <c r="C30" i="14"/>
  <c r="C31" i="14"/>
  <c r="C32" i="14"/>
  <c r="C8" i="14"/>
  <c r="AM1" i="4"/>
  <c r="J6" i="10" l="1"/>
  <c r="J5" i="10"/>
  <c r="W6" i="7"/>
  <c r="W10" i="7"/>
  <c r="W11" i="7"/>
  <c r="W12" i="7"/>
  <c r="W13" i="7"/>
  <c r="W14" i="7"/>
  <c r="W15" i="7"/>
  <c r="W16" i="7"/>
  <c r="W17" i="7"/>
  <c r="W18" i="7"/>
  <c r="W9" i="7"/>
  <c r="Q4" i="6"/>
  <c r="S8" i="6"/>
  <c r="E6" i="6"/>
  <c r="F6" i="6"/>
  <c r="G6" i="6"/>
  <c r="H6" i="6"/>
  <c r="I6" i="6"/>
  <c r="J6" i="6"/>
  <c r="K6" i="6"/>
  <c r="L6" i="6"/>
  <c r="M6" i="6"/>
  <c r="N6" i="6"/>
  <c r="O6" i="6"/>
  <c r="P6" i="6"/>
  <c r="Q6" i="6"/>
  <c r="D6" i="6"/>
  <c r="E5" i="6"/>
  <c r="F5" i="6"/>
  <c r="G5" i="6"/>
  <c r="H5" i="6"/>
  <c r="I5" i="6"/>
  <c r="J5" i="6"/>
  <c r="K5" i="6"/>
  <c r="L5" i="6"/>
  <c r="M5" i="6"/>
  <c r="N5" i="6"/>
  <c r="O5" i="6"/>
  <c r="P5" i="6"/>
  <c r="Q5" i="6"/>
  <c r="D5" i="6"/>
  <c r="D4" i="6"/>
  <c r="E4" i="6"/>
  <c r="F4" i="6"/>
  <c r="G4" i="6"/>
  <c r="H4" i="6"/>
  <c r="I4" i="6"/>
  <c r="J4" i="6"/>
  <c r="K4" i="6"/>
  <c r="L4" i="6"/>
  <c r="M4" i="6"/>
  <c r="N4" i="6"/>
  <c r="O4" i="6"/>
  <c r="P4" i="6"/>
  <c r="W5" i="7" l="1"/>
  <c r="Y5" i="7" s="1"/>
  <c r="Y6" i="7" s="1"/>
  <c r="Y12" i="7"/>
  <c r="Y18" i="7"/>
  <c r="Y16" i="7"/>
  <c r="Y14" i="7"/>
  <c r="Y10" i="7"/>
  <c r="Y17" i="7"/>
  <c r="Y13" i="7"/>
  <c r="Y9" i="7"/>
  <c r="Y15" i="7"/>
  <c r="Y11" i="7"/>
  <c r="B2" i="7"/>
  <c r="O8" i="5" l="1"/>
  <c r="P8" i="5"/>
  <c r="Q8" i="5"/>
  <c r="R8" i="5"/>
  <c r="S8" i="5"/>
  <c r="T8" i="5"/>
  <c r="U8" i="5"/>
  <c r="V8" i="5"/>
  <c r="W8" i="5"/>
  <c r="X8" i="5"/>
  <c r="Y8" i="5"/>
  <c r="Z8" i="5"/>
  <c r="N8" i="5"/>
  <c r="O5" i="5"/>
  <c r="P5" i="5"/>
  <c r="Q5" i="5"/>
  <c r="R5" i="5"/>
  <c r="S5" i="5"/>
  <c r="T5" i="5"/>
  <c r="U5" i="5"/>
  <c r="V5" i="5"/>
  <c r="W5" i="5"/>
  <c r="X5" i="5"/>
  <c r="Y5" i="5"/>
  <c r="Z5" i="5"/>
  <c r="N5" i="5"/>
  <c r="O4" i="5"/>
  <c r="P4" i="5"/>
  <c r="Q4" i="5"/>
  <c r="R4" i="5"/>
  <c r="S4" i="5"/>
  <c r="T4" i="5"/>
  <c r="U4" i="5"/>
  <c r="V4" i="5"/>
  <c r="W4" i="5"/>
  <c r="X4" i="5"/>
  <c r="Y4" i="5"/>
  <c r="Z4" i="5"/>
  <c r="N4" i="5"/>
  <c r="O7" i="5"/>
  <c r="P7" i="5"/>
  <c r="Q7" i="5"/>
  <c r="R7" i="5"/>
  <c r="S7" i="5"/>
  <c r="T7" i="5"/>
  <c r="U7" i="5"/>
  <c r="V7" i="5"/>
  <c r="W7" i="5"/>
  <c r="X7" i="5"/>
  <c r="Y7" i="5"/>
  <c r="Z7" i="5"/>
  <c r="N7" i="5"/>
  <c r="O6" i="5"/>
  <c r="P6" i="5"/>
  <c r="Q6" i="5"/>
  <c r="R6" i="5"/>
  <c r="S6" i="5"/>
  <c r="T6" i="5"/>
  <c r="U6" i="5"/>
  <c r="V6" i="5"/>
  <c r="W6" i="5"/>
  <c r="X6" i="5"/>
  <c r="Y6" i="5"/>
  <c r="Z6" i="5"/>
  <c r="N6" i="5"/>
  <c r="H9" i="5"/>
  <c r="C15" i="5" l="1"/>
  <c r="C16" i="5"/>
  <c r="C17" i="5"/>
  <c r="C18" i="5"/>
  <c r="C19" i="5"/>
  <c r="C20" i="5"/>
  <c r="C21" i="5"/>
  <c r="C22" i="5"/>
  <c r="C23" i="5"/>
  <c r="C24" i="5"/>
  <c r="C25" i="5"/>
  <c r="C13" i="5"/>
  <c r="C14" i="5"/>
  <c r="AM51" i="4"/>
  <c r="AN51" i="4" s="1"/>
  <c r="AM52" i="4"/>
  <c r="AN52" i="4" s="1"/>
  <c r="AM53" i="4"/>
  <c r="AN53" i="4" s="1"/>
  <c r="AM54" i="4"/>
  <c r="AN54" i="4" s="1"/>
  <c r="AM55" i="4"/>
  <c r="AN55" i="4" s="1"/>
  <c r="AM56" i="4"/>
  <c r="AN56" i="4" s="1"/>
  <c r="AM57" i="4"/>
  <c r="AN57" i="4" s="1"/>
  <c r="AM49" i="4"/>
  <c r="AN49" i="4" s="1"/>
  <c r="AM50" i="4"/>
  <c r="AN50" i="4" s="1"/>
  <c r="AM48" i="4"/>
  <c r="AN48" i="4" s="1"/>
  <c r="AM47" i="4"/>
  <c r="AN47" i="4" s="1"/>
  <c r="AM45" i="4"/>
  <c r="AN45" i="4" s="1"/>
  <c r="AM46" i="4"/>
  <c r="AN46" i="4" s="1"/>
  <c r="AM43" i="4"/>
  <c r="AN43" i="4" s="1"/>
  <c r="AM40" i="4"/>
  <c r="AN40" i="4" s="1"/>
  <c r="AM41" i="4"/>
  <c r="AN41" i="4" s="1"/>
  <c r="AM42" i="4"/>
  <c r="AN42" i="4" s="1"/>
  <c r="AM44" i="4"/>
  <c r="AN44" i="4" s="1"/>
  <c r="AM38" i="4"/>
  <c r="AN38" i="4" s="1"/>
  <c r="AM35" i="4"/>
  <c r="AN35" i="4" s="1"/>
  <c r="AM37" i="4"/>
  <c r="AN37" i="4" s="1"/>
  <c r="AM39" i="4"/>
  <c r="AN39" i="4" s="1"/>
  <c r="AM33" i="4"/>
  <c r="AN33" i="4" s="1"/>
  <c r="AM34" i="4"/>
  <c r="AN34" i="4" s="1"/>
  <c r="AM36" i="4"/>
  <c r="AN36" i="4" s="1"/>
  <c r="R42" i="4"/>
  <c r="S42" i="4" s="1"/>
  <c r="R44" i="4"/>
  <c r="S44" i="4" s="1"/>
  <c r="R43" i="4"/>
  <c r="S43" i="4" s="1"/>
  <c r="R41" i="4"/>
  <c r="S41" i="4" s="1"/>
  <c r="R45" i="4"/>
  <c r="S45" i="4" s="1"/>
  <c r="R52" i="4"/>
  <c r="S52" i="4" s="1"/>
  <c r="R49" i="4"/>
  <c r="S49" i="4" s="1"/>
  <c r="R47" i="4"/>
  <c r="S47" i="4" s="1"/>
  <c r="R53" i="4"/>
  <c r="S53" i="4" s="1"/>
  <c r="R51" i="4"/>
  <c r="S51" i="4" s="1"/>
  <c r="R46" i="4"/>
  <c r="S46" i="4" s="1"/>
  <c r="R50" i="4"/>
  <c r="S50" i="4" s="1"/>
  <c r="R54" i="4"/>
  <c r="S54" i="4" s="1"/>
  <c r="R48" i="4"/>
  <c r="S48" i="4" s="1"/>
  <c r="R63" i="4"/>
  <c r="S63" i="4" s="1"/>
  <c r="R61" i="4"/>
  <c r="S61" i="4" s="1"/>
  <c r="R60" i="4"/>
  <c r="S60" i="4" s="1"/>
  <c r="R55" i="4"/>
  <c r="S55" i="4" s="1"/>
  <c r="R58" i="4"/>
  <c r="S58" i="4" s="1"/>
  <c r="R62" i="4"/>
  <c r="S62" i="4" s="1"/>
  <c r="R57" i="4"/>
  <c r="S57" i="4" s="1"/>
  <c r="R59" i="4"/>
  <c r="S59" i="4" s="1"/>
  <c r="R56" i="4"/>
  <c r="S56" i="4" s="1"/>
  <c r="R69" i="4"/>
  <c r="S69" i="4" s="1"/>
  <c r="R65" i="4"/>
  <c r="S65" i="4" s="1"/>
  <c r="R67" i="4"/>
  <c r="S67" i="4" s="1"/>
  <c r="R64" i="4"/>
  <c r="S64" i="4" s="1"/>
  <c r="R68" i="4"/>
  <c r="S68" i="4" s="1"/>
  <c r="R66" i="4"/>
  <c r="S66" i="4" s="1"/>
  <c r="R40" i="4"/>
  <c r="S40" i="4" s="1"/>
  <c r="AR4" i="4"/>
  <c r="AR5" i="4"/>
  <c r="AR6" i="4"/>
  <c r="AR7" i="4"/>
  <c r="AR8" i="4"/>
  <c r="AR9" i="4"/>
  <c r="AR10" i="4"/>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9" i="4"/>
  <c r="AR40" i="4"/>
  <c r="AR41" i="4"/>
  <c r="AR42" i="4"/>
  <c r="AR43" i="4"/>
  <c r="AR44" i="4"/>
  <c r="AR45" i="4"/>
  <c r="AR46" i="4"/>
  <c r="AR47" i="4"/>
  <c r="AR48" i="4"/>
  <c r="AR49" i="4"/>
  <c r="AR50" i="4"/>
  <c r="AR51" i="4"/>
  <c r="AR52" i="4"/>
  <c r="AR53" i="4"/>
  <c r="AM27" i="4" l="1"/>
  <c r="AN27" i="4" s="1"/>
  <c r="AM23" i="4"/>
  <c r="AN23" i="4" s="1"/>
  <c r="AM20" i="4"/>
  <c r="AN20" i="4" s="1"/>
  <c r="AM24" i="4"/>
  <c r="AN24" i="4" s="1"/>
  <c r="AM26" i="4"/>
  <c r="AN26" i="4" s="1"/>
  <c r="AM25" i="4"/>
  <c r="AN25" i="4" s="1"/>
  <c r="AM28" i="4"/>
  <c r="AN28" i="4" s="1"/>
  <c r="AM21" i="4"/>
  <c r="AN21" i="4" s="1"/>
  <c r="AM22" i="4"/>
  <c r="AN22" i="4" s="1"/>
  <c r="AM16" i="4"/>
  <c r="AN16" i="4" s="1"/>
  <c r="AM18" i="4"/>
  <c r="AN18" i="4" s="1"/>
  <c r="AM19" i="4"/>
  <c r="AN19" i="4" s="1"/>
  <c r="AM17" i="4"/>
  <c r="AN17" i="4" s="1"/>
  <c r="AM11" i="4"/>
  <c r="AN11" i="4" s="1"/>
  <c r="AM12" i="4"/>
  <c r="AN12" i="4" s="1"/>
  <c r="AM14" i="4"/>
  <c r="AN14" i="4" s="1"/>
  <c r="AM15" i="4"/>
  <c r="AN15" i="4" s="1"/>
  <c r="AM13" i="4"/>
  <c r="AN13" i="4" s="1"/>
  <c r="AM8" i="4"/>
  <c r="AN8" i="4" s="1"/>
  <c r="AM10" i="4"/>
  <c r="AN10" i="4" s="1"/>
  <c r="AM6" i="4"/>
  <c r="AN6" i="4" s="1"/>
  <c r="AM9" i="4"/>
  <c r="AN9" i="4" s="1"/>
  <c r="AM4" i="4"/>
  <c r="AN4" i="4" s="1"/>
  <c r="AM5" i="4"/>
  <c r="AN5" i="4" s="1"/>
  <c r="AM7" i="4"/>
  <c r="AN7" i="4" s="1"/>
  <c r="D14" i="5"/>
  <c r="D15" i="5"/>
  <c r="D21" i="5" s="1"/>
  <c r="D16" i="5"/>
  <c r="D22" i="5" s="1"/>
  <c r="D17" i="5"/>
  <c r="D18" i="5"/>
  <c r="D20" i="5"/>
  <c r="D23" i="5"/>
  <c r="D24" i="5"/>
  <c r="D13" i="5"/>
  <c r="D19" i="5" s="1"/>
  <c r="D25" i="5" s="1"/>
  <c r="AU5" i="4" l="1"/>
  <c r="AU6" i="4"/>
  <c r="AU7" i="4"/>
  <c r="AU8" i="4"/>
  <c r="AU9" i="4"/>
  <c r="AU10" i="4"/>
  <c r="AU11" i="4"/>
  <c r="AU12" i="4"/>
  <c r="AU13" i="4"/>
  <c r="AU14" i="4"/>
  <c r="AU15" i="4"/>
  <c r="AU16" i="4"/>
  <c r="AU17" i="4"/>
  <c r="AU18" i="4"/>
  <c r="AU19" i="4"/>
  <c r="AU20" i="4"/>
  <c r="AU21" i="4"/>
  <c r="AU22" i="4"/>
  <c r="AU23" i="4"/>
  <c r="AU24" i="4"/>
  <c r="AU25" i="4"/>
  <c r="AU26" i="4"/>
  <c r="AU27" i="4"/>
  <c r="AU28" i="4"/>
  <c r="AU29" i="4"/>
  <c r="AU30" i="4"/>
  <c r="AU31" i="4"/>
  <c r="AU32" i="4"/>
  <c r="AU33" i="4"/>
  <c r="AU34" i="4"/>
  <c r="AU35" i="4"/>
  <c r="AU36" i="4"/>
  <c r="AU37" i="4"/>
  <c r="AU38" i="4"/>
  <c r="AU39" i="4"/>
  <c r="AU40" i="4"/>
  <c r="AU41" i="4"/>
  <c r="AU42" i="4"/>
  <c r="AU43" i="4"/>
  <c r="AU44" i="4"/>
  <c r="AU45" i="4"/>
  <c r="AU46" i="4"/>
  <c r="AU47" i="4"/>
  <c r="AU48" i="4"/>
  <c r="AU49" i="4"/>
  <c r="AU50" i="4"/>
  <c r="AU51" i="4"/>
  <c r="AU52" i="4"/>
  <c r="AU53" i="4"/>
  <c r="AU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4" i="4"/>
  <c r="AR37" i="4"/>
  <c r="AR38" i="4"/>
  <c r="R1" i="4" l="1"/>
  <c r="R23" i="4" l="1"/>
  <c r="S23" i="4" s="1"/>
  <c r="R10" i="4"/>
  <c r="S10" i="4" s="1"/>
  <c r="R27" i="4"/>
  <c r="S27" i="4" s="1"/>
  <c r="R21" i="4"/>
  <c r="S21" i="4" s="1"/>
  <c r="R9" i="4"/>
  <c r="S9" i="4" s="1"/>
  <c r="R20" i="4"/>
  <c r="S20" i="4" s="1"/>
  <c r="R11" i="4"/>
  <c r="S11" i="4" s="1"/>
  <c r="R25" i="4"/>
  <c r="S25" i="4" s="1"/>
  <c r="J3" i="5" s="1"/>
  <c r="R15" i="4"/>
  <c r="S15" i="4" s="1"/>
  <c r="R36" i="4"/>
  <c r="S36" i="4" s="1"/>
  <c r="R12" i="4"/>
  <c r="S12" i="4" s="1"/>
  <c r="R32" i="4"/>
  <c r="S32" i="4" s="1"/>
  <c r="R13" i="4"/>
  <c r="S13" i="4" s="1"/>
  <c r="R4" i="4"/>
  <c r="R8" i="4"/>
  <c r="S8" i="4" s="1"/>
  <c r="R7" i="4"/>
  <c r="S7" i="4" s="1"/>
  <c r="R30" i="4"/>
  <c r="S30" i="4" s="1"/>
  <c r="R17" i="4"/>
  <c r="S17" i="4" s="1"/>
  <c r="R16" i="4"/>
  <c r="S16" i="4" s="1"/>
  <c r="R28" i="4"/>
  <c r="S28" i="4" s="1"/>
  <c r="R35" i="4"/>
  <c r="S35" i="4" s="1"/>
  <c r="R29" i="4"/>
  <c r="S29" i="4" s="1"/>
  <c r="R19" i="4"/>
  <c r="S19" i="4" s="1"/>
  <c r="R24" i="4"/>
  <c r="S24" i="4" s="1"/>
  <c r="R5" i="4"/>
  <c r="S5" i="4" s="1"/>
  <c r="R22" i="4"/>
  <c r="S22" i="4" s="1"/>
  <c r="R34" i="4"/>
  <c r="S34" i="4" s="1"/>
  <c r="R6" i="4"/>
  <c r="S6" i="4" s="1"/>
  <c r="R26" i="4"/>
  <c r="S26" i="4" s="1"/>
  <c r="R31" i="4"/>
  <c r="S31" i="4" s="1"/>
  <c r="R18" i="4"/>
  <c r="S18" i="4" s="1"/>
  <c r="R14" i="4"/>
  <c r="S14" i="4" s="1"/>
  <c r="R33" i="4"/>
  <c r="S33" i="4" s="1"/>
  <c r="S4" i="4" l="1"/>
  <c r="AA8" i="5"/>
  <c r="AA4" i="5"/>
  <c r="AA6" i="5"/>
  <c r="AA5" i="5"/>
  <c r="AA7" i="5"/>
  <c r="H8"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245BC62-EBA1-4FEB-A004-AAAC71C7556F}" keepAlive="1" name="Query - Class" description="Connection to the 'Class' query in the workbook." type="5" refreshedVersion="0" background="1">
    <dbPr connection="Provider=Microsoft.Mashup.OleDb.1;Data Source=$Workbook$;Location=Class;Extended Properties=&quot;&quot;" command="SELECT * FROM [Class]"/>
  </connection>
  <connection id="2" xr16:uid="{1C177CB5-57FD-41C7-B7D5-649EA9E31F7C}" keepAlive="1" name="Query - Table12" description="Connection to the 'Table12' query in the workbook." type="5" refreshedVersion="6" background="1" saveData="1">
    <dbPr connection="Provider=Microsoft.Mashup.OleDb.1;Data Source=$Workbook$;Location=Table12;Extended Properties=&quot;&quot;" command="SELECT * FROM [Table12]"/>
  </connection>
  <connection id="3" xr16:uid="{EA30DD3B-8726-46D0-B3E6-64920E81F9D7}" keepAlive="1" name="Query - Table3" description="Connection to the 'Table3' query in the workbook." type="5" refreshedVersion="0" background="1">
    <dbPr connection="Provider=Microsoft.Mashup.OleDb.1;Data Source=$Workbook$;Location=Table3;Extended Properties=&quot;&quot;" command="SELECT * FROM [Table3]"/>
  </connection>
  <connection id="4" xr16:uid="{F7A7974E-F4B4-454D-99FE-E641F8CE1687}" keepAlive="1" name="Query - Table4" description="Connection to the 'Table4' query in the workbook." type="5" refreshedVersion="6" background="1" saveData="1">
    <dbPr connection="Provider=Microsoft.Mashup.OleDb.1;Data Source=$Workbook$;Location=Table4;Extended Properties=&quot;&quot;" command="SELECT * FROM [Table4]"/>
  </connection>
</connections>
</file>

<file path=xl/sharedStrings.xml><?xml version="1.0" encoding="utf-8"?>
<sst xmlns="http://schemas.openxmlformats.org/spreadsheetml/2006/main" count="1263" uniqueCount="174">
  <si>
    <t>Grades</t>
  </si>
  <si>
    <t>ID</t>
  </si>
  <si>
    <t>Last</t>
  </si>
  <si>
    <t>First</t>
  </si>
  <si>
    <t>Test 1</t>
  </si>
  <si>
    <t>Test 2</t>
  </si>
  <si>
    <t>Test 3</t>
  </si>
  <si>
    <t>Quiz 1</t>
  </si>
  <si>
    <t>Quiz 2</t>
  </si>
  <si>
    <t>Quiz 3</t>
  </si>
  <si>
    <t>Quiz 4</t>
  </si>
  <si>
    <t>HW 1</t>
  </si>
  <si>
    <t>HW 2</t>
  </si>
  <si>
    <t>HW 3</t>
  </si>
  <si>
    <t>HW 4</t>
  </si>
  <si>
    <t>HW 5</t>
  </si>
  <si>
    <t>Project</t>
  </si>
  <si>
    <t>GPA</t>
  </si>
  <si>
    <t>Letter</t>
  </si>
  <si>
    <t>Grading policy</t>
  </si>
  <si>
    <t>A+</t>
  </si>
  <si>
    <t>A</t>
  </si>
  <si>
    <t>A-</t>
  </si>
  <si>
    <t>B+</t>
  </si>
  <si>
    <t>B</t>
  </si>
  <si>
    <t>B-</t>
  </si>
  <si>
    <t>C</t>
  </si>
  <si>
    <t>C-</t>
  </si>
  <si>
    <t>D</t>
  </si>
  <si>
    <t>F</t>
  </si>
  <si>
    <t>Overall GPA</t>
  </si>
  <si>
    <t># of wrongs</t>
  </si>
  <si>
    <t>Rank</t>
  </si>
  <si>
    <t>Last Name</t>
  </si>
  <si>
    <t>First Name</t>
  </si>
  <si>
    <t>Median</t>
  </si>
  <si>
    <t>Min</t>
  </si>
  <si>
    <t>Max</t>
  </si>
  <si>
    <t>Daniel</t>
  </si>
  <si>
    <t>Mary</t>
  </si>
  <si>
    <t>Ali</t>
  </si>
  <si>
    <t>Andrea</t>
  </si>
  <si>
    <t>Sophia</t>
  </si>
  <si>
    <t>Jack</t>
  </si>
  <si>
    <t>Olivia</t>
  </si>
  <si>
    <t>Liam</t>
  </si>
  <si>
    <t>Nial</t>
  </si>
  <si>
    <t>Harry</t>
  </si>
  <si>
    <t>Zyan</t>
  </si>
  <si>
    <t>Joe</t>
  </si>
  <si>
    <t>Nick</t>
  </si>
  <si>
    <t>Kevin</t>
  </si>
  <si>
    <t>Miranda</t>
  </si>
  <si>
    <t>Selena</t>
  </si>
  <si>
    <t>Kim</t>
  </si>
  <si>
    <t>Henry</t>
  </si>
  <si>
    <t>Lily</t>
  </si>
  <si>
    <t>Sam</t>
  </si>
  <si>
    <t>Jaime</t>
  </si>
  <si>
    <t>Emma</t>
  </si>
  <si>
    <t>Noah</t>
  </si>
  <si>
    <t>Ava</t>
  </si>
  <si>
    <t>Britany</t>
  </si>
  <si>
    <t>Ashley</t>
  </si>
  <si>
    <t>Aiden</t>
  </si>
  <si>
    <t>Isabella</t>
  </si>
  <si>
    <t>Veronica</t>
  </si>
  <si>
    <t>Caden</t>
  </si>
  <si>
    <t>Mohammad</t>
  </si>
  <si>
    <t>Rashid</t>
  </si>
  <si>
    <t>Jones</t>
  </si>
  <si>
    <t>Smith</t>
  </si>
  <si>
    <t>Brown</t>
  </si>
  <si>
    <t>Williams</t>
  </si>
  <si>
    <t>Taylor</t>
  </si>
  <si>
    <t>Miller</t>
  </si>
  <si>
    <t>Wilson</t>
  </si>
  <si>
    <t>Thompson</t>
  </si>
  <si>
    <t>Moore</t>
  </si>
  <si>
    <t>Phillips</t>
  </si>
  <si>
    <t>Bell</t>
  </si>
  <si>
    <t>Clarke</t>
  </si>
  <si>
    <t>Jonas</t>
  </si>
  <si>
    <t>Hunter</t>
  </si>
  <si>
    <t>Lincoln</t>
  </si>
  <si>
    <t>Gordon</t>
  </si>
  <si>
    <t>Wheeler</t>
  </si>
  <si>
    <t>Black</t>
  </si>
  <si>
    <t>Lane</t>
  </si>
  <si>
    <t>Robertson</t>
  </si>
  <si>
    <t>Luna</t>
  </si>
  <si>
    <t>Lanister</t>
  </si>
  <si>
    <t>Tyrell</t>
  </si>
  <si>
    <t>Baratheon</t>
  </si>
  <si>
    <t>Stark</t>
  </si>
  <si>
    <t>Snow</t>
  </si>
  <si>
    <t>Bailey</t>
  </si>
  <si>
    <t>Simpson</t>
  </si>
  <si>
    <t>Flander</t>
  </si>
  <si>
    <t>Patel</t>
  </si>
  <si>
    <t>Lee</t>
  </si>
  <si>
    <t>Chan</t>
  </si>
  <si>
    <t>Cooper</t>
  </si>
  <si>
    <t>Question</t>
  </si>
  <si>
    <t>Queens College</t>
  </si>
  <si>
    <t>Course Num</t>
  </si>
  <si>
    <t>Courses</t>
  </si>
  <si>
    <t>P1 MTH 101</t>
  </si>
  <si>
    <t>P2 MTH 101</t>
  </si>
  <si>
    <t>P3 MTH 102</t>
  </si>
  <si>
    <t>P4 MTH 204</t>
  </si>
  <si>
    <t>Class</t>
  </si>
  <si>
    <t>Average</t>
  </si>
  <si>
    <t>Averages Based on Criteria</t>
  </si>
  <si>
    <t>Min Based on Criteria</t>
  </si>
  <si>
    <t>Max Based on Criteria</t>
  </si>
  <si>
    <t>Search Result Count</t>
  </si>
  <si>
    <t>Class Summary Statistics</t>
  </si>
  <si>
    <t>Std. Dev</t>
  </si>
  <si>
    <t>Filter</t>
  </si>
  <si>
    <t>Pass/Fail</t>
  </si>
  <si>
    <t>Absences</t>
  </si>
  <si>
    <t>Grand Total</t>
  </si>
  <si>
    <t>Average of Overall GPA</t>
  </si>
  <si>
    <t>Average of Test 1</t>
  </si>
  <si>
    <t>Average of Test 2</t>
  </si>
  <si>
    <t>Average of Test 3</t>
  </si>
  <si>
    <t>Average of HW 1</t>
  </si>
  <si>
    <t>Average of HW 2</t>
  </si>
  <si>
    <t>Average of HW 3</t>
  </si>
  <si>
    <t>Average of Absences</t>
  </si>
  <si>
    <t>Pass</t>
  </si>
  <si>
    <t>Fail</t>
  </si>
  <si>
    <t>Letters</t>
  </si>
  <si>
    <t>Curve a Test Grade</t>
  </si>
  <si>
    <t>Curved Grade</t>
  </si>
  <si>
    <t>Original Grade</t>
  </si>
  <si>
    <t>Increase Grade by</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</si>
  <si>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</si>
  <si>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</si>
  <si>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</si>
  <si>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</si>
  <si>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</si>
  <si>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</si>
  <si>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</si>
  <si>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Curve</t>
  </si>
  <si>
    <t>Amount</t>
  </si>
  <si>
    <t>New Class Average</t>
  </si>
  <si>
    <t xml:space="preserve">
</t>
  </si>
  <si>
    <t>Dashboard</t>
  </si>
  <si>
    <t>Pivot Table</t>
  </si>
  <si>
    <t>Grade Curving</t>
  </si>
  <si>
    <t>Curve Senarios</t>
  </si>
  <si>
    <t>Advance Filtering</t>
  </si>
  <si>
    <t>Grade Book</t>
  </si>
  <si>
    <t>Teacher Bonus Data Tables</t>
  </si>
  <si>
    <t>By: Alisha Walia</t>
  </si>
  <si>
    <t>Ms. Chan's Math Class</t>
  </si>
  <si>
    <t>Average of HW 4</t>
  </si>
  <si>
    <t>Average of HW 5</t>
  </si>
  <si>
    <t>Salary</t>
  </si>
  <si>
    <t>Classes</t>
  </si>
  <si>
    <t>Letter Grades</t>
  </si>
  <si>
    <t>Project Grades</t>
  </si>
  <si>
    <t>Original Class Average</t>
  </si>
  <si>
    <t>How Absences affect the GPA</t>
  </si>
  <si>
    <t xml:space="preserve">Bonuses are given to teachers based on the overall performance of the Classes He/She teachs </t>
  </si>
  <si>
    <t xml:space="preserve">Class Average </t>
  </si>
  <si>
    <t>Bonus Amount</t>
  </si>
  <si>
    <t>Class Average</t>
  </si>
  <si>
    <t>Bonus Percent</t>
  </si>
  <si>
    <t>Before Tax Return</t>
  </si>
  <si>
    <t>Bonus Amount Based on Class Average</t>
  </si>
  <si>
    <t>Class Average GPA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</si>
</sst>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8" formatCode="_(&quot;$&quot;* #,##0_);_(&quot;$&quot;* \(#,##0\);_(&quot;$&quot;* &quot;-&quot;??_);_(@_)"/>
  </numFmts>
  <fonts count="26" x14ac:knownFonts="1">
    <font>
      <sz val="11"/>
      <color theme="1"/>
      <name val="Calibri"/>
      <family val="2"/>
      <scheme val="minor"/>
    </font>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sz val="11"/>
      <color rgb="FF9C5700"/>
      <name val="Calibri"/>
      <family val="2"/>
      <scheme val="minor"/>
    </font>
    <font>
      <sz val="11"/>
      <color rgb="FF3F3F76"/>
      <name val="Calibri"/>
      <family val="2"/>
      <scheme val="minor"/>
    </font>
    <font>
      <b/>
      <sz val="11"/>
      <color theme="0"/>
      <name val="Calibri"/>
      <family val="2"/>
      <scheme val="minor"/>
    </font>
    <font>
      <sz val="36"/>
      <color theme="1"/>
      <name val="Calibri"/>
      <family val="2"/>
      <scheme val="minor"/>
    </font>
    <font>
      <sz val="11"/>
      <color rgb="FF000000"/>
      <name val="Calibri"/>
      <family val="2"/>
    </font>
    <font>
      <b/>
      <sz val="11"/>
      <color rgb="FF3F3F3F"/>
      <name val="Calibri"/>
      <family val="2"/>
      <scheme val="minor"/>
    </font>
    <font>
      <sz val="8"/>
      <name val="Segoe UI"/>
      <family val="2"/>
    </font>
    <font>
      <sz val="24"/>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u/>
      <sz val="11"/>
      <color theme="10"/>
      <name val="Calibri"/>
      <family val="2"/>
      <scheme val="minor"/>
    </font>
    <font>
      <u/>
      <sz val="20"/>
      <color theme="0"/>
      <name val="Curlz MT"/>
      <family val="5"/>
    </font>
    <font>
      <b/>
      <sz val="11"/>
      <color theme="8" tint="0.39997558519241921"/>
      <name val="Calibri"/>
      <family val="2"/>
      <scheme val="minor"/>
    </font>
    <font>
      <sz val="26"/>
      <color theme="0"/>
      <name val="Calibri"/>
      <family val="2"/>
      <scheme val="minor"/>
    </font>
    <font>
      <sz val="36"/>
      <color rgb="FF006100"/>
      <name val="Algerian"/>
      <family val="5"/>
    </font>
    <font>
      <sz val="72"/>
      <color theme="1"/>
      <name val="Curlz MT"/>
      <family val="5"/>
    </font>
    <font>
      <sz val="20"/>
      <color theme="0"/>
      <name val="Algerian"/>
      <family val="5"/>
    </font>
    <font>
      <sz val="22"/>
      <color theme="1"/>
      <name val="Aldhabi"/>
      <charset val="178"/>
    </font>
  </fonts>
  <fills count="18">
    <fill>
      <patternFill patternType="none"/>
    </fill>
    <fill>
      <patternFill patternType="gray125"/>
    </fill>
    <fill>
      <patternFill patternType="solid">
        <fgColor rgb="FFC6EFCE"/>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rgb="FFFFEB9C"/>
      </patternFill>
    </fill>
    <fill>
      <patternFill patternType="solid">
        <fgColor rgb="FFFFCC99"/>
      </patternFill>
    </fill>
    <fill>
      <patternFill patternType="solid">
        <fgColor rgb="FFA5A5A5"/>
      </patternFill>
    </fill>
    <fill>
      <patternFill patternType="solid">
        <fgColor theme="4"/>
        <bgColor theme="4"/>
      </patternFill>
    </fill>
    <fill>
      <patternFill patternType="solid">
        <fgColor rgb="FFF2F2F2"/>
      </patternFill>
    </fill>
    <fill>
      <patternFill patternType="solid">
        <fgColor theme="5" tint="0.79998168889431442"/>
        <bgColor indexed="65"/>
      </patternFill>
    </fill>
    <fill>
      <patternFill patternType="solid">
        <fgColor theme="6" tint="0.39997558519241921"/>
        <bgColor indexed="65"/>
      </patternFill>
    </fill>
    <fill>
      <patternFill patternType="solid">
        <fgColor theme="4" tint="0.79998168889431442"/>
        <bgColor theme="4" tint="0.79998168889431442"/>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0"/>
        <bgColor indexed="64"/>
      </patternFill>
    </fill>
  </fills>
  <borders count="37">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theme="4" tint="0.39997558519241921"/>
      </top>
      <bottom style="thin">
        <color theme="4" tint="0.39997558519241921"/>
      </bottom>
      <diagonal/>
    </border>
    <border>
      <left style="double">
        <color rgb="FF3F3F3F"/>
      </left>
      <right/>
      <top/>
      <bottom/>
      <diagonal/>
    </border>
    <border>
      <left/>
      <right/>
      <top/>
      <bottom style="thin">
        <color theme="4" tint="0.39997558519241921"/>
      </bottom>
      <diagonal/>
    </border>
    <border>
      <left style="thin">
        <color rgb="FF3F3F3F"/>
      </left>
      <right style="thin">
        <color rgb="FF3F3F3F"/>
      </right>
      <top style="thin">
        <color rgb="FF3F3F3F"/>
      </top>
      <bottom style="thin">
        <color rgb="FF3F3F3F"/>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thin">
        <color rgb="FF7F7F7F"/>
      </bottom>
      <diagonal/>
    </border>
  </borders>
  <cellStyleXfs count="14">
    <xf numFmtId="0" fontId="0" fillId="0" borderId="0"/>
    <xf numFmtId="9" fontId="1" fillId="0" borderId="0" applyFont="0" applyFill="0" applyBorder="0" applyAlignment="0" applyProtection="0"/>
    <xf numFmtId="0" fontId="2" fillId="2" borderId="0" applyNumberFormat="0" applyBorder="0" applyAlignment="0" applyProtection="0"/>
    <xf numFmtId="0" fontId="4"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5" fillId="6" borderId="0" applyNumberFormat="0" applyBorder="0" applyAlignment="0" applyProtection="0"/>
    <xf numFmtId="0" fontId="6" fillId="7" borderId="1" applyNumberFormat="0" applyAlignment="0" applyProtection="0"/>
    <xf numFmtId="0" fontId="7" fillId="8" borderId="2" applyNumberFormat="0" applyAlignment="0" applyProtection="0"/>
    <xf numFmtId="44" fontId="1" fillId="0" borderId="0" applyFont="0" applyFill="0" applyBorder="0" applyAlignment="0" applyProtection="0"/>
    <xf numFmtId="0" fontId="10" fillId="10" borderId="6" applyNumberFormat="0" applyAlignment="0" applyProtection="0"/>
    <xf numFmtId="0" fontId="1" fillId="11" borderId="0" applyNumberFormat="0" applyBorder="0" applyAlignment="0" applyProtection="0"/>
    <xf numFmtId="0" fontId="1" fillId="12" borderId="0" applyNumberFormat="0" applyBorder="0" applyAlignment="0" applyProtection="0"/>
    <xf numFmtId="0" fontId="18" fillId="0" borderId="0" applyNumberFormat="0" applyFill="0" applyBorder="0" applyAlignment="0" applyProtection="0"/>
  </cellStyleXfs>
  <cellXfs count="121">
    <xf numFmtId="0" fontId="0" fillId="0" borderId="0" xfId="0"/>
    <xf numFmtId="0" fontId="3" fillId="0" borderId="0" xfId="0" applyFont="1"/>
    <xf numFmtId="9" fontId="0" fillId="0" borderId="0" xfId="1" applyFont="1"/>
    <xf numFmtId="9" fontId="3" fillId="0" borderId="0" xfId="1" applyFont="1"/>
    <xf numFmtId="0" fontId="1" fillId="5" borderId="0" xfId="5"/>
    <xf numFmtId="0" fontId="4" fillId="3" borderId="0" xfId="3"/>
    <xf numFmtId="9" fontId="1" fillId="4" borderId="0" xfId="4" applyNumberFormat="1"/>
    <xf numFmtId="9" fontId="0" fillId="0" borderId="0" xfId="0" applyNumberFormat="1"/>
    <xf numFmtId="9" fontId="0" fillId="0" borderId="0" xfId="1" applyNumberFormat="1" applyFont="1"/>
    <xf numFmtId="0" fontId="7" fillId="9" borderId="3" xfId="0" applyFont="1" applyFill="1" applyBorder="1"/>
    <xf numFmtId="0" fontId="6" fillId="7" borderId="1" xfId="7"/>
    <xf numFmtId="0" fontId="3" fillId="0" borderId="0" xfId="0" applyFont="1" applyAlignment="1"/>
    <xf numFmtId="0" fontId="0" fillId="0" borderId="0" xfId="0" applyAlignment="1"/>
    <xf numFmtId="10" fontId="0" fillId="0" borderId="0" xfId="1" applyNumberFormat="1" applyFont="1"/>
    <xf numFmtId="1" fontId="0" fillId="0" borderId="0" xfId="1" applyNumberFormat="1" applyFont="1"/>
    <xf numFmtId="0" fontId="0" fillId="0" borderId="0" xfId="0" applyBorder="1"/>
    <xf numFmtId="0" fontId="7" fillId="9" borderId="5" xfId="0" applyFont="1" applyFill="1" applyBorder="1"/>
    <xf numFmtId="0" fontId="0" fillId="0" borderId="0" xfId="0" applyNumberFormat="1"/>
    <xf numFmtId="0" fontId="0" fillId="0" borderId="0" xfId="1" applyNumberFormat="1" applyFont="1"/>
    <xf numFmtId="0" fontId="0" fillId="0" borderId="0" xfId="0" applyAlignment="1">
      <alignment horizontal="left" vertical="top" wrapText="1"/>
    </xf>
    <xf numFmtId="0" fontId="0" fillId="0" borderId="0" xfId="0" applyAlignment="1">
      <alignment horizontal="center"/>
    </xf>
    <xf numFmtId="0" fontId="7" fillId="8" borderId="2" xfId="8" applyAlignment="1">
      <alignment horizontal="center"/>
    </xf>
    <xf numFmtId="0" fontId="3" fillId="0" borderId="0" xfId="0" applyFont="1" applyAlignment="1">
      <alignment horizontal="center"/>
    </xf>
    <xf numFmtId="0" fontId="0" fillId="13" borderId="7" xfId="0" applyFont="1" applyFill="1" applyBorder="1"/>
    <xf numFmtId="0" fontId="0" fillId="13" borderId="3" xfId="0" applyFont="1" applyFill="1" applyBorder="1"/>
    <xf numFmtId="0" fontId="0" fillId="0" borderId="7" xfId="0" applyFont="1" applyBorder="1"/>
    <xf numFmtId="0" fontId="0" fillId="0" borderId="3" xfId="0" applyFont="1" applyBorder="1"/>
    <xf numFmtId="0" fontId="7" fillId="9" borderId="7" xfId="0" applyFont="1" applyFill="1" applyBorder="1"/>
    <xf numFmtId="0" fontId="7" fillId="9" borderId="8" xfId="0" applyFont="1" applyFill="1" applyBorder="1"/>
    <xf numFmtId="1" fontId="0" fillId="0" borderId="7" xfId="1" applyNumberFormat="1" applyFont="1" applyBorder="1"/>
    <xf numFmtId="1" fontId="0" fillId="13" borderId="7" xfId="1" applyNumberFormat="1" applyFont="1" applyFill="1" applyBorder="1"/>
    <xf numFmtId="0" fontId="12" fillId="0" borderId="0" xfId="0" applyFont="1" applyAlignment="1">
      <alignment horizontal="center"/>
    </xf>
    <xf numFmtId="0" fontId="4" fillId="0" borderId="0" xfId="0" applyFont="1"/>
    <xf numFmtId="0" fontId="0" fillId="0" borderId="0" xfId="0" applyAlignment="1">
      <alignment horizontal="center" vertical="center"/>
    </xf>
    <xf numFmtId="9" fontId="0" fillId="0" borderId="0" xfId="1" applyFont="1" applyAlignment="1">
      <alignment horizontal="center" vertical="center"/>
    </xf>
    <xf numFmtId="0" fontId="0" fillId="0" borderId="0" xfId="0" applyFill="1" applyBorder="1" applyAlignment="1"/>
    <xf numFmtId="9" fontId="0" fillId="0" borderId="0" xfId="0" applyNumberFormat="1" applyFill="1" applyBorder="1" applyAlignment="1"/>
    <xf numFmtId="9" fontId="0" fillId="0" borderId="10" xfId="0" applyNumberFormat="1" applyFill="1" applyBorder="1" applyAlignment="1"/>
    <xf numFmtId="0" fontId="13" fillId="14" borderId="11" xfId="0" applyFont="1" applyFill="1" applyBorder="1" applyAlignment="1">
      <alignment horizontal="left"/>
    </xf>
    <xf numFmtId="0" fontId="13" fillId="14" borderId="9" xfId="0" applyFont="1" applyFill="1" applyBorder="1" applyAlignment="1">
      <alignment horizontal="left"/>
    </xf>
    <xf numFmtId="0" fontId="0" fillId="0" borderId="12" xfId="0" applyFill="1" applyBorder="1" applyAlignment="1"/>
    <xf numFmtId="0" fontId="14" fillId="15" borderId="0" xfId="0" applyFont="1" applyFill="1" applyBorder="1" applyAlignment="1">
      <alignment horizontal="left"/>
    </xf>
    <xf numFmtId="0" fontId="15" fillId="15" borderId="12" xfId="0" applyFont="1" applyFill="1" applyBorder="1" applyAlignment="1">
      <alignment horizontal="left"/>
    </xf>
    <xf numFmtId="0" fontId="14" fillId="15" borderId="10" xfId="0" applyFont="1" applyFill="1" applyBorder="1" applyAlignment="1">
      <alignment horizontal="left"/>
    </xf>
    <xf numFmtId="0" fontId="16" fillId="14" borderId="9" xfId="0" applyFont="1" applyFill="1" applyBorder="1" applyAlignment="1">
      <alignment horizontal="right"/>
    </xf>
    <xf numFmtId="0" fontId="16" fillId="14" borderId="11" xfId="0" applyFont="1" applyFill="1" applyBorder="1" applyAlignment="1">
      <alignment horizontal="right"/>
    </xf>
    <xf numFmtId="9" fontId="16" fillId="14" borderId="11" xfId="0" applyNumberFormat="1" applyFont="1" applyFill="1" applyBorder="1" applyAlignment="1">
      <alignment horizontal="right"/>
    </xf>
    <xf numFmtId="9" fontId="0" fillId="16" borderId="0" xfId="0" applyNumberFormat="1" applyFill="1" applyBorder="1" applyAlignment="1"/>
    <xf numFmtId="0" fontId="17" fillId="0" borderId="0" xfId="0" applyFont="1" applyFill="1" applyBorder="1" applyAlignment="1">
      <alignment vertical="top" wrapText="1"/>
    </xf>
    <xf numFmtId="0" fontId="14" fillId="15" borderId="0" xfId="0" applyFont="1" applyFill="1" applyBorder="1" applyAlignment="1">
      <alignment horizontal="right"/>
    </xf>
    <xf numFmtId="0" fontId="0" fillId="0" borderId="0" xfId="0" applyBorder="1" applyAlignment="1">
      <alignment vertical="top"/>
    </xf>
    <xf numFmtId="0" fontId="8" fillId="5" borderId="0" xfId="5" applyFont="1" applyBorder="1" applyAlignment="1">
      <alignment horizontal="center" vertical="center"/>
    </xf>
    <xf numFmtId="0" fontId="19" fillId="0" borderId="0" xfId="13" applyFont="1" applyBorder="1" applyAlignment="1">
      <alignment horizontal="center"/>
    </xf>
    <xf numFmtId="0" fontId="5" fillId="6" borderId="0" xfId="6" applyBorder="1" applyAlignment="1">
      <alignment horizontal="center" vertical="top"/>
    </xf>
    <xf numFmtId="0" fontId="20" fillId="0" borderId="0" xfId="0" applyFont="1" applyAlignment="1">
      <alignment horizontal="center"/>
    </xf>
    <xf numFmtId="0" fontId="21" fillId="0" borderId="0" xfId="0" applyFont="1" applyBorder="1" applyAlignment="1">
      <alignment horizontal="center"/>
    </xf>
    <xf numFmtId="0" fontId="22" fillId="2" borderId="0" xfId="2" applyFont="1" applyAlignment="1">
      <alignment horizontal="center" vertical="center"/>
    </xf>
    <xf numFmtId="0" fontId="23" fillId="0" borderId="0" xfId="0" applyFont="1" applyAlignment="1">
      <alignment horizontal="center" vertical="center"/>
    </xf>
    <xf numFmtId="0" fontId="7" fillId="8" borderId="2" xfId="8" applyFont="1" applyAlignment="1">
      <alignment horizontal="center"/>
    </xf>
    <xf numFmtId="10" fontId="3" fillId="0" borderId="4" xfId="1" applyNumberFormat="1" applyFont="1" applyBorder="1" applyAlignment="1">
      <alignment horizontal="center"/>
    </xf>
    <xf numFmtId="10" fontId="3" fillId="0" borderId="0" xfId="1" applyNumberFormat="1" applyFont="1" applyAlignment="1">
      <alignment horizontal="center"/>
    </xf>
    <xf numFmtId="0" fontId="6" fillId="7" borderId="1" xfId="7" applyAlignment="1">
      <alignment horizontal="center"/>
    </xf>
    <xf numFmtId="0" fontId="1" fillId="11" borderId="1" xfId="11" applyBorder="1" applyAlignment="1">
      <alignment horizontal="center"/>
    </xf>
    <xf numFmtId="9" fontId="0" fillId="0" borderId="0" xfId="1" applyFont="1" applyAlignment="1">
      <alignment horizontal="center"/>
    </xf>
    <xf numFmtId="0" fontId="10" fillId="10" borderId="6" xfId="10" applyAlignment="1">
      <alignment horizontal="center"/>
    </xf>
    <xf numFmtId="0" fontId="4" fillId="0" borderId="0" xfId="0" applyFont="1" applyAlignment="1">
      <alignment horizontal="center"/>
    </xf>
    <xf numFmtId="0" fontId="24" fillId="0" borderId="0" xfId="0" applyFont="1" applyAlignment="1">
      <alignment horizontal="center"/>
    </xf>
    <xf numFmtId="10" fontId="1" fillId="12" borderId="21" xfId="12" applyNumberFormat="1" applyBorder="1" applyAlignment="1">
      <alignment horizontal="center"/>
    </xf>
    <xf numFmtId="10" fontId="1" fillId="12" borderId="22" xfId="12" applyNumberFormat="1" applyBorder="1" applyAlignment="1">
      <alignment horizontal="center"/>
    </xf>
    <xf numFmtId="10" fontId="1" fillId="12" borderId="23" xfId="12" applyNumberFormat="1" applyBorder="1" applyAlignment="1">
      <alignment horizontal="center"/>
    </xf>
    <xf numFmtId="10" fontId="1" fillId="12" borderId="24" xfId="12" applyNumberFormat="1" applyBorder="1" applyAlignment="1">
      <alignment horizontal="center"/>
    </xf>
    <xf numFmtId="10" fontId="1" fillId="12" borderId="20" xfId="12" applyNumberFormat="1" applyBorder="1" applyAlignment="1">
      <alignment horizontal="center"/>
    </xf>
    <xf numFmtId="10" fontId="1" fillId="12" borderId="25" xfId="12" applyNumberFormat="1" applyBorder="1" applyAlignment="1">
      <alignment horizontal="center"/>
    </xf>
    <xf numFmtId="10" fontId="1" fillId="12" borderId="26" xfId="12" applyNumberFormat="1" applyBorder="1" applyAlignment="1">
      <alignment horizontal="center"/>
    </xf>
    <xf numFmtId="10" fontId="1" fillId="12" borderId="27" xfId="12" applyNumberFormat="1" applyBorder="1" applyAlignment="1">
      <alignment horizontal="center"/>
    </xf>
    <xf numFmtId="10" fontId="1" fillId="12" borderId="28" xfId="12" applyNumberFormat="1" applyBorder="1" applyAlignment="1">
      <alignment horizontal="center"/>
    </xf>
    <xf numFmtId="9" fontId="6" fillId="7" borderId="1" xfId="7" applyNumberFormat="1"/>
    <xf numFmtId="9" fontId="7" fillId="8" borderId="2" xfId="8" applyNumberFormat="1"/>
    <xf numFmtId="0" fontId="25" fillId="17" borderId="0" xfId="0" applyFont="1" applyFill="1" applyAlignment="1">
      <alignment horizontal="center" wrapText="1"/>
    </xf>
    <xf numFmtId="0" fontId="25" fillId="17" borderId="10" xfId="0" applyFont="1" applyFill="1" applyBorder="1" applyAlignment="1">
      <alignment horizontal="center" wrapText="1"/>
    </xf>
    <xf numFmtId="0" fontId="0" fillId="17" borderId="13" xfId="0" applyFill="1" applyBorder="1"/>
    <xf numFmtId="0" fontId="0" fillId="17" borderId="29" xfId="0" applyFill="1" applyBorder="1" applyAlignment="1">
      <alignment horizontal="left"/>
    </xf>
    <xf numFmtId="10" fontId="0" fillId="17" borderId="29" xfId="0" applyNumberFormat="1" applyFill="1" applyBorder="1"/>
    <xf numFmtId="0" fontId="0" fillId="17" borderId="30" xfId="0" applyFill="1" applyBorder="1" applyAlignment="1">
      <alignment horizontal="left"/>
    </xf>
    <xf numFmtId="10" fontId="0" fillId="17" borderId="30" xfId="0" applyNumberFormat="1" applyFill="1" applyBorder="1"/>
    <xf numFmtId="0" fontId="0" fillId="17" borderId="31" xfId="0" applyFill="1" applyBorder="1" applyAlignment="1">
      <alignment horizontal="left"/>
    </xf>
    <xf numFmtId="0" fontId="0" fillId="17" borderId="13" xfId="0" applyFill="1" applyBorder="1" applyAlignment="1">
      <alignment horizontal="left"/>
    </xf>
    <xf numFmtId="10" fontId="0" fillId="17" borderId="31" xfId="0" applyNumberFormat="1" applyFill="1" applyBorder="1"/>
    <xf numFmtId="0" fontId="0" fillId="17" borderId="14" xfId="0" applyFill="1" applyBorder="1"/>
    <xf numFmtId="0" fontId="0" fillId="17" borderId="9" xfId="0" applyFill="1" applyBorder="1"/>
    <xf numFmtId="0" fontId="0" fillId="17" borderId="15" xfId="0" applyFill="1" applyBorder="1"/>
    <xf numFmtId="0" fontId="0" fillId="17" borderId="16" xfId="0" applyFill="1" applyBorder="1" applyAlignment="1">
      <alignment horizontal="left"/>
    </xf>
    <xf numFmtId="10" fontId="0" fillId="17" borderId="0" xfId="0" applyNumberFormat="1" applyFill="1" applyBorder="1"/>
    <xf numFmtId="10" fontId="0" fillId="17" borderId="17" xfId="0" applyNumberFormat="1" applyFill="1" applyBorder="1"/>
    <xf numFmtId="0" fontId="0" fillId="17" borderId="18" xfId="0" applyFill="1" applyBorder="1" applyAlignment="1">
      <alignment horizontal="left"/>
    </xf>
    <xf numFmtId="10" fontId="0" fillId="17" borderId="10" xfId="0" applyNumberFormat="1" applyFill="1" applyBorder="1"/>
    <xf numFmtId="10" fontId="0" fillId="17" borderId="19" xfId="0" applyNumberFormat="1" applyFill="1" applyBorder="1"/>
    <xf numFmtId="0" fontId="0" fillId="17" borderId="32" xfId="0" applyFill="1" applyBorder="1"/>
    <xf numFmtId="0" fontId="0" fillId="17" borderId="33" xfId="0" applyFill="1" applyBorder="1"/>
    <xf numFmtId="0" fontId="0" fillId="17" borderId="34" xfId="0" applyFill="1" applyBorder="1"/>
    <xf numFmtId="10" fontId="0" fillId="17" borderId="14" xfId="0" applyNumberFormat="1" applyFill="1" applyBorder="1"/>
    <xf numFmtId="10" fontId="0" fillId="17" borderId="9" xfId="0" applyNumberFormat="1" applyFill="1" applyBorder="1"/>
    <xf numFmtId="2" fontId="0" fillId="17" borderId="15" xfId="0" applyNumberFormat="1" applyFill="1" applyBorder="1"/>
    <xf numFmtId="10" fontId="0" fillId="17" borderId="16" xfId="0" applyNumberFormat="1" applyFill="1" applyBorder="1"/>
    <xf numFmtId="2" fontId="0" fillId="17" borderId="17" xfId="0" applyNumberFormat="1" applyFill="1" applyBorder="1"/>
    <xf numFmtId="10" fontId="0" fillId="17" borderId="18" xfId="0" applyNumberFormat="1" applyFill="1" applyBorder="1"/>
    <xf numFmtId="2" fontId="0" fillId="17" borderId="19" xfId="0" applyNumberFormat="1" applyFill="1" applyBorder="1"/>
    <xf numFmtId="10" fontId="0" fillId="17" borderId="15" xfId="0" applyNumberFormat="1" applyFill="1" applyBorder="1"/>
    <xf numFmtId="44" fontId="0" fillId="0" borderId="0" xfId="9" applyFont="1"/>
    <xf numFmtId="0" fontId="0" fillId="0" borderId="14" xfId="0" applyBorder="1"/>
    <xf numFmtId="44" fontId="6" fillId="7" borderId="35" xfId="7" applyNumberFormat="1" applyBorder="1"/>
    <xf numFmtId="0" fontId="0" fillId="0" borderId="16" xfId="0" applyBorder="1"/>
    <xf numFmtId="10" fontId="0" fillId="0" borderId="17" xfId="1" applyNumberFormat="1" applyFont="1" applyBorder="1"/>
    <xf numFmtId="0" fontId="0" fillId="0" borderId="17" xfId="0" applyBorder="1"/>
    <xf numFmtId="44" fontId="0" fillId="0" borderId="17" xfId="9" applyFont="1" applyBorder="1"/>
    <xf numFmtId="0" fontId="0" fillId="0" borderId="18" xfId="0" applyBorder="1"/>
    <xf numFmtId="44" fontId="0" fillId="0" borderId="19" xfId="9" applyFont="1" applyBorder="1"/>
    <xf numFmtId="44" fontId="7" fillId="0" borderId="0" xfId="0" applyNumberFormat="1" applyFont="1"/>
    <xf numFmtId="168" fontId="3" fillId="0" borderId="0" xfId="9" applyNumberFormat="1" applyFont="1"/>
    <xf numFmtId="168" fontId="0" fillId="0" borderId="0" xfId="9" applyNumberFormat="1" applyFont="1"/>
    <xf numFmtId="0" fontId="6" fillId="7" borderId="36" xfId="7" applyBorder="1" applyAlignment="1">
      <alignment horizontal="center"/>
    </xf>
  </cellXfs>
  <cellStyles count="14">
    <cellStyle name="20% - Accent2" xfId="11" builtinId="34"/>
    <cellStyle name="20% - Accent6" xfId="4" builtinId="50"/>
    <cellStyle name="40% - Accent6" xfId="5" builtinId="51"/>
    <cellStyle name="60% - Accent3" xfId="12" builtinId="40"/>
    <cellStyle name="Accent6" xfId="3" builtinId="49"/>
    <cellStyle name="Check Cell" xfId="8" builtinId="23"/>
    <cellStyle name="Currency" xfId="9" builtinId="4"/>
    <cellStyle name="Good" xfId="2" builtinId="26"/>
    <cellStyle name="Hyperlink" xfId="13" builtinId="8"/>
    <cellStyle name="Input" xfId="7" builtinId="20"/>
    <cellStyle name="Neutral" xfId="6" builtinId="28"/>
    <cellStyle name="Normal" xfId="0" builtinId="0"/>
    <cellStyle name="Output" xfId="10" builtinId="21"/>
    <cellStyle name="Percent" xfId="1" builtinId="5"/>
  </cellStyles>
  <dxfs count="193">
    <dxf>
      <fill>
        <patternFill>
          <bgColor rgb="FFFF0000"/>
        </patternFill>
      </fill>
    </dxf>
    <dxf>
      <fill>
        <patternFill>
          <bgColor theme="9"/>
        </patternFill>
      </fill>
    </dxf>
    <dxf>
      <fill>
        <patternFill>
          <bgColor rgb="FFFFFF00"/>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FF00"/>
        </patternFill>
      </fill>
    </dxf>
    <dxf>
      <fill>
        <patternFill>
          <bgColor rgb="FFFFFF00"/>
        </patternFill>
      </fill>
    </dxf>
    <dxf>
      <font>
        <color rgb="FF9C5700"/>
      </font>
      <fill>
        <patternFill>
          <bgColor rgb="FFFFEB9C"/>
        </patternFill>
      </fill>
    </dxf>
    <dxf>
      <fill>
        <patternFill>
          <bgColor rgb="FFFF0000"/>
        </patternFill>
      </fill>
    </dxf>
    <dxf>
      <fill>
        <patternFill>
          <bgColor theme="9"/>
        </patternFill>
      </fill>
    </dxf>
    <dxf>
      <font>
        <color rgb="FF006100"/>
      </font>
      <fill>
        <patternFill>
          <bgColor rgb="FFC6EFCE"/>
        </patternFill>
      </fill>
    </dxf>
    <dxf>
      <font>
        <color rgb="FF006100"/>
      </font>
      <fill>
        <patternFill>
          <bgColor rgb="FFC6EFCE"/>
        </patternFill>
      </fill>
    </dxf>
    <dxf>
      <font>
        <color auto="1"/>
      </font>
      <fill>
        <patternFill>
          <bgColor rgb="FFFFFF00"/>
        </patternFill>
      </fill>
    </dxf>
    <dxf>
      <font>
        <color rgb="FF9C5700"/>
      </font>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3" formatCode="0%"/>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 formatCode="0"/>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border outline="0">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Test Grades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Dashboard!$C$13:$C$15</c:f>
              <c:numCache>
                <c:formatCode>0%</c:formatCode>
                <c:ptCount val="3"/>
                <c:pt idx="0">
                  <c:v>0.8</c:v>
                </c:pt>
                <c:pt idx="1">
                  <c:v>0.78</c:v>
                </c:pt>
                <c:pt idx="2">
                  <c:v>0.8</c:v>
                </c:pt>
              </c:numCache>
            </c:numRef>
          </c:val>
          <c:extLst>
            <c:ext xmlns:c16="http://schemas.microsoft.com/office/drawing/2014/chart" uri="{C3380CC4-5D6E-409C-BE32-E72D297353CC}">
              <c16:uniqueId val="{00000000-9524-40F1-9185-67E903CF8FC4}"/>
            </c:ext>
          </c:extLst>
        </c:ser>
        <c:dLbls>
          <c:showLegendKey val="0"/>
          <c:showVal val="0"/>
          <c:showCatName val="0"/>
          <c:showSerName val="0"/>
          <c:showPercent val="0"/>
          <c:showBubbleSize val="0"/>
        </c:dLbls>
        <c:gapWidth val="219"/>
        <c:overlap val="-27"/>
        <c:axId val="376071664"/>
        <c:axId val="376075928"/>
      </c:barChart>
      <c:catAx>
        <c:axId val="376071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075928"/>
        <c:crosses val="autoZero"/>
        <c:auto val="1"/>
        <c:lblAlgn val="ctr"/>
        <c:lblOffset val="100"/>
        <c:noMultiLvlLbl val="0"/>
      </c:catAx>
      <c:valAx>
        <c:axId val="376075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071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Quiz</a:t>
            </a:r>
            <a:r>
              <a:rPr lang="en-US" baseline="0"/>
              <a:t> Grades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Dashboard!$C$16:$C$19</c:f>
              <c:numCache>
                <c:formatCode>0%</c:formatCode>
                <c:ptCount val="4"/>
                <c:pt idx="0">
                  <c:v>0.69</c:v>
                </c:pt>
                <c:pt idx="1">
                  <c:v>0.8</c:v>
                </c:pt>
                <c:pt idx="2">
                  <c:v>0.66</c:v>
                </c:pt>
                <c:pt idx="3">
                  <c:v>0.66</c:v>
                </c:pt>
              </c:numCache>
            </c:numRef>
          </c:val>
          <c:extLst>
            <c:ext xmlns:c16="http://schemas.microsoft.com/office/drawing/2014/chart" uri="{C3380CC4-5D6E-409C-BE32-E72D297353CC}">
              <c16:uniqueId val="{00000000-CB68-444B-A58B-1361A90B3D5F}"/>
            </c:ext>
          </c:extLst>
        </c:ser>
        <c:dLbls>
          <c:showLegendKey val="0"/>
          <c:showVal val="0"/>
          <c:showCatName val="0"/>
          <c:showSerName val="0"/>
          <c:showPercent val="0"/>
          <c:showBubbleSize val="0"/>
        </c:dLbls>
        <c:gapWidth val="219"/>
        <c:overlap val="-27"/>
        <c:axId val="941680456"/>
        <c:axId val="941680784"/>
      </c:barChart>
      <c:catAx>
        <c:axId val="941680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680784"/>
        <c:crosses val="autoZero"/>
        <c:auto val="1"/>
        <c:lblAlgn val="ctr"/>
        <c:lblOffset val="100"/>
        <c:noMultiLvlLbl val="0"/>
      </c:catAx>
      <c:valAx>
        <c:axId val="9416807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680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HW</a:t>
            </a:r>
            <a:r>
              <a:rPr lang="en-US" baseline="0"/>
              <a:t> Grades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Dashboard!$C$20:$C$24</c:f>
              <c:numCache>
                <c:formatCode>0%</c:formatCode>
                <c:ptCount val="5"/>
                <c:pt idx="0">
                  <c:v>0.7</c:v>
                </c:pt>
                <c:pt idx="1">
                  <c:v>0.76</c:v>
                </c:pt>
                <c:pt idx="2">
                  <c:v>0.67</c:v>
                </c:pt>
                <c:pt idx="3">
                  <c:v>0.65</c:v>
                </c:pt>
                <c:pt idx="4">
                  <c:v>0.76</c:v>
                </c:pt>
              </c:numCache>
            </c:numRef>
          </c:val>
          <c:extLst>
            <c:ext xmlns:c16="http://schemas.microsoft.com/office/drawing/2014/chart" uri="{C3380CC4-5D6E-409C-BE32-E72D297353CC}">
              <c16:uniqueId val="{00000000-A265-43FD-91FA-3A547E7021AC}"/>
            </c:ext>
          </c:extLst>
        </c:ser>
        <c:dLbls>
          <c:showLegendKey val="0"/>
          <c:showVal val="0"/>
          <c:showCatName val="0"/>
          <c:showSerName val="0"/>
          <c:showPercent val="0"/>
          <c:showBubbleSize val="0"/>
        </c:dLbls>
        <c:gapWidth val="219"/>
        <c:overlap val="-27"/>
        <c:axId val="492834000"/>
        <c:axId val="487454016"/>
      </c:barChart>
      <c:catAx>
        <c:axId val="4928340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54016"/>
        <c:crosses val="autoZero"/>
        <c:auto val="1"/>
        <c:lblAlgn val="ctr"/>
        <c:lblOffset val="100"/>
        <c:noMultiLvlLbl val="0"/>
      </c:catAx>
      <c:valAx>
        <c:axId val="48745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34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Students Passing/Failing Class</a:t>
            </a:r>
          </a:p>
        </c:rich>
      </c:tx>
      <c:layout>
        <c:manualLayout>
          <c:xMode val="edge"/>
          <c:yMode val="edge"/>
          <c:x val="0.10177204578851476"/>
          <c:y val="3.774154963236659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29163823272090988"/>
          <c:y val="0.15656095071449405"/>
          <c:w val="0.40839041994750652"/>
          <c:h val="0.68065069991251081"/>
        </c:manualLayout>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7B2-4B83-8A1F-13613FB38B6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7B2-4B83-8A1F-13613FB38B60}"/>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'Data for Charts'!$X$5:$X$6</c:f>
              <c:strCache>
                <c:ptCount val="2"/>
                <c:pt idx="0">
                  <c:v>Pass</c:v>
                </c:pt>
                <c:pt idx="1">
                  <c:v>Fail</c:v>
                </c:pt>
              </c:strCache>
            </c:strRef>
          </c:cat>
          <c:val>
            <c:numRef>
              <c:f>'Data for Charts'!$Y$5:$Y$6</c:f>
              <c:numCache>
                <c:formatCode>0%</c:formatCode>
                <c:ptCount val="2"/>
                <c:pt idx="0">
                  <c:v>0.8</c:v>
                </c:pt>
                <c:pt idx="1">
                  <c:v>0.19999999999999996</c:v>
                </c:pt>
              </c:numCache>
            </c:numRef>
          </c:val>
          <c:extLst>
            <c:ext xmlns:c16="http://schemas.microsoft.com/office/drawing/2014/chart" uri="{C3380CC4-5D6E-409C-BE32-E72D297353CC}">
              <c16:uniqueId val="{00000000-AFC0-4682-BE40-12B9BE484725}"/>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Letter</a:t>
            </a:r>
            <a:r>
              <a:rPr lang="en-US" baseline="0"/>
              <a:t> Grades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ADD-4322-9C12-930510DD498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5ADD-4322-9C12-930510DD498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dLbl>
              <c:idx val="0"/>
              <c:layout>
                <c:manualLayout>
                  <c:x val="-0.13703154155778652"/>
                  <c:y val="1.3380021792553069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ADD-4322-9C12-930510DD4984}"/>
                </c:ext>
              </c:extLst>
            </c:dLbl>
            <c:dLbl>
              <c:idx val="1"/>
              <c:layout>
                <c:manualLayout>
                  <c:x val="2.2172628210056639E-2"/>
                  <c:y val="-1.4120522224179531E-2"/>
                </c:manualLayout>
              </c:layout>
              <c:showLegendKey val="1"/>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ADD-4322-9C12-930510DD49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'Data for Charts'!$X$9:$X$18</c:f>
              <c:strCache>
                <c:ptCount val="10"/>
                <c:pt idx="0">
                  <c:v>A+</c:v>
                </c:pt>
                <c:pt idx="1">
                  <c:v>A</c:v>
                </c:pt>
                <c:pt idx="2">
                  <c:v>A-</c:v>
                </c:pt>
                <c:pt idx="3">
                  <c:v>B+</c:v>
                </c:pt>
                <c:pt idx="4">
                  <c:v>B</c:v>
                </c:pt>
                <c:pt idx="5">
                  <c:v>B-</c:v>
                </c:pt>
                <c:pt idx="6">
                  <c:v>C</c:v>
                </c:pt>
                <c:pt idx="7">
                  <c:v>C-</c:v>
                </c:pt>
                <c:pt idx="8">
                  <c:v>D</c:v>
                </c:pt>
                <c:pt idx="9">
                  <c:v>F</c:v>
                </c:pt>
              </c:strCache>
            </c:strRef>
          </c:cat>
          <c:val>
            <c:numRef>
              <c:f>'Data for Charts'!$Y$9:$Y$18</c:f>
              <c:numCache>
                <c:formatCode>0.00%</c:formatCode>
                <c:ptCount val="10"/>
                <c:pt idx="0">
                  <c:v>0</c:v>
                </c:pt>
                <c:pt idx="1">
                  <c:v>0.2</c:v>
                </c:pt>
                <c:pt idx="2">
                  <c:v>0</c:v>
                </c:pt>
                <c:pt idx="3">
                  <c:v>0.3</c:v>
                </c:pt>
                <c:pt idx="4">
                  <c:v>0</c:v>
                </c:pt>
                <c:pt idx="5">
                  <c:v>0.23333333333333334</c:v>
                </c:pt>
                <c:pt idx="6">
                  <c:v>6.6666666666666666E-2</c:v>
                </c:pt>
                <c:pt idx="7">
                  <c:v>0</c:v>
                </c:pt>
                <c:pt idx="8">
                  <c:v>6.6666666666666666E-2</c:v>
                </c:pt>
                <c:pt idx="9">
                  <c:v>0.13333333333333333</c:v>
                </c:pt>
              </c:numCache>
            </c:numRef>
          </c:val>
          <c:extLst>
            <c:ext xmlns:c16="http://schemas.microsoft.com/office/drawing/2014/chart" uri="{C3380CC4-5D6E-409C-BE32-E72D297353CC}">
              <c16:uniqueId val="{00000000-5ADD-4322-9C12-930510DD4984}"/>
            </c:ext>
          </c:extLst>
        </c:ser>
        <c:dLbls>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Class GPA Distribution</cx:v>
        </cx:txData>
      </cx:tx>
      <cx:txPr>
        <a:bodyPr spcFirstLastPara="1" vertOverflow="ellipsis" horzOverflow="overflow" wrap="square" lIns="0" tIns="0" rIns="0" bIns="0" anchor="ctr" anchorCtr="1"/>
        <a:lstStyle/>
        <a:p>
          <a:pPr algn="ctr" rtl="0">
            <a:defRPr/>
          </a:pPr>
          <a:r>
            <a:rPr lang="en-US" sz="1800" b="0" i="0" u="none" strike="noStrike" baseline="0">
              <a:solidFill>
                <a:schemeClr val="bg1"/>
              </a:solidFill>
              <a:latin typeface="Calibri" panose="020F0502020204030204"/>
            </a:rPr>
            <a:t>Class GPA Distribution</a:t>
          </a:r>
        </a:p>
      </cx:txPr>
    </cx:title>
    <cx:plotArea>
      <cx:plotAreaRegion>
        <cx:series layoutId="clusteredColumn" uniqueId="{F87053E1-AF3F-4F69-A072-F608CFD5C5BD}">
          <cx:tx>
            <cx:txData>
              <cx:f>_xlchart.v1.0</cx:f>
              <cx:v>Overall GPA</cx:v>
            </cx:txData>
          </cx:tx>
          <cx:dataId val="0"/>
          <cx:layoutPr>
            <cx:binning intervalClosed="r">
              <cx:binSize val="0.10000000000000001"/>
            </cx:binning>
          </cx:layoutPr>
        </cx:series>
      </cx:plotAreaRegion>
      <cx:axis id="0">
        <cx:catScaling gapWidth="0"/>
        <cx:tickLabels/>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lumMod val="95000"/>
                </a:sysClr>
              </a:solidFill>
              <a:latin typeface="Calibri" panose="020F0502020204030204"/>
            </a:endParaRPr>
          </a:p>
        </cx:txPr>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A$6"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5</xdr:col>
      <xdr:colOff>571500</xdr:colOff>
      <xdr:row>10</xdr:row>
      <xdr:rowOff>80962</xdr:rowOff>
    </xdr:from>
    <xdr:to>
      <xdr:col>10</xdr:col>
      <xdr:colOff>226771</xdr:colOff>
      <xdr:row>19</xdr:row>
      <xdr:rowOff>117043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392772</xdr:colOff>
      <xdr:row>10</xdr:row>
      <xdr:rowOff>90487</xdr:rowOff>
    </xdr:from>
    <xdr:to>
      <xdr:col>15</xdr:col>
      <xdr:colOff>299923</xdr:colOff>
      <xdr:row>19</xdr:row>
      <xdr:rowOff>131674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136664</xdr:colOff>
      <xdr:row>10</xdr:row>
      <xdr:rowOff>72961</xdr:rowOff>
    </xdr:from>
    <xdr:to>
      <xdr:col>21</xdr:col>
      <xdr:colOff>460857</xdr:colOff>
      <xdr:row>19</xdr:row>
      <xdr:rowOff>175565</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676656</xdr:colOff>
      <xdr:row>20</xdr:row>
      <xdr:rowOff>131674</xdr:rowOff>
    </xdr:from>
    <xdr:to>
      <xdr:col>10</xdr:col>
      <xdr:colOff>248717</xdr:colOff>
      <xdr:row>34</xdr:row>
      <xdr:rowOff>29262</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964131" y="3833165"/>
              <a:ext cx="4319626" cy="245790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9</xdr:col>
          <xdr:colOff>109728</xdr:colOff>
          <xdr:row>7</xdr:row>
          <xdr:rowOff>117043</xdr:rowOff>
        </xdr:from>
        <xdr:to>
          <xdr:col>11</xdr:col>
          <xdr:colOff>0</xdr:colOff>
          <xdr:row>9</xdr:row>
          <xdr:rowOff>51206</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Search</a:t>
              </a:r>
            </a:p>
          </xdr:txBody>
        </xdr:sp>
        <xdr:clientData fPrintsWithSheet="0"/>
      </xdr:twoCellAnchor>
    </mc:Choice>
    <mc:Fallback/>
  </mc:AlternateContent>
  <xdr:twoCellAnchor>
    <xdr:from>
      <xdr:col>10</xdr:col>
      <xdr:colOff>314552</xdr:colOff>
      <xdr:row>20</xdr:row>
      <xdr:rowOff>87781</xdr:rowOff>
    </xdr:from>
    <xdr:to>
      <xdr:col>15</xdr:col>
      <xdr:colOff>555955</xdr:colOff>
      <xdr:row>34</xdr:row>
      <xdr:rowOff>36575</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640080</xdr:colOff>
      <xdr:row>20</xdr:row>
      <xdr:rowOff>95098</xdr:rowOff>
    </xdr:from>
    <xdr:to>
      <xdr:col>22</xdr:col>
      <xdr:colOff>102413</xdr:colOff>
      <xdr:row>34</xdr:row>
      <xdr:rowOff>29261</xdr:rowOff>
    </xdr:to>
    <xdr:graphicFrame macro="">
      <xdr:nvGraphicFramePr>
        <xdr:cNvPr id="5" name="Chart 4">
          <a:extLst>
            <a:ext uri="{FF2B5EF4-FFF2-40B4-BE49-F238E27FC236}">
              <a16:creationId xmlns:a16="http://schemas.microsoft.com/office/drawing/2014/main" id="{F782536B-DD34-450B-A538-812C29F701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526693</xdr:colOff>
      <xdr:row>4</xdr:row>
      <xdr:rowOff>175564</xdr:rowOff>
    </xdr:from>
    <xdr:to>
      <xdr:col>6</xdr:col>
      <xdr:colOff>380389</xdr:colOff>
      <xdr:row>6</xdr:row>
      <xdr:rowOff>190194</xdr:rowOff>
    </xdr:to>
    <xdr:sp macro="" textlink="">
      <xdr:nvSpPr>
        <xdr:cNvPr id="6" name="Speech Bubble: Oval 5">
          <a:extLst>
            <a:ext uri="{FF2B5EF4-FFF2-40B4-BE49-F238E27FC236}">
              <a16:creationId xmlns:a16="http://schemas.microsoft.com/office/drawing/2014/main" id="{2285F33C-A735-401D-A624-3F444495BE13}"/>
            </a:ext>
          </a:extLst>
        </xdr:cNvPr>
        <xdr:cNvSpPr/>
      </xdr:nvSpPr>
      <xdr:spPr>
        <a:xfrm>
          <a:off x="1814168" y="907084"/>
          <a:ext cx="2026311" cy="380390"/>
        </a:xfrm>
        <a:prstGeom prst="wedgeEllipse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Choose a Class</a:t>
          </a:r>
        </a:p>
      </xdr:txBody>
    </xdr:sp>
    <xdr:clientData/>
  </xdr:twoCellAnchor>
  <xdr:twoCellAnchor>
    <xdr:from>
      <xdr:col>3</xdr:col>
      <xdr:colOff>138989</xdr:colOff>
      <xdr:row>9</xdr:row>
      <xdr:rowOff>58521</xdr:rowOff>
    </xdr:from>
    <xdr:to>
      <xdr:col>5</xdr:col>
      <xdr:colOff>117043</xdr:colOff>
      <xdr:row>11</xdr:row>
      <xdr:rowOff>182879</xdr:rowOff>
    </xdr:to>
    <xdr:sp macro="" textlink="">
      <xdr:nvSpPr>
        <xdr:cNvPr id="10" name="Rectangle: Rounded Corners 9">
          <a:extLst>
            <a:ext uri="{FF2B5EF4-FFF2-40B4-BE49-F238E27FC236}">
              <a16:creationId xmlns:a16="http://schemas.microsoft.com/office/drawing/2014/main" id="{A5177463-A440-4127-A2D1-9B76F42F6F8F}"/>
            </a:ext>
          </a:extLst>
        </xdr:cNvPr>
        <xdr:cNvSpPr/>
      </xdr:nvSpPr>
      <xdr:spPr>
        <a:xfrm>
          <a:off x="1426464" y="1741017"/>
          <a:ext cx="1506931" cy="49743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Choose</a:t>
          </a:r>
          <a:r>
            <a:rPr lang="en-US" sz="1100" baseline="0"/>
            <a:t> Last Name of Student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1031444</xdr:colOff>
      <xdr:row>1</xdr:row>
      <xdr:rowOff>36576</xdr:rowOff>
    </xdr:from>
    <xdr:to>
      <xdr:col>6</xdr:col>
      <xdr:colOff>197511</xdr:colOff>
      <xdr:row>9</xdr:row>
      <xdr:rowOff>109729</xdr:rowOff>
    </xdr:to>
    <mc:AlternateContent xmlns:mc="http://schemas.openxmlformats.org/markup-compatibility/2006">
      <mc:Choice xmlns:a14="http://schemas.microsoft.com/office/drawing/2010/main" Requires="a14">
        <xdr:graphicFrame macro="">
          <xdr:nvGraphicFramePr>
            <xdr:cNvPr id="2" name="Class">
              <a:extLst>
                <a:ext uri="{FF2B5EF4-FFF2-40B4-BE49-F238E27FC236}">
                  <a16:creationId xmlns:a16="http://schemas.microsoft.com/office/drawing/2014/main" id="{F30A52A5-79C5-4660-85C4-9F1C8396E9B7}"/>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dr:sp macro="" textlink="">
          <xdr:nvSpPr>
            <xdr:cNvPr id="0" name=""/>
            <xdr:cNvSpPr>
              <a:spLocks noTextEdit="1"/>
            </xdr:cNvSpPr>
          </xdr:nvSpPr>
          <xdr:spPr>
            <a:xfrm>
              <a:off x="3891687" y="219456"/>
              <a:ext cx="1828800" cy="15654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58522</xdr:colOff>
      <xdr:row>4</xdr:row>
      <xdr:rowOff>168250</xdr:rowOff>
    </xdr:from>
    <xdr:to>
      <xdr:col>3</xdr:col>
      <xdr:colOff>972922</xdr:colOff>
      <xdr:row>7</xdr:row>
      <xdr:rowOff>102413</xdr:rowOff>
    </xdr:to>
    <xdr:cxnSp macro="">
      <xdr:nvCxnSpPr>
        <xdr:cNvPr id="4" name="Straight Arrow Connector 3">
          <a:extLst>
            <a:ext uri="{FF2B5EF4-FFF2-40B4-BE49-F238E27FC236}">
              <a16:creationId xmlns:a16="http://schemas.microsoft.com/office/drawing/2014/main" id="{01A5CDDE-CB80-4737-8D03-765880C942F6}"/>
            </a:ext>
          </a:extLst>
        </xdr:cNvPr>
        <xdr:cNvCxnSpPr/>
      </xdr:nvCxnSpPr>
      <xdr:spPr>
        <a:xfrm flipV="1">
          <a:off x="2918765" y="914400"/>
          <a:ext cx="914400" cy="49743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248717</xdr:colOff>
      <xdr:row>5</xdr:row>
      <xdr:rowOff>43891</xdr:rowOff>
    </xdr:from>
    <xdr:to>
      <xdr:col>8</xdr:col>
      <xdr:colOff>460858</xdr:colOff>
      <xdr:row>8</xdr:row>
      <xdr:rowOff>21945</xdr:rowOff>
    </xdr:to>
    <xdr:cxnSp macro="">
      <xdr:nvCxnSpPr>
        <xdr:cNvPr id="6" name="Straight Arrow Connector 5">
          <a:extLst>
            <a:ext uri="{FF2B5EF4-FFF2-40B4-BE49-F238E27FC236}">
              <a16:creationId xmlns:a16="http://schemas.microsoft.com/office/drawing/2014/main" id="{1621891E-9211-49BE-AF4B-EC17CDCD1C35}"/>
            </a:ext>
          </a:extLst>
        </xdr:cNvPr>
        <xdr:cNvCxnSpPr/>
      </xdr:nvCxnSpPr>
      <xdr:spPr>
        <a:xfrm flipH="1" flipV="1">
          <a:off x="5771693" y="980237"/>
          <a:ext cx="1207008" cy="53400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14</xdr:row>
          <xdr:rowOff>146304</xdr:rowOff>
        </xdr:from>
        <xdr:to>
          <xdr:col>7</xdr:col>
          <xdr:colOff>299922</xdr:colOff>
          <xdr:row>16</xdr:row>
          <xdr:rowOff>7315</xdr:rowOff>
        </xdr:to>
        <xdr:sp macro="" textlink="">
          <xdr:nvSpPr>
            <xdr:cNvPr id="11266" name="Option Button 2" hidden="1">
              <a:extLst>
                <a:ext uri="{63B3BB69-23CF-44E3-9099-C40C66FF867C}">
                  <a14:compatExt spid="_x0000_s11266"/>
                </a:ext>
                <a:ext uri="{FF2B5EF4-FFF2-40B4-BE49-F238E27FC236}">
                  <a16:creationId xmlns:a16="http://schemas.microsoft.com/office/drawing/2014/main" id="{B27690F8-C691-44B4-AFC9-2E0CC1F6CD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Test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760780</xdr:colOff>
          <xdr:row>15</xdr:row>
          <xdr:rowOff>153620</xdr:rowOff>
        </xdr:from>
        <xdr:to>
          <xdr:col>7</xdr:col>
          <xdr:colOff>299923</xdr:colOff>
          <xdr:row>17</xdr:row>
          <xdr:rowOff>14631</xdr:rowOff>
        </xdr:to>
        <xdr:sp macro="" textlink="">
          <xdr:nvSpPr>
            <xdr:cNvPr id="11267" name="Option Button 3" hidden="1">
              <a:extLst>
                <a:ext uri="{63B3BB69-23CF-44E3-9099-C40C66FF867C}">
                  <a14:compatExt spid="_x0000_s11267"/>
                </a:ext>
                <a:ext uri="{FF2B5EF4-FFF2-40B4-BE49-F238E27FC236}">
                  <a16:creationId xmlns:a16="http://schemas.microsoft.com/office/drawing/2014/main" id="{882FE748-D26E-43CA-9398-B0D1766AB8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Test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760780</xdr:colOff>
          <xdr:row>16</xdr:row>
          <xdr:rowOff>146304</xdr:rowOff>
        </xdr:from>
        <xdr:to>
          <xdr:col>6</xdr:col>
          <xdr:colOff>570587</xdr:colOff>
          <xdr:row>18</xdr:row>
          <xdr:rowOff>14631</xdr:rowOff>
        </xdr:to>
        <xdr:sp macro="" textlink="">
          <xdr:nvSpPr>
            <xdr:cNvPr id="11268" name="Option Button 4" hidden="1">
              <a:extLst>
                <a:ext uri="{63B3BB69-23CF-44E3-9099-C40C66FF867C}">
                  <a14:compatExt spid="_x0000_s11268"/>
                </a:ext>
                <a:ext uri="{FF2B5EF4-FFF2-40B4-BE49-F238E27FC236}">
                  <a16:creationId xmlns:a16="http://schemas.microsoft.com/office/drawing/2014/main" id="{A9422834-E6A2-4087-B7D7-21E8F9F23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Test 3</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197510</xdr:colOff>
          <xdr:row>15</xdr:row>
          <xdr:rowOff>51206</xdr:rowOff>
        </xdr:from>
        <xdr:to>
          <xdr:col>8</xdr:col>
          <xdr:colOff>519379</xdr:colOff>
          <xdr:row>16</xdr:row>
          <xdr:rowOff>175565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DFF35FED-0054-4262-A036-350D3ED320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Class</a:t>
              </a:r>
            </a:p>
          </xdr:txBody>
        </xdr:sp>
        <xdr:clientData fPrintsWithSheet="0"/>
      </xdr:twoCellAnchor>
    </mc:Choice>
    <mc:Fallback/>
  </mc:AlternateContent>
  <xdr:twoCellAnchor>
    <xdr:from>
      <xdr:col>5</xdr:col>
      <xdr:colOff>621792</xdr:colOff>
      <xdr:row>8</xdr:row>
      <xdr:rowOff>95098</xdr:rowOff>
    </xdr:from>
    <xdr:to>
      <xdr:col>8</xdr:col>
      <xdr:colOff>234086</xdr:colOff>
      <xdr:row>14</xdr:row>
      <xdr:rowOff>14630</xdr:rowOff>
    </xdr:to>
    <xdr:sp macro="" textlink="">
      <xdr:nvSpPr>
        <xdr:cNvPr id="2" name="Thought Bubble: Cloud 1">
          <a:extLst>
            <a:ext uri="{FF2B5EF4-FFF2-40B4-BE49-F238E27FC236}">
              <a16:creationId xmlns:a16="http://schemas.microsoft.com/office/drawing/2014/main" id="{A1EF11AF-6357-494F-8627-410F996E1F0E}"/>
            </a:ext>
          </a:extLst>
        </xdr:cNvPr>
        <xdr:cNvSpPr/>
      </xdr:nvSpPr>
      <xdr:spPr>
        <a:xfrm>
          <a:off x="4615891" y="1558138"/>
          <a:ext cx="1543507" cy="1016812"/>
        </a:xfrm>
        <a:prstGeom prst="cloudCallou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100"/>
            <a:t>Choose a Test</a:t>
          </a:r>
          <a:r>
            <a:rPr lang="en-US" sz="1100" baseline="0"/>
            <a:t> button and a class</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146303</xdr:colOff>
          <xdr:row>2</xdr:row>
          <xdr:rowOff>131674</xdr:rowOff>
        </xdr:from>
        <xdr:to>
          <xdr:col>20</xdr:col>
          <xdr:colOff>102412</xdr:colOff>
          <xdr:row>4</xdr:row>
          <xdr:rowOff>124358</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Filter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eem" refreshedDate="43590.026942013887" createdVersion="6" refreshedVersion="6" minRefreshableVersion="3" recordCount="113" xr:uid="{EDB5EB89-C559-43BF-B104-9CA1855CF7BF}">
  <cacheSource type="worksheet">
    <worksheetSource name="Table4"/>
  </cacheSource>
  <cacheFields count="19">
    <cacheField name="Class" numFmtId="0">
      <sharedItems count="4">
        <s v="P1 MTH 101"/>
        <s v="P2 MTH 101"/>
        <s v="P3 MTH 102"/>
        <s v="P4 MTH 204"/>
      </sharedItems>
    </cacheField>
    <cacheField name="Last" numFmtId="0">
      <sharedItems/>
    </cacheField>
    <cacheField name="First" numFmtId="0">
      <sharedItems/>
    </cacheField>
    <cacheField name="Test 1" numFmtId="9">
      <sharedItems containsSemiMixedTypes="0" containsString="0" containsNumber="1" minValue="0.52" maxValue="1"/>
    </cacheField>
    <cacheField name="Test 2" numFmtId="9">
      <sharedItems containsSemiMixedTypes="0" containsString="0" containsNumber="1" minValue="0.54" maxValue="1"/>
    </cacheField>
    <cacheField name="Test 3" numFmtId="9">
      <sharedItems containsSemiMixedTypes="0" containsString="0" containsNumber="1" minValue="0.45" maxValue="1"/>
    </cacheField>
    <cacheField name="Quiz 1" numFmtId="9">
      <sharedItems containsSemiMixedTypes="0" containsString="0" containsNumber="1" minValue="0.5" maxValue="0.98"/>
    </cacheField>
    <cacheField name="Quiz 2" numFmtId="9">
      <sharedItems containsSemiMixedTypes="0" containsString="0" containsNumber="1" minValue="0.45" maxValue="1"/>
    </cacheField>
    <cacheField name="Quiz 3" numFmtId="9">
      <sharedItems containsSemiMixedTypes="0" containsString="0" containsNumber="1" minValue="0.5" maxValue="1"/>
    </cacheField>
    <cacheField name="Quiz 4" numFmtId="9">
      <sharedItems containsSemiMixedTypes="0" containsString="0" containsNumber="1" minValue="0.45" maxValue="1"/>
    </cacheField>
    <cacheField name="HW 1" numFmtId="9">
      <sharedItems containsSemiMixedTypes="0" containsString="0" containsNumber="1" minValue="0.51" maxValue="1"/>
    </cacheField>
    <cacheField name="HW 2" numFmtId="9">
      <sharedItems containsSemiMixedTypes="0" containsString="0" containsNumber="1" minValue="0.45" maxValue="1"/>
    </cacheField>
    <cacheField name="HW 3" numFmtId="9">
      <sharedItems containsSemiMixedTypes="0" containsString="0" containsNumber="1" minValue="0.46" maxValue="1"/>
    </cacheField>
    <cacheField name="HW 4" numFmtId="9">
      <sharedItems containsSemiMixedTypes="0" containsString="0" containsNumber="1" minValue="0.49" maxValue="0.99"/>
    </cacheField>
    <cacheField name="HW 5" numFmtId="9">
      <sharedItems containsSemiMixedTypes="0" containsString="0" containsNumber="1" minValue="0.45" maxValue="1"/>
    </cacheField>
    <cacheField name="Project" numFmtId="9">
      <sharedItems containsSemiMixedTypes="0" containsString="0" containsNumber="1" minValue="0.45" maxValue="1" count="42">
        <n v="0.77"/>
        <n v="0.95"/>
        <n v="0.8"/>
        <n v="0.74"/>
        <n v="0.7"/>
        <n v="0.73"/>
        <n v="0.71"/>
        <n v="0.82"/>
        <n v="0.83"/>
        <n v="0.89"/>
        <n v="0.9"/>
        <n v="0.67"/>
        <n v="0.64"/>
        <n v="0.84"/>
        <n v="0.55000000000000004"/>
        <n v="0.63"/>
        <n v="0.52"/>
        <n v="0.78"/>
        <n v="0.56999999999999995"/>
        <n v="0.45"/>
        <n v="0.98"/>
        <n v="1"/>
        <n v="0.87"/>
        <n v="0.85"/>
        <n v="0.79"/>
        <n v="0.75"/>
        <n v="0.68"/>
        <n v="0.69"/>
        <n v="0.76"/>
        <n v="0.65"/>
        <n v="0.56000000000000005"/>
        <n v="0.57999999999999996"/>
        <n v="0.93"/>
        <n v="0.99"/>
        <n v="0.97"/>
        <n v="0.96"/>
        <n v="0.92"/>
        <n v="0.72"/>
        <n v="0.94"/>
        <n v="0.91"/>
        <n v="0.81"/>
        <n v="0.66"/>
      </sharedItems>
    </cacheField>
    <cacheField name="Overall GPA" numFmtId="9">
      <sharedItems containsSemiMixedTypes="0" containsString="0" containsNumber="1" minValue="0.56180000000000008" maxValue="0.96150000000000002"/>
    </cacheField>
    <cacheField name="Letter" numFmtId="9">
      <sharedItems count="10">
        <s v="A"/>
        <s v="A-"/>
        <s v="B+"/>
        <s v="B"/>
        <s v="B-"/>
        <s v="C"/>
        <s v="C-"/>
        <s v="F"/>
        <s v="D"/>
        <s v="A+"/>
      </sharedItems>
    </cacheField>
    <cacheField name="Absences" numFmtId="0">
      <sharedItems containsSemiMixedTypes="0" containsString="0" containsNumber="1" containsInteger="1" minValue="0" maxValue="6" count="7">
        <n v="0"/>
        <n v="3"/>
        <n v="2"/>
        <n v="1"/>
        <n v="4"/>
        <n v="5"/>
        <n v="6"/>
      </sharedItems>
    </cacheField>
  </cacheFields>
  <extLst>
    <ext xmlns:x14="http://schemas.microsoft.com/office/spreadsheetml/2009/9/main" uri="{725AE2AE-9491-48be-B2B4-4EB974FC3084}">
      <x14:pivotCacheDefinition pivotCacheId="18305778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x v="0"/>
    <s v="Wilson"/>
    <s v="Olivia"/>
    <n v="0.99"/>
    <n v="0.92"/>
    <n v="0.98"/>
    <n v="0.88"/>
    <n v="0.77"/>
    <n v="0.98"/>
    <n v="1"/>
    <n v="0.76"/>
    <n v="0.76"/>
    <n v="0.87"/>
    <n v="0.77"/>
    <n v="0.96"/>
    <x v="0"/>
    <n v="0.90580000000000016"/>
    <x v="0"/>
    <x v="0"/>
  </r>
  <r>
    <x v="0"/>
    <s v="Smith"/>
    <s v="Mary"/>
    <n v="0.94"/>
    <n v="0.94"/>
    <n v="0.83"/>
    <n v="0.96"/>
    <n v="0.72"/>
    <n v="0.79"/>
    <n v="0.93"/>
    <n v="0.78"/>
    <n v="0.86"/>
    <n v="0.93"/>
    <n v="0.99"/>
    <n v="0.98"/>
    <x v="1"/>
    <n v="0.89459999999999984"/>
    <x v="0"/>
    <x v="1"/>
  </r>
  <r>
    <x v="0"/>
    <s v="Jones"/>
    <s v="Daniel"/>
    <n v="0.93"/>
    <n v="0.84"/>
    <n v="0.97"/>
    <n v="0.7"/>
    <n v="0.79"/>
    <n v="0.83"/>
    <n v="0.82"/>
    <n v="0.82"/>
    <n v="0.74"/>
    <n v="0.81"/>
    <n v="0.92"/>
    <n v="0.92"/>
    <x v="2"/>
    <n v="0.8649"/>
    <x v="1"/>
    <x v="2"/>
  </r>
  <r>
    <x v="0"/>
    <s v="Brown"/>
    <s v="Ali"/>
    <n v="0.81"/>
    <n v="0.91"/>
    <n v="0.95"/>
    <n v="0.78"/>
    <n v="0.99"/>
    <n v="0.88"/>
    <n v="0.9"/>
    <n v="0.76"/>
    <n v="0.87"/>
    <n v="1"/>
    <n v="0.74"/>
    <n v="0.76"/>
    <x v="3"/>
    <n v="0.86470000000000002"/>
    <x v="1"/>
    <x v="0"/>
  </r>
  <r>
    <x v="0"/>
    <s v="Taylor"/>
    <s v="Sophia"/>
    <n v="0.76"/>
    <n v="0.83"/>
    <n v="0.89"/>
    <n v="0.74"/>
    <n v="1"/>
    <n v="0.9"/>
    <n v="0.95"/>
    <n v="0.81"/>
    <n v="0.7"/>
    <n v="0.97"/>
    <n v="0.97"/>
    <n v="0.88"/>
    <x v="4"/>
    <n v="0.83919999999999995"/>
    <x v="2"/>
    <x v="1"/>
  </r>
  <r>
    <x v="0"/>
    <s v="Williams"/>
    <s v="Andrea"/>
    <n v="0.7"/>
    <n v="0.93"/>
    <n v="0.88"/>
    <n v="0.72"/>
    <n v="0.92"/>
    <n v="0.76"/>
    <n v="0.9"/>
    <n v="0.78"/>
    <n v="0.78"/>
    <n v="0.93"/>
    <n v="0.79"/>
    <n v="0.98"/>
    <x v="0"/>
    <n v="0.83289999999999997"/>
    <x v="2"/>
    <x v="0"/>
  </r>
  <r>
    <x v="0"/>
    <s v="Moore"/>
    <s v="Nial"/>
    <n v="0.77"/>
    <n v="0.94"/>
    <n v="0.79"/>
    <n v="0.98"/>
    <n v="0.77"/>
    <n v="0.92"/>
    <n v="0.76"/>
    <n v="0.82"/>
    <n v="0.79"/>
    <n v="0.96"/>
    <n v="0.8"/>
    <n v="0.77"/>
    <x v="5"/>
    <n v="0.8246"/>
    <x v="2"/>
    <x v="3"/>
  </r>
  <r>
    <x v="0"/>
    <s v="Miller"/>
    <s v="Jack"/>
    <n v="0.7"/>
    <n v="0.93"/>
    <n v="0.81"/>
    <n v="0.9"/>
    <n v="0.89"/>
    <n v="0.85"/>
    <n v="0.72"/>
    <n v="0.72"/>
    <n v="0.92"/>
    <n v="1"/>
    <n v="0.94"/>
    <n v="0.7"/>
    <x v="6"/>
    <n v="0.81670000000000009"/>
    <x v="2"/>
    <x v="0"/>
  </r>
  <r>
    <x v="0"/>
    <s v="Phillips"/>
    <s v="Harry"/>
    <n v="0.89"/>
    <n v="0.63"/>
    <n v="0.81"/>
    <n v="0.61"/>
    <n v="0.6"/>
    <n v="0.82"/>
    <n v="0.74"/>
    <n v="0.88"/>
    <n v="0.73"/>
    <n v="0.88"/>
    <n v="0.76"/>
    <n v="0.67"/>
    <x v="7"/>
    <n v="0.76729999999999998"/>
    <x v="3"/>
    <x v="3"/>
  </r>
  <r>
    <x v="0"/>
    <s v="Wheeler"/>
    <s v="Kim"/>
    <n v="0.85"/>
    <n v="0.78"/>
    <n v="0.84"/>
    <n v="0.63"/>
    <n v="0.65"/>
    <n v="0.64"/>
    <n v="0.69"/>
    <n v="0.88"/>
    <n v="0.69"/>
    <n v="0.65"/>
    <n v="0.64"/>
    <n v="0.66"/>
    <x v="8"/>
    <n v="0.76679999999999982"/>
    <x v="3"/>
    <x v="3"/>
  </r>
  <r>
    <x v="0"/>
    <s v="Thompson"/>
    <s v="Liam"/>
    <n v="0.64"/>
    <n v="0.81"/>
    <n v="0.81"/>
    <n v="0.6"/>
    <n v="0.9"/>
    <n v="0.9"/>
    <n v="0.81"/>
    <n v="0.61"/>
    <n v="0.6"/>
    <n v="0.65"/>
    <n v="0.61"/>
    <n v="0.88"/>
    <x v="9"/>
    <n v="0.76300000000000001"/>
    <x v="3"/>
    <x v="3"/>
  </r>
  <r>
    <x v="0"/>
    <s v="Jonas"/>
    <s v="Nick"/>
    <n v="0.75"/>
    <n v="0.72"/>
    <n v="0.81"/>
    <n v="0.69"/>
    <n v="0.77"/>
    <n v="0.69"/>
    <n v="0.87"/>
    <n v="0.82"/>
    <n v="0.61"/>
    <n v="0.67"/>
    <n v="0.87"/>
    <n v="0.7"/>
    <x v="2"/>
    <n v="0.7603000000000002"/>
    <x v="3"/>
    <x v="2"/>
  </r>
  <r>
    <x v="0"/>
    <s v="Bell"/>
    <s v="Zyan"/>
    <n v="0.69"/>
    <n v="0.64"/>
    <n v="0.89"/>
    <n v="0.85"/>
    <n v="0.75"/>
    <n v="0.65"/>
    <n v="0.7"/>
    <n v="0.68"/>
    <n v="0.79"/>
    <n v="0.88"/>
    <n v="0.82"/>
    <n v="0.83"/>
    <x v="4"/>
    <n v="0.75499999999999989"/>
    <x v="4"/>
    <x v="2"/>
  </r>
  <r>
    <x v="0"/>
    <s v="Gordon"/>
    <s v="Selena"/>
    <n v="0.68"/>
    <n v="0.74"/>
    <n v="0.84"/>
    <n v="0.74"/>
    <n v="0.62"/>
    <n v="0.84"/>
    <n v="0.77"/>
    <n v="0.61"/>
    <n v="0.64"/>
    <n v="0.77"/>
    <n v="0.66"/>
    <n v="0.8"/>
    <x v="7"/>
    <n v="0.75069999999999992"/>
    <x v="4"/>
    <x v="2"/>
  </r>
  <r>
    <x v="0"/>
    <s v="Hunter"/>
    <s v="Kevin"/>
    <n v="0.67"/>
    <n v="0.6"/>
    <n v="0.85"/>
    <n v="0.67"/>
    <n v="0.73"/>
    <n v="0.74"/>
    <n v="0.62"/>
    <n v="0.71"/>
    <n v="0.79"/>
    <n v="0.75"/>
    <n v="0.89"/>
    <n v="0.6"/>
    <x v="10"/>
    <n v="0.73809999999999987"/>
    <x v="4"/>
    <x v="1"/>
  </r>
  <r>
    <x v="0"/>
    <s v="Robertson"/>
    <s v="Lily"/>
    <n v="0.85"/>
    <n v="0.68"/>
    <n v="0.67"/>
    <n v="0.77"/>
    <n v="0.7"/>
    <n v="0.61"/>
    <n v="0.81"/>
    <n v="0.74"/>
    <n v="0.6"/>
    <n v="0.75"/>
    <n v="0.83"/>
    <n v="0.82"/>
    <x v="11"/>
    <n v="0.72459999999999991"/>
    <x v="4"/>
    <x v="0"/>
  </r>
  <r>
    <x v="0"/>
    <s v="Black"/>
    <s v="Henry"/>
    <n v="0.64"/>
    <n v="0.84"/>
    <n v="0.75"/>
    <n v="0.63"/>
    <n v="0.62"/>
    <n v="0.8"/>
    <n v="0.56999999999999995"/>
    <n v="0.71"/>
    <n v="0.82"/>
    <n v="0.85"/>
    <n v="0.75"/>
    <n v="0.8"/>
    <x v="12"/>
    <n v="0.72420000000000018"/>
    <x v="4"/>
    <x v="3"/>
  </r>
  <r>
    <x v="0"/>
    <s v="Tyrell"/>
    <s v="Emma"/>
    <n v="0.75"/>
    <n v="0.75"/>
    <n v="0.64"/>
    <n v="0.81"/>
    <n v="0.62"/>
    <n v="0.81"/>
    <n v="0.71"/>
    <n v="0.73"/>
    <n v="0.81"/>
    <n v="0.75"/>
    <n v="0.67"/>
    <n v="0.55000000000000004"/>
    <x v="8"/>
    <n v="0.72389999999999999"/>
    <x v="4"/>
    <x v="0"/>
  </r>
  <r>
    <x v="0"/>
    <s v="Stark"/>
    <s v="Ava"/>
    <n v="0.66"/>
    <n v="0.6"/>
    <n v="0.75"/>
    <n v="0.76"/>
    <n v="0.59"/>
    <n v="0.84"/>
    <n v="0.79"/>
    <n v="0.74"/>
    <n v="0.78"/>
    <n v="0.74"/>
    <n v="0.69"/>
    <n v="0.79"/>
    <x v="13"/>
    <n v="0.7215999999999998"/>
    <x v="4"/>
    <x v="1"/>
  </r>
  <r>
    <x v="0"/>
    <s v="Clarke"/>
    <s v="Joe"/>
    <n v="0.74"/>
    <n v="0.73"/>
    <n v="0.68"/>
    <n v="0.6"/>
    <n v="0.75"/>
    <n v="0.72"/>
    <n v="0.86"/>
    <n v="0.71"/>
    <n v="0.6"/>
    <n v="0.7"/>
    <n v="0.62"/>
    <n v="0.88"/>
    <x v="5"/>
    <n v="0.71640000000000004"/>
    <x v="4"/>
    <x v="2"/>
  </r>
  <r>
    <x v="0"/>
    <s v="Luna"/>
    <s v="Sam"/>
    <n v="0.56000000000000005"/>
    <n v="0.82"/>
    <n v="0.84"/>
    <n v="0.66"/>
    <n v="0.69"/>
    <n v="0.79"/>
    <n v="0.76"/>
    <n v="0.74"/>
    <n v="0.72"/>
    <n v="0.83"/>
    <n v="0.55000000000000004"/>
    <n v="0.67"/>
    <x v="14"/>
    <n v="0.71540000000000015"/>
    <x v="4"/>
    <x v="2"/>
  </r>
  <r>
    <x v="0"/>
    <s v="Lanister"/>
    <s v="Jaime"/>
    <n v="0.85"/>
    <n v="0.7"/>
    <n v="0.84"/>
    <n v="0.69"/>
    <n v="0.55000000000000004"/>
    <n v="0.55000000000000004"/>
    <n v="0.6"/>
    <n v="0.61"/>
    <n v="0.56999999999999995"/>
    <n v="0.59"/>
    <n v="0.67"/>
    <n v="0.59"/>
    <x v="4"/>
    <n v="0.71119999999999994"/>
    <x v="4"/>
    <x v="2"/>
  </r>
  <r>
    <x v="0"/>
    <s v="Baratheon"/>
    <s v="Noah"/>
    <n v="0.66"/>
    <n v="0.67"/>
    <n v="0.77"/>
    <n v="0.67"/>
    <n v="0.82"/>
    <n v="0.7"/>
    <n v="0.57999999999999996"/>
    <n v="0.82"/>
    <n v="0.82"/>
    <n v="0.6"/>
    <n v="0.82"/>
    <n v="0.61"/>
    <x v="15"/>
    <n v="0.70179999999999976"/>
    <x v="5"/>
    <x v="4"/>
  </r>
  <r>
    <x v="0"/>
    <s v="Flander"/>
    <s v="Isabella"/>
    <n v="0.66"/>
    <n v="0.75"/>
    <n v="0.66"/>
    <n v="0.69"/>
    <n v="0.46"/>
    <n v="0.78"/>
    <n v="0.77"/>
    <n v="0.73"/>
    <n v="0.52"/>
    <n v="0.74"/>
    <n v="0.49"/>
    <n v="0.62"/>
    <x v="5"/>
    <n v="0.67549999999999999"/>
    <x v="6"/>
    <x v="5"/>
  </r>
  <r>
    <x v="0"/>
    <s v="Lane"/>
    <s v="Harry"/>
    <n v="0.67"/>
    <n v="0.68"/>
    <n v="0.64"/>
    <n v="0.85"/>
    <n v="0.63"/>
    <n v="0.77"/>
    <n v="0.79"/>
    <n v="0.56999999999999995"/>
    <n v="0.59"/>
    <n v="0.78"/>
    <n v="0.81"/>
    <n v="0.56999999999999995"/>
    <x v="14"/>
    <n v="0.67030000000000001"/>
    <x v="6"/>
    <x v="2"/>
  </r>
  <r>
    <x v="0"/>
    <s v="Patel"/>
    <s v="Mohammad"/>
    <n v="0.77"/>
    <n v="0.54"/>
    <n v="0.8"/>
    <n v="0.7"/>
    <n v="0.56000000000000005"/>
    <n v="0.76"/>
    <n v="0.56999999999999995"/>
    <n v="0.56999999999999995"/>
    <n v="0.46"/>
    <n v="0.47"/>
    <n v="0.68"/>
    <n v="0.45"/>
    <x v="5"/>
    <n v="0.66420000000000001"/>
    <x v="6"/>
    <x v="1"/>
  </r>
  <r>
    <x v="0"/>
    <s v="Simpson"/>
    <s v="Aiden"/>
    <n v="0.54"/>
    <n v="0.6"/>
    <n v="0.66"/>
    <n v="0.71"/>
    <n v="0.78"/>
    <n v="0.79"/>
    <n v="0.64"/>
    <n v="0.75"/>
    <n v="0.53"/>
    <n v="0.55000000000000004"/>
    <n v="0.5"/>
    <n v="0.8"/>
    <x v="16"/>
    <n v="0.62620000000000009"/>
    <x v="7"/>
    <x v="5"/>
  </r>
  <r>
    <x v="0"/>
    <s v="Snow"/>
    <s v="Britany"/>
    <n v="0.65"/>
    <n v="0.6"/>
    <n v="0.51"/>
    <n v="0.61"/>
    <n v="0.76"/>
    <n v="0.5"/>
    <n v="0.56999999999999995"/>
    <n v="0.51"/>
    <n v="0.63"/>
    <n v="0.77"/>
    <n v="0.64"/>
    <n v="0.76"/>
    <x v="17"/>
    <n v="0.6218999999999999"/>
    <x v="7"/>
    <x v="6"/>
  </r>
  <r>
    <x v="0"/>
    <s v="Bailey"/>
    <s v="Ashley"/>
    <n v="0.55000000000000004"/>
    <n v="0.76"/>
    <n v="0.47"/>
    <n v="0.76"/>
    <n v="0.61"/>
    <n v="0.5"/>
    <n v="0.56000000000000005"/>
    <n v="0.57999999999999996"/>
    <n v="0.54"/>
    <n v="0.69"/>
    <n v="0.72"/>
    <n v="0.62"/>
    <x v="17"/>
    <n v="0.6160000000000001"/>
    <x v="7"/>
    <x v="4"/>
  </r>
  <r>
    <x v="0"/>
    <s v="Cooper"/>
    <s v="Rashid"/>
    <n v="0.52"/>
    <n v="0.56999999999999995"/>
    <n v="0.66"/>
    <n v="0.68"/>
    <n v="0.79"/>
    <n v="0.72"/>
    <n v="0.49"/>
    <n v="0.51"/>
    <n v="0.48"/>
    <n v="0.8"/>
    <n v="0.64"/>
    <n v="0.64"/>
    <x v="18"/>
    <n v="0.60929999999999995"/>
    <x v="7"/>
    <x v="5"/>
  </r>
  <r>
    <x v="0"/>
    <s v="Lee"/>
    <s v="Caden"/>
    <n v="0.57999999999999996"/>
    <n v="0.67"/>
    <n v="0.56999999999999995"/>
    <n v="0.69"/>
    <n v="0.45"/>
    <n v="0.67"/>
    <n v="0.64"/>
    <n v="0.65"/>
    <n v="0.49"/>
    <n v="0.65"/>
    <n v="0.65"/>
    <n v="0.49"/>
    <x v="11"/>
    <n v="0.60820000000000007"/>
    <x v="7"/>
    <x v="2"/>
  </r>
  <r>
    <x v="0"/>
    <s v="Chan"/>
    <s v="Veronica"/>
    <n v="0.67"/>
    <n v="0.66"/>
    <n v="0.45"/>
    <n v="0.5"/>
    <n v="0.51"/>
    <n v="0.5"/>
    <n v="0.74"/>
    <n v="0.75"/>
    <n v="0.56000000000000005"/>
    <n v="0.59"/>
    <n v="0.49"/>
    <n v="0.57999999999999996"/>
    <x v="19"/>
    <n v="0.56580000000000008"/>
    <x v="7"/>
    <x v="4"/>
  </r>
  <r>
    <x v="0"/>
    <s v="Lincoln"/>
    <s v="Miranda"/>
    <n v="0.57999999999999996"/>
    <n v="0.68"/>
    <n v="0.46"/>
    <n v="0.73"/>
    <n v="0.46"/>
    <n v="0.62"/>
    <n v="0.45"/>
    <n v="0.57999999999999996"/>
    <n v="0.45"/>
    <n v="0.46"/>
    <n v="0.56000000000000005"/>
    <n v="0.72"/>
    <x v="18"/>
    <n v="0.56180000000000008"/>
    <x v="7"/>
    <x v="1"/>
  </r>
  <r>
    <x v="1"/>
    <s v="Bailey"/>
    <s v="Zyan"/>
    <n v="0.94"/>
    <n v="0.83"/>
    <n v="0.97"/>
    <n v="0.85"/>
    <n v="0.83"/>
    <n v="1"/>
    <n v="0.98"/>
    <n v="0.98"/>
    <n v="0.8"/>
    <n v="0.94"/>
    <n v="0.88"/>
    <n v="0.8"/>
    <x v="1"/>
    <n v="0.91350000000000009"/>
    <x v="0"/>
    <x v="3"/>
  </r>
  <r>
    <x v="1"/>
    <s v="Brown"/>
    <s v="Sam"/>
    <n v="0.94"/>
    <n v="0.96"/>
    <n v="0.86"/>
    <n v="0.81"/>
    <n v="0.95"/>
    <n v="0.99"/>
    <n v="0.82"/>
    <n v="0.94"/>
    <n v="0.82"/>
    <n v="0.81"/>
    <n v="0.87"/>
    <n v="0.92"/>
    <x v="20"/>
    <n v="0.90789999999999982"/>
    <x v="0"/>
    <x v="1"/>
  </r>
  <r>
    <x v="1"/>
    <s v="Baratheon"/>
    <s v="Veronica"/>
    <n v="0.99"/>
    <n v="1"/>
    <n v="0.82"/>
    <n v="0.88"/>
    <n v="0.83"/>
    <n v="0.99"/>
    <n v="0.95"/>
    <n v="0.95"/>
    <n v="0.94"/>
    <n v="0.82"/>
    <n v="0.8"/>
    <n v="0.92"/>
    <x v="8"/>
    <n v="0.9052"/>
    <x v="0"/>
    <x v="1"/>
  </r>
  <r>
    <x v="1"/>
    <s v="Black"/>
    <s v="Selena"/>
    <n v="0.87"/>
    <n v="0.83"/>
    <n v="0.96"/>
    <n v="0.98"/>
    <n v="0.87"/>
    <n v="0.82"/>
    <n v="1"/>
    <n v="0.96"/>
    <n v="0.99"/>
    <n v="0.82"/>
    <n v="0.8"/>
    <n v="0.83"/>
    <x v="20"/>
    <n v="0.90450000000000008"/>
    <x v="0"/>
    <x v="1"/>
  </r>
  <r>
    <x v="1"/>
    <s v="Bell"/>
    <s v="Sophia"/>
    <n v="0.8"/>
    <n v="0.83"/>
    <n v="0.95"/>
    <n v="0.89"/>
    <n v="0.9"/>
    <n v="0.94"/>
    <n v="1"/>
    <n v="0.87"/>
    <n v="0.95"/>
    <n v="0.93"/>
    <n v="0.8"/>
    <n v="0.87"/>
    <x v="21"/>
    <n v="0.89780000000000026"/>
    <x v="0"/>
    <x v="2"/>
  </r>
  <r>
    <x v="1"/>
    <s v="Chan"/>
    <s v="Rashid"/>
    <n v="0.88"/>
    <n v="0.96"/>
    <n v="0.81"/>
    <n v="0.96"/>
    <n v="0.85"/>
    <n v="0.93"/>
    <n v="0.94"/>
    <n v="0.85"/>
    <n v="0.83"/>
    <n v="0.86"/>
    <n v="0.98"/>
    <n v="0.87"/>
    <x v="21"/>
    <n v="0.89760000000000006"/>
    <x v="0"/>
    <x v="2"/>
  </r>
  <r>
    <x v="1"/>
    <s v="Jonas"/>
    <s v="Miranda"/>
    <n v="0.88"/>
    <n v="0.84"/>
    <n v="0.82"/>
    <n v="0.75"/>
    <n v="0.78"/>
    <n v="0.86"/>
    <n v="0.77"/>
    <n v="0.89"/>
    <n v="0.89"/>
    <n v="0.83"/>
    <n v="0.75"/>
    <n v="0.75"/>
    <x v="22"/>
    <n v="0.83140000000000003"/>
    <x v="2"/>
    <x v="2"/>
  </r>
  <r>
    <x v="1"/>
    <s v="Flander"/>
    <s v="Nick"/>
    <n v="0.77"/>
    <n v="0.9"/>
    <n v="0.84"/>
    <n v="0.78"/>
    <n v="0.88"/>
    <n v="0.79"/>
    <n v="0.77"/>
    <n v="0.87"/>
    <n v="0.87"/>
    <n v="0.81"/>
    <n v="0.84"/>
    <n v="0.78"/>
    <x v="23"/>
    <n v="0.83129999999999993"/>
    <x v="2"/>
    <x v="1"/>
  </r>
  <r>
    <x v="1"/>
    <s v="Lanister"/>
    <s v="Liam"/>
    <n v="0.79"/>
    <n v="0.86"/>
    <n v="0.8"/>
    <n v="0.81"/>
    <n v="0.79"/>
    <n v="0.88"/>
    <n v="0.86"/>
    <n v="0.84"/>
    <n v="0.78"/>
    <n v="0.86"/>
    <n v="0.87"/>
    <n v="0.89"/>
    <x v="8"/>
    <n v="0.82710000000000006"/>
    <x v="2"/>
    <x v="2"/>
  </r>
  <r>
    <x v="1"/>
    <s v="Cooper"/>
    <s v="Noah"/>
    <n v="0.86"/>
    <n v="0.78"/>
    <n v="0.79"/>
    <n v="0.9"/>
    <n v="0.83"/>
    <n v="0.87"/>
    <n v="0.87"/>
    <n v="0.8"/>
    <n v="0.82"/>
    <n v="0.88"/>
    <n v="0.82"/>
    <n v="0.78"/>
    <x v="2"/>
    <n v="0.82150000000000012"/>
    <x v="2"/>
    <x v="1"/>
  </r>
  <r>
    <x v="1"/>
    <s v="Jones"/>
    <s v="Mary"/>
    <n v="0.85"/>
    <n v="0.83"/>
    <n v="0.77"/>
    <n v="0.82"/>
    <n v="0.87"/>
    <n v="0.84"/>
    <n v="0.78"/>
    <n v="0.76"/>
    <n v="0.87"/>
    <n v="0.85"/>
    <n v="0.9"/>
    <n v="0.76"/>
    <x v="7"/>
    <n v="0.81910000000000005"/>
    <x v="2"/>
    <x v="3"/>
  </r>
  <r>
    <x v="1"/>
    <s v="Hunter"/>
    <s v="Mohammad"/>
    <n v="0.78"/>
    <n v="0.8"/>
    <n v="0.83"/>
    <n v="0.8"/>
    <n v="0.87"/>
    <n v="0.88"/>
    <n v="0.83"/>
    <n v="0.77"/>
    <n v="0.78"/>
    <n v="0.9"/>
    <n v="0.75"/>
    <n v="0.82"/>
    <x v="8"/>
    <n v="0.81580000000000008"/>
    <x v="2"/>
    <x v="1"/>
  </r>
  <r>
    <x v="1"/>
    <s v="Clarke"/>
    <s v="Olivia"/>
    <n v="0.76"/>
    <n v="0.77"/>
    <n v="0.81"/>
    <n v="0.87"/>
    <n v="0.89"/>
    <n v="0.82"/>
    <n v="0.88"/>
    <n v="0.77"/>
    <n v="0.79"/>
    <n v="0.9"/>
    <n v="0.9"/>
    <n v="0.82"/>
    <x v="7"/>
    <n v="0.81369999999999998"/>
    <x v="2"/>
    <x v="3"/>
  </r>
  <r>
    <x v="1"/>
    <s v="Gordon"/>
    <s v="Nial"/>
    <n v="0.82"/>
    <n v="0.76"/>
    <n v="0.8"/>
    <n v="0.9"/>
    <n v="0.77"/>
    <n v="0.76"/>
    <n v="0.81"/>
    <n v="0.82"/>
    <n v="0.79"/>
    <n v="0.87"/>
    <n v="0.86"/>
    <n v="0.83"/>
    <x v="2"/>
    <n v="0.80580000000000007"/>
    <x v="2"/>
    <x v="0"/>
  </r>
  <r>
    <x v="1"/>
    <s v="Lane"/>
    <s v="Lily"/>
    <n v="0.78"/>
    <n v="0.75"/>
    <n v="0.85"/>
    <n v="0.79"/>
    <n v="0.82"/>
    <n v="0.79"/>
    <n v="0.86"/>
    <n v="0.82"/>
    <n v="0.78"/>
    <n v="0.8"/>
    <n v="0.75"/>
    <n v="0.79"/>
    <x v="24"/>
    <n v="0.79909999999999992"/>
    <x v="2"/>
    <x v="3"/>
  </r>
  <r>
    <x v="1"/>
    <s v="Miller"/>
    <s v="Jaime"/>
    <n v="0.8"/>
    <n v="0.66"/>
    <n v="0.8"/>
    <n v="0.8"/>
    <n v="0.72"/>
    <n v="0.67"/>
    <n v="0.72"/>
    <n v="0.76"/>
    <n v="0.78"/>
    <n v="0.66"/>
    <n v="0.73"/>
    <n v="0.77"/>
    <x v="25"/>
    <n v="0.74750000000000005"/>
    <x v="4"/>
    <x v="3"/>
  </r>
  <r>
    <x v="1"/>
    <s v="Simpson"/>
    <s v="Harry"/>
    <n v="0.8"/>
    <n v="0.78"/>
    <n v="0.8"/>
    <n v="0.69"/>
    <n v="0.8"/>
    <n v="0.66"/>
    <n v="0.66"/>
    <n v="0.7"/>
    <n v="0.76"/>
    <n v="0.67"/>
    <n v="0.65"/>
    <n v="0.76"/>
    <x v="26"/>
    <n v="0.7471000000000001"/>
    <x v="4"/>
    <x v="0"/>
  </r>
  <r>
    <x v="1"/>
    <s v="Phillips"/>
    <s v="Henry"/>
    <n v="0.72"/>
    <n v="0.76"/>
    <n v="0.8"/>
    <n v="0.78"/>
    <n v="0.74"/>
    <n v="0.68"/>
    <n v="0.72"/>
    <n v="0.72"/>
    <n v="0.74"/>
    <n v="0.78"/>
    <n v="0.73"/>
    <n v="0.7"/>
    <x v="27"/>
    <n v="0.74380000000000002"/>
    <x v="4"/>
    <x v="0"/>
  </r>
  <r>
    <x v="1"/>
    <s v="Moore"/>
    <s v="Jack"/>
    <n v="0.67"/>
    <n v="0.76"/>
    <n v="0.79"/>
    <n v="0.8"/>
    <n v="0.77"/>
    <n v="0.73"/>
    <n v="0.77"/>
    <n v="0.65"/>
    <n v="0.65"/>
    <n v="0.73"/>
    <n v="0.8"/>
    <n v="0.67"/>
    <x v="0"/>
    <n v="0.7430000000000001"/>
    <x v="4"/>
    <x v="3"/>
  </r>
  <r>
    <x v="1"/>
    <s v="Robertson"/>
    <s v="Harry"/>
    <n v="0.72"/>
    <n v="0.79"/>
    <n v="0.71"/>
    <n v="0.73"/>
    <n v="0.8"/>
    <n v="0.65"/>
    <n v="0.66"/>
    <n v="0.72"/>
    <n v="0.69"/>
    <n v="0.66"/>
    <n v="0.72"/>
    <n v="0.77"/>
    <x v="28"/>
    <n v="0.7289000000000001"/>
    <x v="4"/>
    <x v="2"/>
  </r>
  <r>
    <x v="1"/>
    <s v="Luna"/>
    <s v="Joe"/>
    <n v="0.75"/>
    <n v="0.72"/>
    <n v="0.65"/>
    <n v="0.75"/>
    <n v="0.77"/>
    <n v="0.71"/>
    <n v="0.79"/>
    <n v="0.77"/>
    <n v="0.67"/>
    <n v="0.75"/>
    <n v="0.8"/>
    <n v="0.73"/>
    <x v="0"/>
    <n v="0.72730000000000006"/>
    <x v="4"/>
    <x v="0"/>
  </r>
  <r>
    <x v="1"/>
    <s v="Lincoln"/>
    <s v="Kevin"/>
    <n v="0.72"/>
    <n v="0.7"/>
    <n v="0.73"/>
    <n v="0.69"/>
    <n v="0.67"/>
    <n v="0.7"/>
    <n v="0.8"/>
    <n v="0.75"/>
    <n v="0.76"/>
    <n v="0.76"/>
    <n v="0.66"/>
    <n v="0.73"/>
    <x v="25"/>
    <n v="0.72339999999999982"/>
    <x v="4"/>
    <x v="0"/>
  </r>
  <r>
    <x v="1"/>
    <s v="Patel"/>
    <s v="Isabella"/>
    <n v="0.68"/>
    <n v="0.71"/>
    <n v="0.68"/>
    <n v="0.8"/>
    <n v="0.66"/>
    <n v="0.67"/>
    <n v="0.74"/>
    <n v="0.68"/>
    <n v="0.74"/>
    <n v="0.67"/>
    <n v="0.67"/>
    <n v="0.76"/>
    <x v="11"/>
    <n v="0.6958000000000002"/>
    <x v="5"/>
    <x v="3"/>
  </r>
  <r>
    <x v="1"/>
    <s v="Lee"/>
    <s v="Kim"/>
    <n v="0.65"/>
    <n v="0.65"/>
    <n v="0.68"/>
    <n v="0.74"/>
    <n v="0.65"/>
    <n v="0.7"/>
    <n v="0.77"/>
    <n v="0.66"/>
    <n v="0.68"/>
    <n v="0.72"/>
    <n v="0.66"/>
    <n v="0.8"/>
    <x v="28"/>
    <n v="0.69080000000000008"/>
    <x v="5"/>
    <x v="1"/>
  </r>
  <r>
    <x v="1"/>
    <s v="Taylor"/>
    <s v="Britany"/>
    <n v="0.57999999999999996"/>
    <n v="0.67"/>
    <n v="0.68"/>
    <n v="0.56999999999999995"/>
    <n v="0.63"/>
    <n v="0.7"/>
    <n v="0.61"/>
    <n v="0.66"/>
    <n v="0.64"/>
    <n v="0.69"/>
    <n v="0.61"/>
    <n v="0.65"/>
    <x v="29"/>
    <n v="0.64399999999999991"/>
    <x v="8"/>
    <x v="2"/>
  </r>
  <r>
    <x v="1"/>
    <s v="Snow"/>
    <s v="Daniel"/>
    <n v="0.65"/>
    <n v="0.7"/>
    <n v="0.69"/>
    <n v="0.68"/>
    <n v="0.69"/>
    <n v="0.56999999999999995"/>
    <n v="0.55000000000000004"/>
    <n v="0.57999999999999996"/>
    <n v="0.61"/>
    <n v="0.56000000000000005"/>
    <n v="0.56000000000000005"/>
    <n v="0.65"/>
    <x v="18"/>
    <n v="0.64040000000000008"/>
    <x v="8"/>
    <x v="3"/>
  </r>
  <r>
    <x v="1"/>
    <s v="Tyrell"/>
    <s v="Ashley"/>
    <n v="0.7"/>
    <n v="0.57999999999999996"/>
    <n v="0.55000000000000004"/>
    <n v="0.62"/>
    <n v="0.64"/>
    <n v="0.62"/>
    <n v="0.67"/>
    <n v="0.64"/>
    <n v="0.62"/>
    <n v="0.68"/>
    <n v="0.66"/>
    <n v="0.55000000000000004"/>
    <x v="26"/>
    <n v="0.62350000000000017"/>
    <x v="7"/>
    <x v="4"/>
  </r>
  <r>
    <x v="1"/>
    <s v="Stark"/>
    <s v="Caden"/>
    <n v="0.56999999999999995"/>
    <n v="0.55000000000000004"/>
    <n v="0.68"/>
    <n v="0.69"/>
    <n v="0.62"/>
    <n v="0.66"/>
    <n v="0.56999999999999995"/>
    <n v="0.56999999999999995"/>
    <n v="0.62"/>
    <n v="0.7"/>
    <n v="0.56000000000000005"/>
    <n v="0.7"/>
    <x v="18"/>
    <n v="0.61399999999999988"/>
    <x v="7"/>
    <x v="2"/>
  </r>
  <r>
    <x v="1"/>
    <s v="Thompson"/>
    <s v="Ava"/>
    <n v="0.55000000000000004"/>
    <n v="0.65"/>
    <n v="0.66"/>
    <n v="0.57999999999999996"/>
    <n v="0.59"/>
    <n v="0.56000000000000005"/>
    <n v="0.69"/>
    <n v="0.65"/>
    <n v="0.62"/>
    <n v="0.56000000000000005"/>
    <n v="0.56000000000000005"/>
    <n v="0.64"/>
    <x v="30"/>
    <n v="0.61019999999999996"/>
    <x v="7"/>
    <x v="1"/>
  </r>
  <r>
    <x v="1"/>
    <s v="Smith"/>
    <s v="Emma"/>
    <n v="0.63"/>
    <n v="0.56000000000000005"/>
    <n v="0.56999999999999995"/>
    <n v="0.55000000000000004"/>
    <n v="0.67"/>
    <n v="0.67"/>
    <n v="0.66"/>
    <n v="0.65"/>
    <n v="0.67"/>
    <n v="0.64"/>
    <n v="0.62"/>
    <n v="0.63"/>
    <x v="31"/>
    <n v="0.60640000000000005"/>
    <x v="7"/>
    <x v="5"/>
  </r>
  <r>
    <x v="2"/>
    <s v="Wilson"/>
    <s v="Olivia"/>
    <n v="0.92"/>
    <n v="0.98"/>
    <n v="0.92"/>
    <n v="0.96"/>
    <n v="0.98"/>
    <n v="0.91"/>
    <n v="0.95"/>
    <n v="0.97"/>
    <n v="0.9"/>
    <n v="1"/>
    <n v="0.95"/>
    <n v="0.98"/>
    <x v="32"/>
    <n v="0.94400000000000028"/>
    <x v="9"/>
    <x v="0"/>
  </r>
  <r>
    <x v="2"/>
    <s v="Williams"/>
    <s v="Mary"/>
    <n v="0.95"/>
    <n v="0.93"/>
    <n v="0.94"/>
    <n v="0.98"/>
    <n v="0.96"/>
    <n v="0.98"/>
    <n v="0.95"/>
    <n v="0.96"/>
    <n v="1"/>
    <n v="0.98"/>
    <n v="0.92"/>
    <n v="0.9"/>
    <x v="33"/>
    <n v="0.95290000000000008"/>
    <x v="9"/>
    <x v="3"/>
  </r>
  <r>
    <x v="2"/>
    <s v="Wheeler"/>
    <s v="Daniel"/>
    <n v="1"/>
    <n v="0.94"/>
    <n v="0.97"/>
    <n v="0.9"/>
    <n v="0.91"/>
    <n v="1"/>
    <n v="0.93"/>
    <n v="0.94"/>
    <n v="0.98"/>
    <n v="0.96"/>
    <n v="0.97"/>
    <n v="1"/>
    <x v="10"/>
    <n v="0.95600000000000007"/>
    <x v="9"/>
    <x v="0"/>
  </r>
  <r>
    <x v="2"/>
    <s v="Tyrell"/>
    <s v="Ali"/>
    <n v="0.99"/>
    <n v="0.85"/>
    <n v="0.88"/>
    <n v="0.85"/>
    <n v="0.91"/>
    <n v="0.96"/>
    <n v="0.86"/>
    <n v="0.95"/>
    <n v="0.85"/>
    <n v="0.86"/>
    <n v="0.97"/>
    <n v="0.91"/>
    <x v="10"/>
    <n v="0.90260000000000018"/>
    <x v="9"/>
    <x v="1"/>
  </r>
  <r>
    <x v="2"/>
    <s v="Thompson"/>
    <s v="Sophia"/>
    <n v="0.98"/>
    <n v="0.86"/>
    <n v="1"/>
    <n v="0.95"/>
    <n v="0.93"/>
    <n v="0.92"/>
    <n v="0.86"/>
    <n v="1"/>
    <n v="0.98"/>
    <n v="0.97"/>
    <n v="0.99"/>
    <n v="0.95"/>
    <x v="34"/>
    <n v="0.95160000000000011"/>
    <x v="0"/>
    <x v="2"/>
  </r>
  <r>
    <x v="2"/>
    <s v="Taylor"/>
    <s v="Andrea"/>
    <n v="0.85"/>
    <n v="0.92"/>
    <n v="0.9"/>
    <n v="0.93"/>
    <n v="0.87"/>
    <n v="1"/>
    <n v="0.93"/>
    <n v="0.86"/>
    <n v="0.92"/>
    <n v="0.94"/>
    <n v="0.98"/>
    <n v="0.99"/>
    <x v="35"/>
    <n v="0.91559999999999997"/>
    <x v="0"/>
    <x v="2"/>
  </r>
  <r>
    <x v="2"/>
    <s v="Stark"/>
    <s v="Nial"/>
    <n v="0.88"/>
    <n v="0.88"/>
    <n v="0.85"/>
    <n v="0.92"/>
    <n v="0.88"/>
    <n v="0.85"/>
    <n v="0.97"/>
    <n v="0.9"/>
    <n v="0.91"/>
    <n v="0.98"/>
    <n v="0.85"/>
    <n v="1"/>
    <x v="9"/>
    <n v="0.88960000000000006"/>
    <x v="0"/>
    <x v="2"/>
  </r>
  <r>
    <x v="2"/>
    <s v="Clarke"/>
    <s v="Jack"/>
    <n v="0.86"/>
    <n v="0.89"/>
    <n v="0.92"/>
    <n v="0.91"/>
    <n v="0.82"/>
    <n v="0.88"/>
    <n v="0.85"/>
    <n v="0.81"/>
    <n v="0.81"/>
    <n v="0.86"/>
    <n v="0.91"/>
    <n v="0.9"/>
    <x v="22"/>
    <n v="0.87809999999999999"/>
    <x v="0"/>
    <x v="3"/>
  </r>
  <r>
    <x v="2"/>
    <s v="Chan"/>
    <s v="Harry"/>
    <n v="0.89"/>
    <n v="0.86"/>
    <n v="0.92"/>
    <n v="0.8"/>
    <n v="0.83"/>
    <n v="0.8"/>
    <n v="0.83"/>
    <n v="0.9"/>
    <n v="0.82"/>
    <n v="0.92"/>
    <n v="0.89"/>
    <n v="0.82"/>
    <x v="10"/>
    <n v="0.87350000000000005"/>
    <x v="0"/>
    <x v="0"/>
  </r>
  <r>
    <x v="2"/>
    <s v="Brown"/>
    <s v="Kim"/>
    <n v="0.87"/>
    <n v="0.8"/>
    <n v="0.83"/>
    <n v="0.87"/>
    <n v="0.91"/>
    <n v="0.9"/>
    <n v="0.85"/>
    <n v="0.9"/>
    <n v="0.85"/>
    <n v="0.9"/>
    <n v="0.82"/>
    <n v="0.82"/>
    <x v="9"/>
    <n v="0.85359999999999991"/>
    <x v="0"/>
    <x v="2"/>
  </r>
  <r>
    <x v="2"/>
    <s v="Black"/>
    <s v="Liam"/>
    <n v="0.83"/>
    <n v="0.82"/>
    <n v="0.88"/>
    <n v="0.83"/>
    <n v="0.84"/>
    <n v="0.81"/>
    <n v="0.85"/>
    <n v="0.86"/>
    <n v="0.87"/>
    <n v="0.91"/>
    <n v="0.87"/>
    <n v="0.88"/>
    <x v="36"/>
    <n v="0.85759999999999992"/>
    <x v="1"/>
    <x v="0"/>
  </r>
  <r>
    <x v="2"/>
    <s v="Bell"/>
    <s v="Nick"/>
    <n v="0.87"/>
    <n v="0.91"/>
    <n v="0.9"/>
    <n v="0.8"/>
    <n v="0.88"/>
    <n v="0.92"/>
    <n v="0.89"/>
    <n v="0.81"/>
    <n v="0.81"/>
    <n v="0.83"/>
    <n v="0.92"/>
    <n v="0.9"/>
    <x v="13"/>
    <n v="0.87630000000000019"/>
    <x v="1"/>
    <x v="2"/>
  </r>
  <r>
    <x v="2"/>
    <s v="Baratheon"/>
    <s v="Zyan"/>
    <n v="0.77"/>
    <n v="0.8"/>
    <n v="0.78"/>
    <n v="0.83"/>
    <n v="0.78"/>
    <n v="0.79"/>
    <n v="0.81"/>
    <n v="0.78"/>
    <n v="0.85"/>
    <n v="0.78"/>
    <n v="0.82"/>
    <n v="0.85"/>
    <x v="0"/>
    <n v="0.79220000000000002"/>
    <x v="2"/>
    <x v="2"/>
  </r>
  <r>
    <x v="2"/>
    <s v="Bailey"/>
    <s v="Selena"/>
    <n v="0.82"/>
    <n v="0.84"/>
    <n v="0.73"/>
    <n v="0.85"/>
    <n v="0.85"/>
    <n v="0.8"/>
    <n v="0.81"/>
    <n v="0.73"/>
    <n v="0.84"/>
    <n v="0.79"/>
    <n v="0.83"/>
    <n v="0.84"/>
    <x v="24"/>
    <n v="0.80069999999999997"/>
    <x v="2"/>
    <x v="2"/>
  </r>
  <r>
    <x v="2"/>
    <s v="Phillips"/>
    <s v="Kevin"/>
    <n v="0.81"/>
    <n v="0.77"/>
    <n v="0.78"/>
    <n v="0.73"/>
    <n v="0.83"/>
    <n v="0.82"/>
    <n v="0.77"/>
    <n v="0.73"/>
    <n v="0.83"/>
    <n v="0.74"/>
    <n v="0.79"/>
    <n v="0.82"/>
    <x v="24"/>
    <n v="0.78589999999999982"/>
    <x v="2"/>
    <x v="3"/>
  </r>
  <r>
    <x v="2"/>
    <s v="Patel"/>
    <s v="Lily"/>
    <n v="0.83"/>
    <n v="0.8"/>
    <n v="0.75"/>
    <n v="0.79"/>
    <n v="0.8"/>
    <n v="0.84"/>
    <n v="0.79"/>
    <n v="0.73"/>
    <n v="0.81"/>
    <n v="0.85"/>
    <n v="0.84"/>
    <n v="0.81"/>
    <x v="25"/>
    <n v="0.79210000000000003"/>
    <x v="3"/>
    <x v="3"/>
  </r>
  <r>
    <x v="2"/>
    <s v="Lincoln"/>
    <s v="Henry"/>
    <n v="0.75"/>
    <n v="0.69"/>
    <n v="0.7"/>
    <n v="0.66"/>
    <n v="0.66"/>
    <n v="0.71"/>
    <n v="0.66"/>
    <n v="0.74"/>
    <n v="0.75"/>
    <n v="0.72"/>
    <n v="0.7"/>
    <n v="0.69"/>
    <x v="26"/>
    <n v="0.70250000000000012"/>
    <x v="4"/>
    <x v="3"/>
  </r>
  <r>
    <x v="2"/>
    <s v="Lee"/>
    <s v="Emma"/>
    <n v="0.71"/>
    <n v="0.67"/>
    <n v="0.7"/>
    <n v="0.71"/>
    <n v="0.72"/>
    <n v="0.71"/>
    <n v="0.71"/>
    <n v="0.75"/>
    <n v="0.73"/>
    <n v="0.68"/>
    <n v="0.71"/>
    <n v="0.66"/>
    <x v="37"/>
    <n v="0.70269999999999977"/>
    <x v="5"/>
    <x v="1"/>
  </r>
  <r>
    <x v="2"/>
    <s v="Lanister"/>
    <s v="Ava"/>
    <n v="0.68"/>
    <n v="0.69"/>
    <n v="0.68"/>
    <n v="0.69"/>
    <n v="0.69"/>
    <n v="0.68"/>
    <n v="0.73"/>
    <n v="0.68"/>
    <n v="0.69"/>
    <n v="0.69"/>
    <n v="0.75"/>
    <n v="0.71"/>
    <x v="5"/>
    <n v="0.69479999999999986"/>
    <x v="5"/>
    <x v="3"/>
  </r>
  <r>
    <x v="2"/>
    <s v="Lane"/>
    <s v="Joe"/>
    <n v="0.7"/>
    <n v="0.73"/>
    <n v="0.75"/>
    <n v="0.68"/>
    <n v="0.7"/>
    <n v="0.7"/>
    <n v="0.73"/>
    <n v="0.72"/>
    <n v="0.7"/>
    <n v="0.7"/>
    <n v="0.66"/>
    <n v="0.68"/>
    <x v="29"/>
    <n v="0.70840000000000014"/>
    <x v="5"/>
    <x v="1"/>
  </r>
  <r>
    <x v="2"/>
    <s v="Jones"/>
    <s v="Sam"/>
    <n v="0.74"/>
    <n v="0.75"/>
    <n v="0.68"/>
    <n v="0.72"/>
    <n v="0.75"/>
    <n v="0.65"/>
    <n v="0.68"/>
    <n v="0.74"/>
    <n v="0.72"/>
    <n v="0.71"/>
    <n v="0.67"/>
    <n v="0.68"/>
    <x v="4"/>
    <n v="0.71029999999999993"/>
    <x v="5"/>
    <x v="1"/>
  </r>
  <r>
    <x v="2"/>
    <s v="Jonas"/>
    <s v="Jaime"/>
    <n v="0.6"/>
    <n v="0.68"/>
    <n v="0.62"/>
    <n v="0.64"/>
    <n v="0.67"/>
    <n v="0.61"/>
    <n v="0.61"/>
    <n v="0.62"/>
    <n v="0.62"/>
    <n v="0.63"/>
    <n v="0.67"/>
    <n v="0.66"/>
    <x v="11"/>
    <n v="0.63749999999999996"/>
    <x v="6"/>
    <x v="4"/>
  </r>
  <r>
    <x v="2"/>
    <s v="Hunter"/>
    <s v="Noah"/>
    <n v="0.63"/>
    <n v="0.61"/>
    <n v="0.69"/>
    <n v="0.68"/>
    <n v="0.7"/>
    <n v="0.7"/>
    <n v="0.6"/>
    <n v="0.61"/>
    <n v="0.6"/>
    <n v="0.62"/>
    <n v="0.6"/>
    <n v="0.66"/>
    <x v="15"/>
    <n v="0.64460000000000006"/>
    <x v="8"/>
    <x v="5"/>
  </r>
  <r>
    <x v="2"/>
    <s v="Gordon"/>
    <s v="Isabella"/>
    <n v="0.63"/>
    <n v="0.7"/>
    <n v="0.61"/>
    <n v="0.62"/>
    <n v="0.7"/>
    <n v="0.69"/>
    <n v="0.69"/>
    <n v="0.7"/>
    <n v="0.64"/>
    <n v="0.6"/>
    <n v="0.61"/>
    <n v="0.63"/>
    <x v="4"/>
    <n v="0.65369999999999984"/>
    <x v="8"/>
    <x v="5"/>
  </r>
  <r>
    <x v="2"/>
    <s v="Flander"/>
    <s v="Harry"/>
    <n v="0.67"/>
    <n v="0.64"/>
    <n v="0.61"/>
    <n v="0.62"/>
    <n v="0.64"/>
    <n v="0.64"/>
    <n v="0.68"/>
    <n v="0.63"/>
    <n v="0.65"/>
    <n v="0.68"/>
    <n v="0.7"/>
    <n v="0.64"/>
    <x v="11"/>
    <n v="0.64650000000000007"/>
    <x v="7"/>
    <x v="1"/>
  </r>
  <r>
    <x v="3"/>
    <s v="Jones"/>
    <s v="Zyan"/>
    <n v="0.99"/>
    <n v="1"/>
    <n v="0.98"/>
    <n v="0.91"/>
    <n v="0.91"/>
    <n v="0.98"/>
    <n v="0.94"/>
    <n v="0.96"/>
    <n v="0.93"/>
    <n v="0.97"/>
    <n v="0.9"/>
    <n v="0.99"/>
    <x v="10"/>
    <n v="0.96150000000000002"/>
    <x v="9"/>
    <x v="0"/>
  </r>
  <r>
    <x v="3"/>
    <s v="Smith"/>
    <s v="Veronica"/>
    <n v="0.98"/>
    <n v="0.91"/>
    <n v="0.95"/>
    <n v="0.98"/>
    <n v="0.99"/>
    <n v="0.94"/>
    <n v="0.97"/>
    <n v="0.95"/>
    <n v="0.96"/>
    <n v="0.91"/>
    <n v="0.92"/>
    <n v="0.99"/>
    <x v="20"/>
    <n v="0.95469999999999988"/>
    <x v="9"/>
    <x v="0"/>
  </r>
  <r>
    <x v="3"/>
    <s v="Williams"/>
    <s v="Sophia"/>
    <n v="0.93"/>
    <n v="1"/>
    <n v="0.93"/>
    <n v="0.94"/>
    <n v="0.92"/>
    <n v="0.98"/>
    <n v="0.99"/>
    <n v="0.9"/>
    <n v="0.89"/>
    <n v="0.91"/>
    <n v="0.97"/>
    <n v="0.94"/>
    <x v="38"/>
    <n v="0.94540000000000002"/>
    <x v="9"/>
    <x v="0"/>
  </r>
  <r>
    <x v="3"/>
    <s v="Wilson"/>
    <s v="Selena"/>
    <n v="0.91"/>
    <n v="0.92"/>
    <n v="0.97"/>
    <n v="0.93"/>
    <n v="0.96"/>
    <n v="0.98"/>
    <n v="0.96"/>
    <n v="0.94"/>
    <n v="0.98"/>
    <n v="0.97"/>
    <n v="0.92"/>
    <n v="0.97"/>
    <x v="36"/>
    <n v="0.94319999999999993"/>
    <x v="9"/>
    <x v="3"/>
  </r>
  <r>
    <x v="3"/>
    <s v="Taylor"/>
    <s v="Harry"/>
    <n v="0.92"/>
    <n v="0.92"/>
    <n v="0.96"/>
    <n v="0.98"/>
    <n v="0.9"/>
    <n v="0.95"/>
    <n v="0.93"/>
    <n v="0.85"/>
    <n v="0.96"/>
    <n v="0.98"/>
    <n v="0.88"/>
    <n v="0.97"/>
    <x v="20"/>
    <n v="0.9396000000000001"/>
    <x v="9"/>
    <x v="3"/>
  </r>
  <r>
    <x v="3"/>
    <s v="Moore"/>
    <s v="Harry"/>
    <n v="0.94"/>
    <n v="0.87"/>
    <n v="0.96"/>
    <n v="0.98"/>
    <n v="0.87"/>
    <n v="0.92"/>
    <n v="0.93"/>
    <n v="0.92"/>
    <n v="0.98"/>
    <n v="0.9"/>
    <n v="0.97"/>
    <n v="0.96"/>
    <x v="22"/>
    <n v="0.92470000000000008"/>
    <x v="9"/>
    <x v="2"/>
  </r>
  <r>
    <x v="3"/>
    <s v="Brown"/>
    <s v="Emma"/>
    <n v="0.93"/>
    <n v="0.85"/>
    <n v="0.99"/>
    <n v="0.9"/>
    <n v="1"/>
    <n v="0.98"/>
    <n v="0.85"/>
    <n v="0.86"/>
    <n v="0.92"/>
    <n v="1"/>
    <n v="0.88"/>
    <n v="0.87"/>
    <x v="22"/>
    <n v="0.91970000000000018"/>
    <x v="0"/>
    <x v="2"/>
  </r>
  <r>
    <x v="3"/>
    <s v="Thompson"/>
    <s v="Daniel"/>
    <n v="0.9"/>
    <n v="0.91"/>
    <n v="0.8"/>
    <n v="0.87"/>
    <n v="0.84"/>
    <n v="0.83"/>
    <n v="0.8"/>
    <n v="0.92"/>
    <n v="0.92"/>
    <n v="0.82"/>
    <n v="0.87"/>
    <n v="0.81"/>
    <x v="36"/>
    <n v="0.86409999999999976"/>
    <x v="1"/>
    <x v="1"/>
  </r>
  <r>
    <x v="3"/>
    <s v="Wheeler"/>
    <s v="Caden"/>
    <n v="0.81"/>
    <n v="0.9"/>
    <n v="0.89"/>
    <n v="0.91"/>
    <n v="0.85"/>
    <n v="0.82"/>
    <n v="0.81"/>
    <n v="0.8"/>
    <n v="0.82"/>
    <n v="0.82"/>
    <n v="0.92"/>
    <n v="0.82"/>
    <x v="36"/>
    <n v="0.86319999999999986"/>
    <x v="1"/>
    <x v="1"/>
  </r>
  <r>
    <x v="3"/>
    <s v="Phillips"/>
    <s v="Britany"/>
    <n v="0.87"/>
    <n v="0.81"/>
    <n v="0.91"/>
    <n v="0.87"/>
    <n v="0.84"/>
    <n v="0.86"/>
    <n v="0.81"/>
    <n v="0.81"/>
    <n v="0.88"/>
    <n v="0.9"/>
    <n v="0.83"/>
    <n v="0.88"/>
    <x v="23"/>
    <n v="0.8600000000000001"/>
    <x v="1"/>
    <x v="1"/>
  </r>
  <r>
    <x v="3"/>
    <s v="Jonas"/>
    <s v="Ava"/>
    <n v="0.82"/>
    <n v="0.8"/>
    <n v="0.91"/>
    <n v="0.8"/>
    <n v="0.88"/>
    <n v="0.91"/>
    <n v="0.8"/>
    <n v="0.88"/>
    <n v="0.8"/>
    <n v="0.82"/>
    <n v="0.83"/>
    <n v="0.84"/>
    <x v="39"/>
    <n v="0.85230000000000006"/>
    <x v="1"/>
    <x v="3"/>
  </r>
  <r>
    <x v="3"/>
    <s v="Miller"/>
    <s v="Ashley"/>
    <n v="0.87"/>
    <n v="0.8"/>
    <n v="0.87"/>
    <n v="0.86"/>
    <n v="0.84"/>
    <n v="0.91"/>
    <n v="0.9"/>
    <n v="0.82"/>
    <n v="0.8"/>
    <n v="0.89"/>
    <n v="0.85"/>
    <n v="0.83"/>
    <x v="40"/>
    <n v="0.84860000000000002"/>
    <x v="1"/>
    <x v="3"/>
  </r>
  <r>
    <x v="3"/>
    <s v="Gordon"/>
    <s v="Mary"/>
    <n v="0.74"/>
    <n v="0.83"/>
    <n v="0.81"/>
    <n v="0.84"/>
    <n v="0.74"/>
    <n v="0.83"/>
    <n v="0.81"/>
    <n v="0.78"/>
    <n v="0.85"/>
    <n v="0.78"/>
    <n v="0.75"/>
    <n v="0.81"/>
    <x v="3"/>
    <n v="0.7913"/>
    <x v="2"/>
    <x v="3"/>
  </r>
  <r>
    <x v="3"/>
    <s v="Bell"/>
    <s v="Lily"/>
    <n v="0.81"/>
    <n v="0.82"/>
    <n v="0.75"/>
    <n v="0.85"/>
    <n v="0.74"/>
    <n v="0.82"/>
    <n v="0.8"/>
    <n v="0.8"/>
    <n v="0.77"/>
    <n v="0.82"/>
    <n v="0.77"/>
    <n v="0.74"/>
    <x v="25"/>
    <n v="0.78600000000000003"/>
    <x v="3"/>
    <x v="3"/>
  </r>
  <r>
    <x v="3"/>
    <s v="Robertson"/>
    <s v="Liam"/>
    <n v="0.76"/>
    <n v="0.75"/>
    <n v="0.75"/>
    <n v="0.84"/>
    <n v="0.84"/>
    <n v="0.74"/>
    <n v="0.75"/>
    <n v="0.75"/>
    <n v="0.77"/>
    <n v="0.74"/>
    <n v="0.74"/>
    <n v="0.76"/>
    <x v="2"/>
    <n v="0.76539999999999986"/>
    <x v="3"/>
    <x v="2"/>
  </r>
  <r>
    <x v="3"/>
    <s v="Lanister"/>
    <s v="Rashid"/>
    <n v="0.61"/>
    <n v="0.66"/>
    <n v="0.6"/>
    <n v="0.61"/>
    <n v="0.7"/>
    <n v="0.69"/>
    <n v="0.69"/>
    <n v="0.67"/>
    <n v="0.64"/>
    <n v="0.69"/>
    <n v="0.68"/>
    <n v="0.65"/>
    <x v="4"/>
    <n v="0.64819999999999989"/>
    <x v="8"/>
    <x v="4"/>
  </r>
  <r>
    <x v="3"/>
    <s v="Flander"/>
    <s v="Olivia"/>
    <n v="0.6"/>
    <n v="0.69"/>
    <n v="0.61"/>
    <n v="0.6"/>
    <n v="0.64"/>
    <n v="0.68"/>
    <n v="0.69"/>
    <n v="0.67"/>
    <n v="0.67"/>
    <n v="0.62"/>
    <n v="0.65"/>
    <n v="0.65"/>
    <x v="41"/>
    <n v="0.64240000000000008"/>
    <x v="8"/>
    <x v="5"/>
  </r>
  <r>
    <x v="3"/>
    <s v="Baratheon"/>
    <s v="Noah"/>
    <n v="0.6"/>
    <n v="0.6"/>
    <n v="0.6"/>
    <n v="0.66"/>
    <n v="0.64"/>
    <n v="0.65"/>
    <n v="0.65"/>
    <n v="0.69"/>
    <n v="0.66"/>
    <n v="0.67"/>
    <n v="0.62"/>
    <n v="0.7"/>
    <x v="15"/>
    <n v="0.62660000000000005"/>
    <x v="7"/>
    <x v="4"/>
  </r>
  <r>
    <x v="3"/>
    <s v="Simpson"/>
    <s v="Nick"/>
    <n v="0.54"/>
    <n v="0.6"/>
    <n v="0.66"/>
    <n v="0.71"/>
    <n v="0.78"/>
    <n v="0.79"/>
    <n v="0.64"/>
    <n v="0.75"/>
    <n v="0.53"/>
    <n v="0.55000000000000004"/>
    <n v="0.5"/>
    <n v="0.8"/>
    <x v="16"/>
    <n v="0.62620000000000009"/>
    <x v="7"/>
    <x v="1"/>
  </r>
  <r>
    <x v="3"/>
    <s v="Snow"/>
    <s v="Nial"/>
    <n v="0.65"/>
    <n v="0.6"/>
    <n v="0.51"/>
    <n v="0.61"/>
    <n v="0.76"/>
    <n v="0.5"/>
    <n v="0.56999999999999995"/>
    <n v="0.51"/>
    <n v="0.63"/>
    <n v="0.77"/>
    <n v="0.64"/>
    <n v="0.76"/>
    <x v="17"/>
    <n v="0.6218999999999999"/>
    <x v="7"/>
    <x v="1"/>
  </r>
  <r>
    <x v="3"/>
    <s v="Bailey"/>
    <s v="Mohammad"/>
    <n v="0.55000000000000004"/>
    <n v="0.76"/>
    <n v="0.47"/>
    <n v="0.76"/>
    <n v="0.61"/>
    <n v="0.5"/>
    <n v="0.56000000000000005"/>
    <n v="0.57999999999999996"/>
    <n v="0.54"/>
    <n v="0.69"/>
    <n v="0.72"/>
    <n v="0.62"/>
    <x v="17"/>
    <n v="0.6160000000000001"/>
    <x v="7"/>
    <x v="2"/>
  </r>
  <r>
    <x v="3"/>
    <s v="Cooper"/>
    <s v="Isabella"/>
    <n v="0.52"/>
    <n v="0.56999999999999995"/>
    <n v="0.66"/>
    <n v="0.68"/>
    <n v="0.79"/>
    <n v="0.72"/>
    <n v="0.49"/>
    <n v="0.51"/>
    <n v="0.48"/>
    <n v="0.8"/>
    <n v="0.64"/>
    <n v="0.64"/>
    <x v="18"/>
    <n v="0.60929999999999995"/>
    <x v="7"/>
    <x v="4"/>
  </r>
  <r>
    <x v="3"/>
    <s v="Lee"/>
    <s v="Andrea"/>
    <n v="0.57999999999999996"/>
    <n v="0.67"/>
    <n v="0.56999999999999995"/>
    <n v="0.69"/>
    <n v="0.45"/>
    <n v="0.67"/>
    <n v="0.64"/>
    <n v="0.65"/>
    <n v="0.49"/>
    <n v="0.65"/>
    <n v="0.65"/>
    <n v="0.49"/>
    <x v="11"/>
    <n v="0.60820000000000007"/>
    <x v="7"/>
    <x v="4"/>
  </r>
  <r>
    <x v="3"/>
    <s v="Chan"/>
    <s v="Ali"/>
    <n v="0.67"/>
    <n v="0.66"/>
    <n v="0.45"/>
    <n v="0.5"/>
    <n v="0.51"/>
    <n v="0.5"/>
    <n v="0.74"/>
    <n v="0.75"/>
    <n v="0.56000000000000005"/>
    <n v="0.59"/>
    <n v="0.49"/>
    <n v="0.57999999999999996"/>
    <x v="19"/>
    <n v="0.56580000000000008"/>
    <x v="7"/>
    <x v="5"/>
  </r>
  <r>
    <x v="3"/>
    <s v="Lincoln"/>
    <s v="Aiden"/>
    <n v="0.57999999999999996"/>
    <n v="0.68"/>
    <n v="0.46"/>
    <n v="0.73"/>
    <n v="0.46"/>
    <n v="0.62"/>
    <n v="0.45"/>
    <n v="0.57999999999999996"/>
    <n v="0.45"/>
    <n v="0.46"/>
    <n v="0.56000000000000005"/>
    <n v="0.72"/>
    <x v="18"/>
    <n v="0.56180000000000008"/>
    <x v="7"/>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5C5A52-0E2D-4EB3-830A-53ECFAA2A514}" name="PivotTable9"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Project Grades">
  <location ref="J16:O21" firstHeaderRow="0" firstDataRow="1" firstDataCol="1"/>
  <pivotFields count="19">
    <pivotField axis="axisRow" showAll="0">
      <items count="5">
        <item sd="0" x="0"/>
        <item sd="0" x="1"/>
        <item sd="0" x="2"/>
        <item sd="0" x="3"/>
        <item t="default"/>
      </items>
    </pivotField>
    <pivotField showAll="0"/>
    <pivotField showAll="0"/>
    <pivotField numFmtId="9" showAll="0"/>
    <pivotField numFmtId="9" showAll="0"/>
    <pivotField numFmtId="9" showAll="0"/>
    <pivotField numFmtId="9" showAll="0"/>
    <pivotField numFmtId="9" showAll="0"/>
    <pivotField numFmtId="9" showAll="0"/>
    <pivotField numFmtId="9" showAll="0"/>
    <pivotField dataField="1" numFmtId="9" showAll="0"/>
    <pivotField dataField="1" numFmtId="9" showAll="0"/>
    <pivotField dataField="1" numFmtId="9" showAll="0"/>
    <pivotField dataField="1" numFmtId="9" showAll="0"/>
    <pivotField dataField="1" numFmtId="9" showAll="0"/>
    <pivotField axis="axisRow" numFmtId="9" showAll="0">
      <items count="43">
        <item x="19"/>
        <item x="16"/>
        <item x="14"/>
        <item x="30"/>
        <item x="18"/>
        <item x="31"/>
        <item x="15"/>
        <item x="12"/>
        <item x="29"/>
        <item x="41"/>
        <item x="11"/>
        <item x="26"/>
        <item x="27"/>
        <item x="4"/>
        <item x="6"/>
        <item x="37"/>
        <item x="5"/>
        <item x="3"/>
        <item x="25"/>
        <item x="28"/>
        <item x="0"/>
        <item x="17"/>
        <item x="24"/>
        <item x="2"/>
        <item x="40"/>
        <item x="7"/>
        <item x="8"/>
        <item x="13"/>
        <item x="23"/>
        <item x="22"/>
        <item x="9"/>
        <item x="10"/>
        <item x="39"/>
        <item x="36"/>
        <item x="32"/>
        <item x="38"/>
        <item x="1"/>
        <item x="35"/>
        <item x="34"/>
        <item x="20"/>
        <item x="33"/>
        <item x="21"/>
        <item t="default"/>
      </items>
    </pivotField>
    <pivotField numFmtId="9" showAll="0"/>
    <pivotField showAll="0"/>
    <pivotField showAll="0"/>
  </pivotFields>
  <rowFields count="2">
    <field x="0"/>
    <field x="15"/>
  </rowFields>
  <rowItems count="5">
    <i>
      <x/>
    </i>
    <i>
      <x v="1"/>
    </i>
    <i>
      <x v="2"/>
    </i>
    <i>
      <x v="3"/>
    </i>
    <i t="grand">
      <x/>
    </i>
  </rowItems>
  <colFields count="1">
    <field x="-2"/>
  </colFields>
  <colItems count="5">
    <i>
      <x/>
    </i>
    <i i="1">
      <x v="1"/>
    </i>
    <i i="2">
      <x v="2"/>
    </i>
    <i i="3">
      <x v="3"/>
    </i>
    <i i="4">
      <x v="4"/>
    </i>
  </colItems>
  <dataFields count="5">
    <dataField name="Average of HW 1" fld="10" subtotal="average" baseField="15" baseItem="0" numFmtId="10"/>
    <dataField name="Average of HW 2" fld="11" subtotal="average" baseField="0" baseItem="0" numFmtId="10"/>
    <dataField name="Average of HW 3" fld="12" subtotal="average" baseField="0" baseItem="0" numFmtId="10"/>
    <dataField name="Average of HW 4" fld="13" subtotal="average" baseField="0" baseItem="3" numFmtId="10"/>
    <dataField name="Average of HW 5" fld="14" subtotal="average" baseField="0" baseItem="3" numFmtId="10"/>
  </dataFields>
  <formats count="12">
    <format dxfId="49">
      <pivotArea type="all" dataOnly="0" outline="0" fieldPosition="0"/>
    </format>
    <format dxfId="48">
      <pivotArea outline="0" collapsedLevelsAreSubtotals="1" fieldPosition="0"/>
    </format>
    <format dxfId="47">
      <pivotArea field="0" type="button" dataOnly="0" labelOnly="1" outline="0" axis="axisRow" fieldPosition="0"/>
    </format>
    <format dxfId="46">
      <pivotArea dataOnly="0" labelOnly="1" fieldPosition="0">
        <references count="1">
          <reference field="0" count="0"/>
        </references>
      </pivotArea>
    </format>
    <format dxfId="45">
      <pivotArea dataOnly="0" labelOnly="1" grandRow="1" outline="0" fieldPosition="0"/>
    </format>
    <format dxfId="44">
      <pivotArea dataOnly="0" labelOnly="1" outline="0" fieldPosition="0">
        <references count="1">
          <reference field="4294967294" count="5">
            <x v="0"/>
            <x v="1"/>
            <x v="2"/>
            <x v="3"/>
            <x v="4"/>
          </reference>
        </references>
      </pivotArea>
    </format>
    <format dxfId="25">
      <pivotArea type="all" dataOnly="0" outline="0" fieldPosition="0"/>
    </format>
    <format dxfId="24">
      <pivotArea outline="0" collapsedLevelsAreSubtotals="1" fieldPosition="0"/>
    </format>
    <format dxfId="23">
      <pivotArea field="0" type="button" dataOnly="0" labelOnly="1" outline="0" axis="axisRow" fieldPosition="0"/>
    </format>
    <format dxfId="22">
      <pivotArea dataOnly="0" labelOnly="1" fieldPosition="0">
        <references count="1">
          <reference field="0" count="0"/>
        </references>
      </pivotArea>
    </format>
    <format dxfId="21">
      <pivotArea dataOnly="0" labelOnly="1" grandRow="1" outline="0" fieldPosition="0"/>
    </format>
    <format dxfId="2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BF58ED-A3E8-446E-9E93-04AFD799AB00}" name="PivotTable6"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lasses">
  <location ref="B16:E21" firstHeaderRow="0" firstDataRow="1" firstDataCol="1"/>
  <pivotFields count="19">
    <pivotField axis="axisRow" showAll="0">
      <items count="5">
        <item x="0"/>
        <item x="1"/>
        <item x="2"/>
        <item x="3"/>
        <item t="default"/>
      </items>
    </pivotField>
    <pivotField showAll="0"/>
    <pivotField showAll="0"/>
    <pivotField dataField="1" numFmtId="9" showAll="0"/>
    <pivotField dataField="1" numFmtId="9" showAll="0"/>
    <pivotField dataField="1" numFmtId="9" showAll="0"/>
    <pivotField numFmtId="9" showAll="0"/>
    <pivotField numFmtId="9" showAll="0"/>
    <pivotField numFmtId="9" showAll="0"/>
    <pivotField numFmtId="9" showAll="0"/>
    <pivotField numFmtId="9" showAll="0"/>
    <pivotField numFmtId="9" showAll="0"/>
    <pivotField numFmtId="9" showAll="0"/>
    <pivotField numFmtId="9" showAll="0"/>
    <pivotField numFmtId="9" showAll="0"/>
    <pivotField numFmtId="9" showAll="0"/>
    <pivotField numFmtId="9" showAll="0"/>
    <pivotField showAll="0"/>
    <pivotField showAll="0"/>
  </pivotFields>
  <rowFields count="1">
    <field x="0"/>
  </rowFields>
  <rowItems count="5">
    <i>
      <x/>
    </i>
    <i>
      <x v="1"/>
    </i>
    <i>
      <x v="2"/>
    </i>
    <i>
      <x v="3"/>
    </i>
    <i t="grand">
      <x/>
    </i>
  </rowItems>
  <colFields count="1">
    <field x="-2"/>
  </colFields>
  <colItems count="3">
    <i>
      <x/>
    </i>
    <i i="1">
      <x v="1"/>
    </i>
    <i i="2">
      <x v="2"/>
    </i>
  </colItems>
  <dataFields count="3">
    <dataField name="Average of Test 1" fld="3" subtotal="average" baseField="0" baseItem="0" numFmtId="10"/>
    <dataField name="Average of Test 2" fld="4" subtotal="average" baseField="0" baseItem="0" numFmtId="10"/>
    <dataField name="Average of Test 3" fld="5" subtotal="average" baseField="0" baseItem="0" numFmtId="10"/>
  </dataFields>
  <formats count="12">
    <format dxfId="61">
      <pivotArea type="all" dataOnly="0" outline="0" fieldPosition="0"/>
    </format>
    <format dxfId="60">
      <pivotArea outline="0" collapsedLevelsAreSubtotals="1" fieldPosition="0"/>
    </format>
    <format dxfId="59">
      <pivotArea field="0" type="button" dataOnly="0" labelOnly="1" outline="0" axis="axisRow" fieldPosition="0"/>
    </format>
    <format dxfId="58">
      <pivotArea dataOnly="0" labelOnly="1" fieldPosition="0">
        <references count="1">
          <reference field="0" count="0"/>
        </references>
      </pivotArea>
    </format>
    <format dxfId="57">
      <pivotArea dataOnly="0" labelOnly="1" grandRow="1" outline="0" fieldPosition="0"/>
    </format>
    <format dxfId="56">
      <pivotArea dataOnly="0" labelOnly="1" outline="0" fieldPosition="0">
        <references count="1">
          <reference field="4294967294" count="3">
            <x v="0"/>
            <x v="1"/>
            <x v="2"/>
          </reference>
        </references>
      </pivotArea>
    </format>
    <format dxfId="37">
      <pivotArea type="all" dataOnly="0" outline="0" fieldPosition="0"/>
    </format>
    <format dxfId="36">
      <pivotArea outline="0" collapsedLevelsAreSubtotals="1" fieldPosition="0"/>
    </format>
    <format dxfId="35">
      <pivotArea field="0" type="button" dataOnly="0" labelOnly="1" outline="0" axis="axisRow" fieldPosition="0"/>
    </format>
    <format dxfId="34">
      <pivotArea dataOnly="0" labelOnly="1" fieldPosition="0">
        <references count="1">
          <reference field="0" count="0"/>
        </references>
      </pivotArea>
    </format>
    <format dxfId="33">
      <pivotArea dataOnly="0" labelOnly="1" grandRow="1" outline="0" fieldPosition="0"/>
    </format>
    <format dxfId="32">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289B71-807E-419E-8EBF-F4F9B9BFF61E}" name="PivotTable4"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Letter Grades">
  <location ref="J3:N14" firstHeaderRow="0" firstDataRow="1" firstDataCol="1"/>
  <pivotFields count="19">
    <pivotField showAll="0">
      <items count="5">
        <item x="0"/>
        <item x="1"/>
        <item x="2"/>
        <item x="3"/>
        <item t="default"/>
      </items>
    </pivotField>
    <pivotField showAll="0"/>
    <pivotField showAll="0"/>
    <pivotField dataField="1" numFmtId="9" showAll="0"/>
    <pivotField dataField="1" numFmtId="9" showAll="0"/>
    <pivotField dataField="1" numFmtId="9" showAll="0"/>
    <pivotField numFmtId="9" showAll="0"/>
    <pivotField numFmtId="9" showAll="0"/>
    <pivotField numFmtId="9" showAll="0"/>
    <pivotField numFmtId="9" showAll="0"/>
    <pivotField numFmtId="9" showAll="0"/>
    <pivotField numFmtId="9" showAll="0"/>
    <pivotField numFmtId="9" showAll="0"/>
    <pivotField numFmtId="9" showAll="0"/>
    <pivotField numFmtId="9" showAll="0"/>
    <pivotField numFmtId="9" showAll="0"/>
    <pivotField numFmtId="9" showAll="0"/>
    <pivotField axis="axisRow" showAll="0">
      <items count="11">
        <item x="0"/>
        <item x="1"/>
        <item x="9"/>
        <item x="3"/>
        <item x="4"/>
        <item x="2"/>
        <item x="5"/>
        <item x="6"/>
        <item x="8"/>
        <item x="7"/>
        <item t="default"/>
      </items>
    </pivotField>
    <pivotField dataField="1" showAll="0"/>
  </pivotFields>
  <rowFields count="1">
    <field x="17"/>
  </rowFields>
  <rowItems count="11">
    <i>
      <x/>
    </i>
    <i>
      <x v="1"/>
    </i>
    <i>
      <x v="2"/>
    </i>
    <i>
      <x v="3"/>
    </i>
    <i>
      <x v="4"/>
    </i>
    <i>
      <x v="5"/>
    </i>
    <i>
      <x v="6"/>
    </i>
    <i>
      <x v="7"/>
    </i>
    <i>
      <x v="8"/>
    </i>
    <i>
      <x v="9"/>
    </i>
    <i t="grand">
      <x/>
    </i>
  </rowItems>
  <colFields count="1">
    <field x="-2"/>
  </colFields>
  <colItems count="4">
    <i>
      <x/>
    </i>
    <i i="1">
      <x v="1"/>
    </i>
    <i i="2">
      <x v="2"/>
    </i>
    <i i="3">
      <x v="3"/>
    </i>
  </colItems>
  <dataFields count="4">
    <dataField name="Average of Test 1" fld="3" subtotal="average" baseField="17" baseItem="0" numFmtId="10"/>
    <dataField name="Average of Test 2" fld="4" subtotal="average" baseField="17" baseItem="0" numFmtId="10"/>
    <dataField name="Average of Test 3" fld="5" subtotal="average" baseField="17" baseItem="0" numFmtId="10"/>
    <dataField name="Average of Absences" fld="18" subtotal="average" baseField="17" baseItem="9" numFmtId="2"/>
  </dataFields>
  <formats count="12">
    <format dxfId="55">
      <pivotArea type="all" dataOnly="0" outline="0" fieldPosition="0"/>
    </format>
    <format dxfId="54">
      <pivotArea outline="0" collapsedLevelsAreSubtotals="1" fieldPosition="0"/>
    </format>
    <format dxfId="53">
      <pivotArea field="17" type="button" dataOnly="0" labelOnly="1" outline="0" axis="axisRow" fieldPosition="0"/>
    </format>
    <format dxfId="52">
      <pivotArea dataOnly="0" labelOnly="1" fieldPosition="0">
        <references count="1">
          <reference field="17" count="8">
            <x v="0"/>
            <x v="1"/>
            <x v="3"/>
            <x v="4"/>
            <x v="5"/>
            <x v="6"/>
            <x v="7"/>
            <x v="9"/>
          </reference>
        </references>
      </pivotArea>
    </format>
    <format dxfId="51">
      <pivotArea dataOnly="0" labelOnly="1" grandRow="1" outline="0" fieldPosition="0"/>
    </format>
    <format dxfId="50">
      <pivotArea dataOnly="0" labelOnly="1" outline="0" fieldPosition="0">
        <references count="1">
          <reference field="4294967294" count="4">
            <x v="0"/>
            <x v="1"/>
            <x v="2"/>
            <x v="3"/>
          </reference>
        </references>
      </pivotArea>
    </format>
    <format dxfId="31">
      <pivotArea type="all" dataOnly="0" outline="0" fieldPosition="0"/>
    </format>
    <format dxfId="30">
      <pivotArea outline="0" collapsedLevelsAreSubtotals="1" fieldPosition="0"/>
    </format>
    <format dxfId="29">
      <pivotArea field="17" type="button" dataOnly="0" labelOnly="1" outline="0" axis="axisRow" fieldPosition="0"/>
    </format>
    <format dxfId="28">
      <pivotArea dataOnly="0" labelOnly="1" fieldPosition="0">
        <references count="1">
          <reference field="17" count="0"/>
        </references>
      </pivotArea>
    </format>
    <format dxfId="27">
      <pivotArea dataOnly="0" labelOnly="1" grandRow="1" outline="0" fieldPosition="0"/>
    </format>
    <format dxfId="26">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7CB338-1742-40F7-8F6A-CCB3169AE831}" name="PivotTable1"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Absences">
  <location ref="B3:C11" firstHeaderRow="1" firstDataRow="1" firstDataCol="1"/>
  <pivotFields count="19">
    <pivotField subtotalTop="0" showAll="0">
      <items count="5">
        <item x="0"/>
        <item x="1"/>
        <item x="2"/>
        <item x="3"/>
        <item t="default"/>
      </items>
    </pivotField>
    <pivotField subtotalTop="0" showAll="0"/>
    <pivotField subtotalTop="0" showAll="0"/>
    <pivotField numFmtId="9" subtotalTop="0" showAll="0"/>
    <pivotField numFmtId="9" subtotalTop="0" showAll="0"/>
    <pivotField numFmtId="9" subtotalTop="0" showAll="0"/>
    <pivotField numFmtId="9" subtotalTop="0" showAll="0"/>
    <pivotField numFmtId="9" subtotalTop="0" showAll="0"/>
    <pivotField numFmtId="9" subtotalTop="0" showAll="0"/>
    <pivotField numFmtId="9" subtotalTop="0" showAll="0"/>
    <pivotField numFmtId="9" subtotalTop="0" showAll="0"/>
    <pivotField numFmtId="9" subtotalTop="0" showAll="0"/>
    <pivotField numFmtId="9" subtotalTop="0" showAll="0"/>
    <pivotField numFmtId="9" subtotalTop="0" showAll="0"/>
    <pivotField numFmtId="9" subtotalTop="0" showAll="0"/>
    <pivotField numFmtId="9" subtotalTop="0" showAll="0"/>
    <pivotField dataField="1" numFmtId="9" subtotalTop="0" showAll="0"/>
    <pivotField subtotalTop="0" showAll="0"/>
    <pivotField axis="axisRow" subtotalTop="0" showAll="0">
      <items count="8">
        <item x="0"/>
        <item x="3"/>
        <item x="2"/>
        <item x="1"/>
        <item x="4"/>
        <item x="5"/>
        <item x="6"/>
        <item t="default"/>
      </items>
    </pivotField>
  </pivotFields>
  <rowFields count="1">
    <field x="18"/>
  </rowFields>
  <rowItems count="8">
    <i>
      <x/>
    </i>
    <i>
      <x v="1"/>
    </i>
    <i>
      <x v="2"/>
    </i>
    <i>
      <x v="3"/>
    </i>
    <i>
      <x v="4"/>
    </i>
    <i>
      <x v="5"/>
    </i>
    <i>
      <x v="6"/>
    </i>
    <i t="grand">
      <x/>
    </i>
  </rowItems>
  <colItems count="1">
    <i/>
  </colItems>
  <dataFields count="1">
    <dataField name="Average of Overall GPA" fld="16" subtotal="average" baseField="18" baseItem="0" numFmtId="10"/>
  </dataFields>
  <formats count="12">
    <format dxfId="67">
      <pivotArea type="all" dataOnly="0" outline="0" fieldPosition="0"/>
    </format>
    <format dxfId="66">
      <pivotArea outline="0" collapsedLevelsAreSubtotals="1" fieldPosition="0"/>
    </format>
    <format dxfId="65">
      <pivotArea field="18" type="button" dataOnly="0" labelOnly="1" outline="0" axis="axisRow" fieldPosition="0"/>
    </format>
    <format dxfId="64">
      <pivotArea dataOnly="0" labelOnly="1" fieldPosition="0">
        <references count="1">
          <reference field="18" count="0"/>
        </references>
      </pivotArea>
    </format>
    <format dxfId="63">
      <pivotArea dataOnly="0" labelOnly="1" grandRow="1" outline="0" fieldPosition="0"/>
    </format>
    <format dxfId="62">
      <pivotArea dataOnly="0" labelOnly="1" outline="0" axis="axisValues" fieldPosition="0"/>
    </format>
    <format dxfId="43">
      <pivotArea type="all" dataOnly="0" outline="0" fieldPosition="0"/>
    </format>
    <format dxfId="42">
      <pivotArea outline="0" collapsedLevelsAreSubtotals="1" fieldPosition="0"/>
    </format>
    <format dxfId="41">
      <pivotArea field="18" type="button" dataOnly="0" labelOnly="1" outline="0" axis="axisRow" fieldPosition="0"/>
    </format>
    <format dxfId="40">
      <pivotArea dataOnly="0" labelOnly="1" fieldPosition="0">
        <references count="1">
          <reference field="18" count="0"/>
        </references>
      </pivotArea>
    </format>
    <format dxfId="39">
      <pivotArea dataOnly="0" labelOnly="1" grandRow="1" outline="0" fieldPosition="0"/>
    </format>
    <format dxfId="3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3306658-33ED-4445-8325-225618CD649D}" autoFormatId="16" applyNumberFormats="0" applyBorderFormats="0" applyFontFormats="0" applyPatternFormats="0" applyAlignmentFormats="0" applyWidthHeightFormats="0">
  <queryTableRefresh nextId="8" unboundColumnsRight="2">
    <queryTableFields count="4">
      <queryTableField id="1" name="Class" tableColumnId="1"/>
      <queryTableField id="2" name="ID" tableColumnId="2"/>
      <queryTableField id="6" dataBound="0" tableColumnId="6"/>
      <queryTableField id="7" dataBound="0"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CD71BC75-5EFE-4805-BBD7-ECB66530AAB0}" autoFormatId="16" applyNumberFormats="0" applyBorderFormats="0" applyFontFormats="0" applyPatternFormats="0" applyAlignmentFormats="0" applyWidthHeightFormats="0">
  <queryTableRefresh nextId="21" unboundColumnsRight="1">
    <queryTableFields count="20">
      <queryTableField id="1" name="Class" tableColumnId="1"/>
      <queryTableField id="2" name="Last" tableColumnId="2"/>
      <queryTableField id="3" name="First" tableColumnId="3"/>
      <queryTableField id="4" name="Test 1" tableColumnId="4"/>
      <queryTableField id="5" name="Test 2" tableColumnId="5"/>
      <queryTableField id="6" name="Test 3" tableColumnId="6"/>
      <queryTableField id="7" name="Quiz 1" tableColumnId="7"/>
      <queryTableField id="8" name="Quiz 2" tableColumnId="8"/>
      <queryTableField id="9" name="Quiz 3" tableColumnId="9"/>
      <queryTableField id="10" name="Quiz 4" tableColumnId="10"/>
      <queryTableField id="11" name="HW 1" tableColumnId="11"/>
      <queryTableField id="12" name="HW 2" tableColumnId="12"/>
      <queryTableField id="13" name="HW 3" tableColumnId="13"/>
      <queryTableField id="14" name="HW 4" tableColumnId="14"/>
      <queryTableField id="15" name="HW 5" tableColumnId="15"/>
      <queryTableField id="16" name="Project" tableColumnId="16"/>
      <queryTableField id="17" name="Overall GPA" tableColumnId="17"/>
      <queryTableField id="18" name="Letter" tableColumnId="18"/>
      <queryTableField id="19" name="Absences" tableColumnId="19"/>
      <queryTableField id="20" dataBound="0"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536B2032-311C-4074-8D02-5F7E5C027C87}" sourceName="Class">
  <pivotTables>
    <pivotTable tabId="8" name="PivotTable1"/>
    <pivotTable tabId="8" name="PivotTable4"/>
  </pivotTables>
  <data>
    <tabular pivotCacheId="183057781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xr10:uid="{E36EE70A-F29C-4B3E-A8FD-735950C22720}" cache="Slicer_Class" caption="Class" rowHeight="238506"/>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1B30C25-752F-4FBF-B795-14121A28B9A1}" name="Table11" displayName="Table11" ref="F16:F17" totalsRowShown="0" dataDxfId="94">
  <autoFilter ref="F16:F17" xr:uid="{8A858745-7EAF-4FC0-9240-0B823C41AB09}"/>
  <tableColumns count="1">
    <tableColumn id="1" xr3:uid="{E8A8F973-A7D6-4BA8-8EAE-594A1330AE8F}" name="Class" dataDxfId="9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D7E3799-1CE0-4E12-AF9A-EB836BA56011}" name="Table12_2" displayName="Table12_2" ref="A7:D32" tableType="queryTable" totalsRowShown="0">
  <autoFilter ref="A7:D32" xr:uid="{E3F557DF-6390-45F8-B864-0277ADDF0997}"/>
  <tableColumns count="4">
    <tableColumn id="1" xr3:uid="{A111DD40-947D-4DC8-A4E6-3549FC0D82C9}" uniqueName="1" name="Class" queryTableFieldId="1" dataDxfId="70"/>
    <tableColumn id="2" xr3:uid="{9A734818-9071-4F5B-AE8C-D0476B1B322B}" uniqueName="2" name="ID" queryTableFieldId="2"/>
    <tableColumn id="6" xr3:uid="{9EB41071-0733-44B7-957D-BBCBAE879F73}" uniqueName="6" name="Original Grade" queryTableFieldId="6" dataDxfId="69" dataCellStyle="Percent">
      <calculatedColumnFormula>VLOOKUP(Table12_2[[#This Row],[ID]],Table12[[ID]:[Test 3]],'Grade Curving'!$A$6+1,FALSE)</calculatedColumnFormula>
    </tableColumn>
    <tableColumn id="7" xr3:uid="{8E0C885D-DE41-40CB-B873-1B7F6D18C82F}" uniqueName="7" name="Curved Grade" queryTableFieldId="7" dataDxfId="68">
      <calculatedColumnFormula>Table12_2[[#This Row],[Original Grade]]+$J$3</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D83C001-7B50-45C8-8DF3-35B2D3BD541F}" name="Table4" displayName="Table4" ref="A9:S122" totalsRowShown="0" headerRowDxfId="117" dataDxfId="116" headerRowBorderDxfId="114" tableBorderDxfId="115" dataCellStyle="Percent">
  <tableColumns count="19">
    <tableColumn id="1" xr3:uid="{ADF98321-C637-4E32-82F1-C745AAC857BB}" name="Class"/>
    <tableColumn id="2" xr3:uid="{B83E9E46-9EEF-449F-837C-2DC911719AB4}" name="Last"/>
    <tableColumn id="3" xr3:uid="{0487D214-0F59-4A92-8B1C-3E5B61C10CB9}" name="First"/>
    <tableColumn id="4" xr3:uid="{E0280315-DD60-42DD-88F7-9967FB1C8C25}" name="Test 1" dataDxfId="113" dataCellStyle="Percent"/>
    <tableColumn id="5" xr3:uid="{4F3F43C6-2EBE-4D0A-9E8C-0699867E561E}" name="Test 2" dataDxfId="112" dataCellStyle="Percent"/>
    <tableColumn id="6" xr3:uid="{AF71BBEC-4BDC-4092-BE16-0D705E118B09}" name="Test 3" dataDxfId="111" dataCellStyle="Percent"/>
    <tableColumn id="7" xr3:uid="{5BD8E440-0A38-491D-9043-0A77F0FD84E9}" name="Quiz 1" dataDxfId="110" dataCellStyle="Percent"/>
    <tableColumn id="8" xr3:uid="{4F655687-F4C0-4725-9A76-1C50D7FA11E2}" name="Quiz 2" dataDxfId="109" dataCellStyle="Percent"/>
    <tableColumn id="9" xr3:uid="{C269F0BA-F288-4CD1-847E-20D917BD8BB3}" name="Quiz 3" dataDxfId="108" dataCellStyle="Percent"/>
    <tableColumn id="10" xr3:uid="{A9D5AD0C-48CD-4DB0-AB75-7B9C1882659C}" name="Quiz 4" dataDxfId="107" dataCellStyle="Percent"/>
    <tableColumn id="11" xr3:uid="{744FE305-B488-49B3-A2A4-1F85871E5CF8}" name="HW 1" dataDxfId="106" dataCellStyle="Percent"/>
    <tableColumn id="12" xr3:uid="{75E2B209-F79A-4246-ACC3-490DFF97E2A8}" name="HW 2" dataDxfId="105" dataCellStyle="Percent"/>
    <tableColumn id="13" xr3:uid="{EDDDBE7D-BD6D-4A5C-8808-6350427DFC67}" name="HW 3" dataDxfId="104" dataCellStyle="Percent"/>
    <tableColumn id="14" xr3:uid="{390DD830-41C1-48DD-9714-1F22541E8AA6}" name="HW 4" dataDxfId="103" dataCellStyle="Percent"/>
    <tableColumn id="15" xr3:uid="{BAF7D441-F065-424A-957E-FE09B3BBD610}" name="HW 5" dataDxfId="102" dataCellStyle="Percent"/>
    <tableColumn id="16" xr3:uid="{F45F272C-BA73-4FF2-AF11-ABF1A1417EBB}" name="Project" dataDxfId="101" dataCellStyle="Percent"/>
    <tableColumn id="17" xr3:uid="{015C7837-A47F-46C2-9281-ACDD07F68D8A}" name="Overall GPA" dataDxfId="100" dataCellStyle="Percent"/>
    <tableColumn id="18" xr3:uid="{31A82047-60B7-4545-B12D-7A92213EBFC2}" name="Letter" dataDxfId="99" dataCellStyle="Percent"/>
    <tableColumn id="19" xr3:uid="{DAED7607-626C-446B-B8C4-CA15E9519F4F}" name="Absences" dataDxfId="98" dataCellStyle="Perc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DA4965-E37E-4073-A1D9-965D8ECCA1D1}" name="Grades" displayName="Grades" ref="B3:T36" totalsRowShown="0" headerRowDxfId="192" dataDxfId="191" dataCellStyle="Percent">
  <autoFilter ref="B3:T36" xr:uid="{8165AE29-468B-48BE-948C-9D808C208C63}"/>
  <sortState xmlns:xlrd2="http://schemas.microsoft.com/office/spreadsheetml/2017/richdata2" ref="B4:S36">
    <sortCondition descending="1" ref="R4:R36"/>
    <sortCondition descending="1" ref="Q4:Q36"/>
  </sortState>
  <tableColumns count="19">
    <tableColumn id="1" xr3:uid="{B8BFDF1D-96CF-423B-82EF-59A01CA1B798}" name="ID"/>
    <tableColumn id="2" xr3:uid="{78A4A1CD-D329-42FB-B55C-F0C9194D14E0}" name="Last"/>
    <tableColumn id="3" xr3:uid="{05C132BD-8108-487A-91AE-740A341C3B46}" name="First"/>
    <tableColumn id="4" xr3:uid="{2054D504-C36F-4B86-80CA-3DF4794B53B2}" name="Test 1" dataDxfId="190" dataCellStyle="Percent"/>
    <tableColumn id="5" xr3:uid="{D5BF1B20-BE47-4EF1-A012-6538719CCF44}" name="Test 2" dataDxfId="189" dataCellStyle="Percent"/>
    <tableColumn id="6" xr3:uid="{60880CCA-D8B7-49BA-A051-7FB1A763994D}" name="Test 3" dataDxfId="188" dataCellStyle="Percent"/>
    <tableColumn id="7" xr3:uid="{F51D4D7B-4E6E-4F89-9B3D-CB1478F4FADA}" name="Quiz 1" dataDxfId="187" dataCellStyle="Percent"/>
    <tableColumn id="8" xr3:uid="{881C5EBB-0589-4CF5-902F-76F2BF39D3CA}" name="Quiz 2" dataDxfId="186" dataCellStyle="Percent"/>
    <tableColumn id="9" xr3:uid="{EFBE47F8-BE95-4609-9BA2-1181FC278FC8}" name="Quiz 3" dataDxfId="185" dataCellStyle="Percent"/>
    <tableColumn id="10" xr3:uid="{C6BDA91D-2D8B-4C7C-98AD-694AD1B00632}" name="Quiz 4" dataDxfId="184" dataCellStyle="Percent"/>
    <tableColumn id="11" xr3:uid="{730693F1-FBB6-42E4-A603-F4C79AAF2D83}" name="HW 1" dataDxfId="183" dataCellStyle="Percent"/>
    <tableColumn id="12" xr3:uid="{933B93FA-9769-4499-B81C-C21DB7F0A513}" name="HW 2" dataDxfId="182" dataCellStyle="Percent"/>
    <tableColumn id="13" xr3:uid="{C536F316-3F02-4F74-BDD2-AAE2B3C2A9D4}" name="HW 3" dataDxfId="181" dataCellStyle="Percent"/>
    <tableColumn id="14" xr3:uid="{B6BA66A0-4D4C-4509-A62E-FD3BE3E3174F}" name="HW 4" dataDxfId="180" dataCellStyle="Percent"/>
    <tableColumn id="15" xr3:uid="{5EA7BAF1-C6C3-46BA-9AD9-FDEE298F4CA0}" name="HW 5" dataDxfId="179" dataCellStyle="Percent"/>
    <tableColumn id="16" xr3:uid="{C14372A1-A523-4779-B0CE-7AF6AADDBB9C}" name="Project" dataDxfId="178" dataCellStyle="Percent"/>
    <tableColumn id="18" xr3:uid="{67FFDB9A-DEA6-4F60-B4B0-D31E20D96F8B}" name="Overall GPA" dataDxfId="177" dataCellStyle="Percent">
      <calculatedColumnFormula>SUMPRODUCT($E$1:$Q$1,E4:Q4)</calculatedColumnFormula>
    </tableColumn>
    <tableColumn id="19" xr3:uid="{3C64A2A0-0ED7-4C60-84D1-F79032343C4B}" name="Letter" dataDxfId="124">
      <calculatedColumnFormula>INDEX($BB$4:$BB$13,MATCH(Grades[[#This Row],[Overall GPA]],$BA$4:$BA$13,-1))</calculatedColumnFormula>
    </tableColumn>
    <tableColumn id="17" xr3:uid="{7F3AE9F1-38E2-46C9-9FD9-23D2A964D291}" name="Absences" dataDxfId="123" dataCellStyle="Percent">
      <calculatedColumnFormula>RANDBETWEEN(0,3)</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CBB310-2710-473E-B774-6636F0122378}" name="Grades3" displayName="Grades3" ref="W3:AO28" totalsRowShown="0" headerRowDxfId="176" dataDxfId="175" dataCellStyle="Percent">
  <autoFilter ref="W3:AO28" xr:uid="{A03C991F-E3B7-4D36-8F4A-E0191F43FB91}"/>
  <sortState xmlns:xlrd2="http://schemas.microsoft.com/office/spreadsheetml/2017/richdata2" ref="W4:AN28">
    <sortCondition descending="1" ref="AM4:AM28"/>
    <sortCondition descending="1" ref="AL4:AL28"/>
  </sortState>
  <tableColumns count="19">
    <tableColumn id="1" xr3:uid="{8496799A-1968-4E4B-9028-D2B0E2AB5573}" name="ID" dataDxfId="174" dataCellStyle="Percent"/>
    <tableColumn id="2" xr3:uid="{83E99D57-B613-40C3-A95A-1A170FF2734E}" name="Last" dataDxfId="173" dataCellStyle="Percent"/>
    <tableColumn id="3" xr3:uid="{9B1CEA1F-9976-43E5-8DAF-8DD5DC34B92F}" name="First"/>
    <tableColumn id="4" xr3:uid="{090C0A00-8BB9-48CA-9C94-465038B22B5A}" name="Test 1" dataDxfId="172" dataCellStyle="Percent"/>
    <tableColumn id="5" xr3:uid="{3208EEAD-D273-4895-8419-6D6AD780ADE4}" name="Test 2" dataDxfId="171" dataCellStyle="Percent"/>
    <tableColumn id="6" xr3:uid="{D8AF3419-9674-4305-9E43-322C8EBD8F0C}" name="Test 3" dataDxfId="170" dataCellStyle="Percent"/>
    <tableColumn id="7" xr3:uid="{614D144B-A826-4A7D-AC1E-9A38FF736230}" name="Quiz 1" dataDxfId="169" dataCellStyle="Percent"/>
    <tableColumn id="8" xr3:uid="{DD0325DC-E6C7-49E1-993C-E317D701C994}" name="Quiz 2" dataDxfId="168" dataCellStyle="Percent"/>
    <tableColumn id="9" xr3:uid="{0F8E741F-096E-4BC1-B7ED-231FA36C4B78}" name="Quiz 3" dataDxfId="167" dataCellStyle="Percent"/>
    <tableColumn id="10" xr3:uid="{66631AAB-86D2-46EA-8538-B76ADA0571CF}" name="Quiz 4" dataDxfId="166" dataCellStyle="Percent"/>
    <tableColumn id="11" xr3:uid="{B42E86BE-2ED4-4C11-8A34-86C20FD9C227}" name="HW 1" dataDxfId="165" dataCellStyle="Percent"/>
    <tableColumn id="12" xr3:uid="{66224144-D9EF-472E-BC2B-E738CAC329C1}" name="HW 2" dataDxfId="164" dataCellStyle="Percent"/>
    <tableColumn id="13" xr3:uid="{902C9AF1-138A-4902-95BA-2B41721AEB19}" name="HW 3" dataDxfId="163" dataCellStyle="Percent"/>
    <tableColumn id="14" xr3:uid="{E0B95312-ABD3-4C26-816A-490367721D7B}" name="HW 4" dataDxfId="162" dataCellStyle="Percent"/>
    <tableColumn id="15" xr3:uid="{799C5563-FD97-4E1E-AB83-45C56A45F414}" name="HW 5" dataDxfId="161" dataCellStyle="Percent"/>
    <tableColumn id="16" xr3:uid="{2A0B5016-DD06-4726-AA04-8F76DA40093E}" name="Project" dataDxfId="160" dataCellStyle="Percent"/>
    <tableColumn id="18" xr3:uid="{9FCFD563-6F13-4B7C-825C-EC87C4543561}" name="Overall GPA" dataDxfId="159" dataCellStyle="Percent">
      <calculatedColumnFormula>SUMPRODUCT(Grades3[[#This Row],[Test 1]:[Project]],$E$1:$Q$1)</calculatedColumnFormula>
    </tableColumn>
    <tableColumn id="19" xr3:uid="{BFE7EC38-4C70-4007-BBE5-BB88A8BAB9D5}" name="Letter" dataDxfId="121">
      <calculatedColumnFormula>INDEX($BB$4:$BB$13,MATCH(Grades3[[#This Row],[Overall GPA]],$BA$4:$BA$13,-1))</calculatedColumnFormula>
    </tableColumn>
    <tableColumn id="17" xr3:uid="{32E6A8D4-2975-45D7-ACBE-1F92FD7329B7}" name="Absences" dataDxfId="120" dataCellStyle="Percent">
      <calculatedColumnFormula>RANDBETWEEN(0,3)</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C5CEEB9-3A65-4468-AF65-2712E48C28DA}" name="Grades4" displayName="Grades4" ref="W32:AO57" totalsRowShown="0" headerRowDxfId="158" dataDxfId="157" dataCellStyle="Percent">
  <autoFilter ref="W32:AO57" xr:uid="{AAC7C4D0-F619-4B40-8E4B-41C7927E38BB}"/>
  <sortState xmlns:xlrd2="http://schemas.microsoft.com/office/spreadsheetml/2017/richdata2" ref="W33:AN57">
    <sortCondition descending="1" ref="AM33:AM57"/>
    <sortCondition descending="1" ref="AL33:AL57"/>
  </sortState>
  <tableColumns count="19">
    <tableColumn id="1" xr3:uid="{495A1640-24DC-440F-94D2-7F474621FB66}" name="ID" dataDxfId="156" dataCellStyle="Percent"/>
    <tableColumn id="2" xr3:uid="{93134D6B-D3F3-4E5F-BA15-8602CF6BAC9F}" name="Last" dataDxfId="155" dataCellStyle="Percent"/>
    <tableColumn id="3" xr3:uid="{D435D3D0-3FC9-496E-9C99-98F085A5E53A}" name="First" dataDxfId="154" dataCellStyle="Percent"/>
    <tableColumn id="4" xr3:uid="{F2A2BB23-348C-4528-8C33-3B599B37E39B}" name="Test 1" dataDxfId="153" dataCellStyle="Percent"/>
    <tableColumn id="5" xr3:uid="{62D46066-82CB-4B35-B350-759413BB147B}" name="Test 2" dataDxfId="152" dataCellStyle="Percent"/>
    <tableColumn id="6" xr3:uid="{63263CEB-80BB-4315-B467-3180FD1E8318}" name="Test 3" dataDxfId="151" dataCellStyle="Percent"/>
    <tableColumn id="7" xr3:uid="{A7E290F1-CB87-4194-A753-FE43F7C6BE3C}" name="Quiz 1" dataDxfId="150" dataCellStyle="Percent"/>
    <tableColumn id="8" xr3:uid="{BBD082A4-6356-48DE-9376-1986EC1EF10A}" name="Quiz 2" dataDxfId="149" dataCellStyle="Percent"/>
    <tableColumn id="9" xr3:uid="{2967691A-51D4-4E3D-8305-634D2652D972}" name="Quiz 3" dataDxfId="148" dataCellStyle="Percent"/>
    <tableColumn id="10" xr3:uid="{A326A684-56C4-491A-BB65-852EB9D623D7}" name="Quiz 4" dataDxfId="147" dataCellStyle="Percent"/>
    <tableColumn id="11" xr3:uid="{34CA0FAC-3860-4149-AB24-58893FEAC7D6}" name="HW 1" dataDxfId="146" dataCellStyle="Percent"/>
    <tableColumn id="12" xr3:uid="{3A87DEFE-39B8-4965-B560-DE0E39D4C3AF}" name="HW 2" dataDxfId="145" dataCellStyle="Percent"/>
    <tableColumn id="13" xr3:uid="{0FB3601B-5E49-4F94-8CD9-FB6750E89AEB}" name="HW 3" dataDxfId="144" dataCellStyle="Percent"/>
    <tableColumn id="14" xr3:uid="{4A71B861-54CF-48AC-88E7-1364008C42DE}" name="HW 4" dataDxfId="143" dataCellStyle="Percent"/>
    <tableColumn id="15" xr3:uid="{2E7D9F3A-080F-4AAC-BE79-478D83741F78}" name="HW 5" dataDxfId="142" dataCellStyle="Percent"/>
    <tableColumn id="16" xr3:uid="{1ED69C48-A7A6-458F-B818-AEF375CE5127}" name="Project" dataDxfId="141" dataCellStyle="Percent"/>
    <tableColumn id="18" xr3:uid="{6AF5078D-A2A8-478F-8494-A06CA91FE1D5}" name="Overall GPA" dataDxfId="140" dataCellStyle="Percent">
      <calculatedColumnFormula>SUMPRODUCT(Grades4[[#This Row],[Test 1]:[Project]],$E$1:$Q$1)</calculatedColumnFormula>
    </tableColumn>
    <tableColumn id="19" xr3:uid="{3E8ED5C4-FE34-4356-8EB8-26C47389FDB2}" name="Letter" dataDxfId="119">
      <calculatedColumnFormula>INDEX($BB$4:$BB$13,MATCH(Grades4[[#This Row],[Overall GPA]],$BA$4:$BA$13,-1))</calculatedColumnFormula>
    </tableColumn>
    <tableColumn id="17" xr3:uid="{475FA6BA-6225-40EC-9C19-8B0AD16B60E0}" name="Absences" dataDxfId="118" dataCellStyle="Percent">
      <calculatedColumnFormula>RANDBETWEEN(0,3)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2C8184-E89B-4B66-96BC-2C17D1FF5EB5}" name="Grades2" displayName="Grades2" ref="B39:T69" totalsRowShown="0" dataDxfId="139" dataCellStyle="Percent">
  <autoFilter ref="B39:T69" xr:uid="{2EB1DFFE-56D7-42B5-B73E-1F4E05EA1A64}"/>
  <sortState xmlns:xlrd2="http://schemas.microsoft.com/office/spreadsheetml/2017/richdata2" ref="B40:S69">
    <sortCondition descending="1" ref="R40:R69"/>
    <sortCondition descending="1" ref="Q40:Q69"/>
  </sortState>
  <tableColumns count="19">
    <tableColumn id="1" xr3:uid="{2A5044E6-B1A9-4B69-B2DB-F4C9B3D96FD1}" name="ID"/>
    <tableColumn id="2" xr3:uid="{9FBFA738-864A-4398-98DB-D60C37844918}" name="Last"/>
    <tableColumn id="3" xr3:uid="{F038571C-A56E-4DF3-B12C-AFE887974B9D}" name="First"/>
    <tableColumn id="4" xr3:uid="{EB03CC8C-89ED-4DFB-8597-5C93C904252C}" name="Test 1" dataDxfId="138" dataCellStyle="Percent"/>
    <tableColumn id="5" xr3:uid="{DFA26EC3-08C3-435E-A25B-9758E41D11DD}" name="Test 2" dataDxfId="137" dataCellStyle="Percent"/>
    <tableColumn id="6" xr3:uid="{9A35D9BA-5C34-4A6A-AA34-5DA065A0E2C8}" name="Test 3" dataDxfId="136" dataCellStyle="Percent"/>
    <tableColumn id="7" xr3:uid="{4910A98B-C9ED-4140-A626-DF6DA3A65B6C}" name="Quiz 1" dataDxfId="135" dataCellStyle="Percent"/>
    <tableColumn id="8" xr3:uid="{E5028F0B-3846-4B3D-9510-3747EC6315C0}" name="Quiz 2" dataDxfId="134" dataCellStyle="Percent"/>
    <tableColumn id="9" xr3:uid="{4E1B6A66-DFA2-4329-8F65-7B1875882EF4}" name="Quiz 3" dataDxfId="133" dataCellStyle="Percent"/>
    <tableColumn id="10" xr3:uid="{CDAF7797-1B4E-467C-8FF0-23BC30090875}" name="Quiz 4" dataDxfId="132" dataCellStyle="Percent"/>
    <tableColumn id="11" xr3:uid="{6882D733-BBFC-4516-8C0D-ECCCE121567F}" name="HW 1" dataDxfId="131" dataCellStyle="Percent"/>
    <tableColumn id="12" xr3:uid="{014ADB66-3DCA-47AA-8EDC-33D596967852}" name="HW 2" dataDxfId="130" dataCellStyle="Percent"/>
    <tableColumn id="13" xr3:uid="{E1CFD460-9883-49AD-A7AE-196ECAE47DA5}" name="HW 3" dataDxfId="129" dataCellStyle="Percent"/>
    <tableColumn id="14" xr3:uid="{F4EEC399-073C-4D12-99E3-F9994C29BD52}" name="HW 4" dataDxfId="128" dataCellStyle="Percent"/>
    <tableColumn id="15" xr3:uid="{23FC4DC7-C94A-4E47-BD08-549CB6B2FAE4}" name="HW 5" dataDxfId="127" dataCellStyle="Percent"/>
    <tableColumn id="16" xr3:uid="{C1B4FB0A-0C00-4D11-AAE6-068278A30A7C}" name="Project" dataDxfId="126" dataCellStyle="Percent"/>
    <tableColumn id="17" xr3:uid="{D16403D6-A7DB-4036-BFD9-937C8FC42693}" name="Overall GPA" dataDxfId="125" dataCellStyle="Percent">
      <calculatedColumnFormula>SUMPRODUCT(E40:Q40,$E$1:$Q$1)</calculatedColumnFormula>
    </tableColumn>
    <tableColumn id="18" xr3:uid="{CDB1A204-7490-4B39-B9F4-F562E71B0465}" name="Letter">
      <calculatedColumnFormula>INDEX($BB$4:$BB$13,MATCH(Grades2[[#This Row],[Overall GPA]],$BA$4:$BA$13,-1))</calculatedColumnFormula>
    </tableColumn>
    <tableColumn id="19" xr3:uid="{E5CBC6B1-74C3-4AA6-A1B6-C85DF2B6CADC}" name="Absences" dataDxfId="122" data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574559D-62D5-4D9C-8490-F0EEFA95FAB8}" name="Table3" displayName="Table3" ref="B1:B2" totalsRowShown="0">
  <autoFilter ref="B1:B2" xr:uid="{D9F5FA4E-1FAC-4B64-850A-44A45CF6ECDF}"/>
  <tableColumns count="1">
    <tableColumn id="1" xr3:uid="{721D82FC-BDDF-482E-980A-2E8B7CB726EF}" name="Filter">
      <calculatedColumnFormula>Dashboard!D8</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37F8E8-1D6A-421F-AFC8-7DF099EA94FF}" name="Table4_2" displayName="Table4_2" ref="A5:T35" tableType="queryTable" totalsRowShown="0" headerRowDxfId="96" dataDxfId="97" headerRowCellStyle="Percent" dataCellStyle="Percent">
  <autoFilter ref="A5:T35" xr:uid="{FD62A262-6DB9-4C24-98D8-D274FB77F86B}"/>
  <tableColumns count="20">
    <tableColumn id="1" xr3:uid="{958DD510-C72D-440E-A651-55FAD597F355}" uniqueName="1" name="Class" queryTableFieldId="1" dataDxfId="90"/>
    <tableColumn id="2" xr3:uid="{DA2D6B17-1C6C-4496-A4A5-06F8D62EDE8C}" uniqueName="2" name="Last" queryTableFieldId="2" dataDxfId="89"/>
    <tableColumn id="3" xr3:uid="{CE31B9B4-F0A2-4DC7-AC13-55F7F3523741}" uniqueName="3" name="First" queryTableFieldId="3" dataDxfId="88"/>
    <tableColumn id="4" xr3:uid="{CF34474F-336D-43A5-B857-BC09130A27C2}" uniqueName="4" name="Test 1" queryTableFieldId="4" dataDxfId="87" dataCellStyle="Percent"/>
    <tableColumn id="5" xr3:uid="{6AB60987-17B6-44CC-B939-5215002D37BF}" uniqueName="5" name="Test 2" queryTableFieldId="5" dataDxfId="86" dataCellStyle="Percent"/>
    <tableColumn id="6" xr3:uid="{D02D0A5A-285E-4603-87C1-9F1014FE6AFD}" uniqueName="6" name="Test 3" queryTableFieldId="6" dataDxfId="85" dataCellStyle="Percent"/>
    <tableColumn id="7" xr3:uid="{6396C8A8-0293-4052-A107-A126CE37E1E3}" uniqueName="7" name="Quiz 1" queryTableFieldId="7" dataDxfId="84" dataCellStyle="Percent"/>
    <tableColumn id="8" xr3:uid="{795D1152-DCC3-49AB-9CA0-B4BF7AED5E3C}" uniqueName="8" name="Quiz 2" queryTableFieldId="8" dataDxfId="83" dataCellStyle="Percent"/>
    <tableColumn id="9" xr3:uid="{5A70B144-3D61-4E96-8E73-FD2B5ECE48A5}" uniqueName="9" name="Quiz 3" queryTableFieldId="9" dataDxfId="82" dataCellStyle="Percent"/>
    <tableColumn id="10" xr3:uid="{CF1551FE-1FBF-483A-B289-9306853B7ED7}" uniqueName="10" name="Quiz 4" queryTableFieldId="10" dataDxfId="81" dataCellStyle="Percent"/>
    <tableColumn id="11" xr3:uid="{3528C720-F7CB-4416-872F-E638DAC3D417}" uniqueName="11" name="HW 1" queryTableFieldId="11" dataDxfId="80" dataCellStyle="Percent"/>
    <tableColumn id="12" xr3:uid="{DC317777-6164-4B8E-BD4B-0F34594F3729}" uniqueName="12" name="HW 2" queryTableFieldId="12" dataDxfId="79" dataCellStyle="Percent"/>
    <tableColumn id="13" xr3:uid="{2A061FCB-D5B1-459C-AB93-A187526ED21F}" uniqueName="13" name="HW 3" queryTableFieldId="13" dataDxfId="78" dataCellStyle="Percent"/>
    <tableColumn id="14" xr3:uid="{A4604637-7A3A-4582-B6E4-A8C3E8360086}" uniqueName="14" name="HW 4" queryTableFieldId="14" dataDxfId="77" dataCellStyle="Percent"/>
    <tableColumn id="15" xr3:uid="{7B31D2C2-52A4-428B-973A-46A9B9EE4843}" uniqueName="15" name="HW 5" queryTableFieldId="15" dataDxfId="76" dataCellStyle="Percent"/>
    <tableColumn id="16" xr3:uid="{164C82DE-2F86-436A-B5FD-1971E3BC014F}" uniqueName="16" name="Project" queryTableFieldId="16" dataDxfId="75" dataCellStyle="Percent"/>
    <tableColumn id="17" xr3:uid="{917AB555-1477-40AD-BDE4-E0E66C44880A}" uniqueName="17" name="Overall GPA" queryTableFieldId="17" dataDxfId="74" dataCellStyle="Percent"/>
    <tableColumn id="18" xr3:uid="{E43CA429-9E42-405A-9EC6-E5886DC32101}" uniqueName="18" name="Letter" queryTableFieldId="18" dataDxfId="73" dataCellStyle="Percent"/>
    <tableColumn id="19" xr3:uid="{1D5D13EC-78D9-4484-8A1C-7DD02A83DCA5}" uniqueName="19" name="Absences" queryTableFieldId="19" dataDxfId="72" dataCellStyle="Percent"/>
    <tableColumn id="20" xr3:uid="{3CB387C5-B663-410F-92FE-2BA7F85CA2AF}" uniqueName="20" name="Pass/Fail" queryTableFieldId="20" dataDxfId="71" dataCellStyle="Percent">
      <calculatedColumnFormula>IF(Table4_2[[#This Row],[Overall GPA]]&gt;=0.65,"Pass","Fail")</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98E5D17-B507-45FB-ABC5-4598E8D4DDF0}" name="Table12" displayName="Table12" ref="A1:E114" totalsRowShown="0" tableBorderDxfId="93">
  <autoFilter ref="A1:E114" xr:uid="{0418DBE4-7088-4867-9FB7-0EF37BE6CF57}"/>
  <tableColumns count="5">
    <tableColumn id="1" xr3:uid="{E629F571-0D87-4F8D-8F42-D787E6F29E6E}" name="Class" dataDxfId="92"/>
    <tableColumn id="2" xr3:uid="{9692C594-6C00-4C30-B843-6FE8427C9C0E}" name="ID" dataDxfId="91" dataCellStyle="Percent"/>
    <tableColumn id="3" xr3:uid="{89F18684-6BCF-4CC8-851B-629D60275A23}" name="Test 1"/>
    <tableColumn id="4" xr3:uid="{E3B797F8-BD5E-45F6-B2B3-0A48DE505CA7}" name="Test 2"/>
    <tableColumn id="5" xr3:uid="{66CB0036-0A7E-4199-AD66-3D979F9D6078}" name="Test 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image" Target="../media/image2.png"/></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image" Target="../media/image2.png"/><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trlProp" Target="../ctrlProps/ctrlProp2.xml"/><Relationship Id="rId7"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5" Type="http://schemas.openxmlformats.org/officeDocument/2006/relationships/table" Target="../tables/table7.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B7E1-8D21-4371-B981-17F97E9FB093}">
  <sheetPr codeName="Sheet1"/>
  <dimension ref="A1:S15"/>
  <sheetViews>
    <sheetView showGridLines="0" workbookViewId="0">
      <selection activeCell="L11" sqref="L11"/>
    </sheetView>
  </sheetViews>
  <sheetFormatPr defaultColWidth="9" defaultRowHeight="14.4" x14ac:dyDescent="0.3"/>
  <cols>
    <col min="1" max="9" width="9" style="15"/>
    <col min="10" max="10" width="21.796875" style="15" bestFit="1" customWidth="1"/>
    <col min="11" max="16384" width="9" style="15"/>
  </cols>
  <sheetData>
    <row r="1" spans="1:19" ht="15" customHeight="1" x14ac:dyDescent="0.3">
      <c r="A1" s="50"/>
      <c r="B1" s="50"/>
      <c r="C1" s="50"/>
      <c r="D1" s="50"/>
      <c r="E1" s="50"/>
      <c r="F1" s="51" t="s">
        <v>104</v>
      </c>
      <c r="G1" s="51"/>
      <c r="H1" s="51"/>
      <c r="I1" s="51"/>
      <c r="J1" s="51"/>
      <c r="K1" s="51"/>
      <c r="L1" s="51"/>
      <c r="M1" s="51"/>
      <c r="N1" s="51"/>
      <c r="O1" s="55" t="str">
        <f ca="1">"Happy "&amp;TEXT(NOW(),"dddd")&amp;"!!!!"</f>
        <v>Happy Sunday!!!!</v>
      </c>
      <c r="P1" s="55"/>
      <c r="Q1" s="55"/>
      <c r="R1" s="55"/>
      <c r="S1" s="55"/>
    </row>
    <row r="2" spans="1:19" x14ac:dyDescent="0.3">
      <c r="A2" s="50"/>
      <c r="B2" s="50"/>
      <c r="C2" s="50"/>
      <c r="D2" s="50"/>
      <c r="E2" s="50"/>
      <c r="F2" s="51"/>
      <c r="G2" s="51"/>
      <c r="H2" s="51"/>
      <c r="I2" s="51"/>
      <c r="J2" s="51"/>
      <c r="K2" s="51"/>
      <c r="L2" s="51"/>
      <c r="M2" s="51"/>
      <c r="N2" s="51"/>
      <c r="O2" s="55"/>
      <c r="P2" s="55"/>
      <c r="Q2" s="55"/>
      <c r="R2" s="55"/>
      <c r="S2" s="55"/>
    </row>
    <row r="3" spans="1:19" x14ac:dyDescent="0.3">
      <c r="A3" s="50"/>
      <c r="B3" s="50"/>
      <c r="C3" s="50"/>
      <c r="D3" s="50"/>
      <c r="E3" s="50"/>
      <c r="F3" s="51"/>
      <c r="G3" s="51"/>
      <c r="H3" s="51"/>
      <c r="I3" s="51"/>
      <c r="J3" s="51"/>
      <c r="K3" s="51"/>
      <c r="L3" s="51"/>
      <c r="M3" s="51"/>
      <c r="N3" s="51"/>
      <c r="O3" s="55"/>
      <c r="P3" s="55"/>
      <c r="Q3" s="55"/>
      <c r="R3" s="55"/>
      <c r="S3" s="55"/>
    </row>
    <row r="4" spans="1:19" x14ac:dyDescent="0.3">
      <c r="A4" s="50"/>
      <c r="B4" s="50"/>
      <c r="C4" s="50"/>
      <c r="D4" s="50"/>
      <c r="E4" s="50"/>
      <c r="F4" s="51"/>
      <c r="G4" s="51"/>
      <c r="H4" s="51"/>
      <c r="I4" s="51"/>
      <c r="J4" s="51"/>
      <c r="K4" s="51"/>
      <c r="L4" s="51"/>
      <c r="M4" s="51"/>
      <c r="N4" s="51"/>
      <c r="O4" s="55"/>
      <c r="P4" s="55"/>
      <c r="Q4" s="55"/>
      <c r="R4" s="55"/>
      <c r="S4" s="55"/>
    </row>
    <row r="5" spans="1:19" x14ac:dyDescent="0.3">
      <c r="A5" s="50"/>
      <c r="B5" s="50"/>
      <c r="C5" s="50"/>
      <c r="D5" s="50"/>
      <c r="E5" s="50"/>
      <c r="F5" s="51"/>
      <c r="G5" s="51"/>
      <c r="H5" s="51"/>
      <c r="I5" s="51"/>
      <c r="J5" s="51"/>
      <c r="K5" s="51"/>
      <c r="L5" s="51"/>
      <c r="M5" s="51"/>
      <c r="N5" s="51"/>
      <c r="O5" s="55"/>
      <c r="P5" s="55"/>
      <c r="Q5" s="55"/>
      <c r="R5" s="55"/>
      <c r="S5" s="55"/>
    </row>
    <row r="6" spans="1:19" x14ac:dyDescent="0.3">
      <c r="A6" s="50"/>
      <c r="B6" s="50"/>
      <c r="C6" s="50"/>
      <c r="D6" s="50"/>
      <c r="E6" s="50"/>
      <c r="F6" s="51"/>
      <c r="G6" s="51"/>
      <c r="H6" s="51"/>
      <c r="I6" s="51"/>
      <c r="J6" s="51"/>
      <c r="K6" s="51"/>
      <c r="L6" s="51"/>
      <c r="M6" s="51"/>
      <c r="N6" s="51"/>
    </row>
    <row r="7" spans="1:19" x14ac:dyDescent="0.3">
      <c r="A7" s="50"/>
      <c r="B7" s="50"/>
      <c r="C7" s="50"/>
      <c r="D7" s="50"/>
      <c r="E7" s="50"/>
      <c r="F7" s="53" t="s">
        <v>156</v>
      </c>
      <c r="G7" s="53"/>
      <c r="H7" s="53"/>
      <c r="I7" s="53"/>
      <c r="J7" s="53"/>
      <c r="K7" s="53"/>
      <c r="L7" s="53"/>
      <c r="M7" s="53"/>
      <c r="N7" s="53"/>
    </row>
    <row r="8" spans="1:19" x14ac:dyDescent="0.3">
      <c r="A8" s="50"/>
      <c r="B8" s="50"/>
      <c r="C8" s="50"/>
      <c r="D8" s="50"/>
      <c r="E8" s="50"/>
      <c r="F8" s="53"/>
      <c r="G8" s="53"/>
      <c r="H8" s="53"/>
      <c r="I8" s="53"/>
      <c r="J8" s="53"/>
      <c r="K8" s="53"/>
      <c r="L8" s="53"/>
      <c r="M8" s="53"/>
      <c r="N8" s="53"/>
    </row>
    <row r="9" spans="1:19" ht="27.65" x14ac:dyDescent="0.6">
      <c r="A9" s="50"/>
      <c r="B9" s="50"/>
      <c r="C9" s="50"/>
      <c r="D9" s="50"/>
      <c r="E9" s="50"/>
      <c r="F9" s="50"/>
      <c r="G9" s="50"/>
      <c r="H9" s="50"/>
      <c r="I9" s="50"/>
      <c r="J9" s="52" t="s">
        <v>149</v>
      </c>
    </row>
    <row r="10" spans="1:19" ht="27.65" x14ac:dyDescent="0.6">
      <c r="A10" s="50"/>
      <c r="B10" s="50"/>
      <c r="C10" s="50"/>
      <c r="D10" s="50"/>
      <c r="E10" s="50"/>
      <c r="F10" s="50"/>
      <c r="G10" s="50"/>
      <c r="H10" s="50"/>
      <c r="I10" s="50"/>
      <c r="J10" s="52" t="s">
        <v>150</v>
      </c>
    </row>
    <row r="11" spans="1:19" ht="27.65" x14ac:dyDescent="0.6">
      <c r="A11" s="50"/>
      <c r="B11" s="50"/>
      <c r="C11" s="50"/>
      <c r="D11" s="50"/>
      <c r="E11" s="50"/>
      <c r="F11" s="50"/>
      <c r="G11" s="50"/>
      <c r="H11" s="50"/>
      <c r="I11" s="50"/>
      <c r="J11" s="52" t="s">
        <v>151</v>
      </c>
    </row>
    <row r="12" spans="1:19" ht="27.65" x14ac:dyDescent="0.6">
      <c r="A12" s="50"/>
      <c r="B12" s="50"/>
      <c r="C12" s="50"/>
      <c r="D12" s="50"/>
      <c r="E12" s="50"/>
      <c r="F12" s="50"/>
      <c r="G12" s="50"/>
      <c r="H12" s="50"/>
      <c r="I12" s="50"/>
      <c r="J12" s="52" t="s">
        <v>152</v>
      </c>
    </row>
    <row r="13" spans="1:19" ht="27.65" x14ac:dyDescent="0.6">
      <c r="A13" s="50"/>
      <c r="B13" s="50"/>
      <c r="C13" s="50"/>
      <c r="D13" s="50"/>
      <c r="E13" s="50"/>
      <c r="F13" s="50"/>
      <c r="G13" s="50"/>
      <c r="J13" s="52" t="s">
        <v>153</v>
      </c>
    </row>
    <row r="14" spans="1:19" ht="27.65" x14ac:dyDescent="0.6">
      <c r="J14" s="52" t="s">
        <v>155</v>
      </c>
    </row>
    <row r="15" spans="1:19" ht="27.65" x14ac:dyDescent="0.6">
      <c r="J15" s="52" t="s">
        <v>154</v>
      </c>
    </row>
  </sheetData>
  <mergeCells count="3">
    <mergeCell ref="F1:N6"/>
    <mergeCell ref="F7:N8"/>
    <mergeCell ref="O1:S5"/>
  </mergeCells>
  <hyperlinks>
    <hyperlink ref="J9" location="Dashboard!A1" display="Dashboard" xr:uid="{175DFA94-459E-43B3-A658-927F978094AD}"/>
    <hyperlink ref="J10" location="'Pivot Table'!A1" display="Pivot Table" xr:uid="{66CFC4F0-53D0-4311-B094-F98D333E3E9E}"/>
    <hyperlink ref="J11" location="'Grade Curving'!A1" display="Grade Curving" xr:uid="{AFD1340D-EE88-430E-9F6A-8F0AE1C8006D}"/>
    <hyperlink ref="J12" location="'Scenario Summary'!A1" display="Curve Senarios" xr:uid="{2BEB8BC2-7623-478A-8FF9-8D58903CE825}"/>
    <hyperlink ref="J13" location="'Advanced Filtering '!A1" display="Advance Filtering" xr:uid="{421332F3-8674-4DAF-B111-85211D12C042}"/>
    <hyperlink ref="J15" location="'Grade Book'!A1" display="Grade Book" xr:uid="{AD0D0933-743D-4E7D-9838-5376431A3B4B}"/>
    <hyperlink ref="J14" location="'Teacher Bonus Data Table'!A1" display="Teacher Bonus Data Tables" xr:uid="{FF325EA5-6B46-425E-B64C-21C417527DF2}"/>
  </hyperlinks>
  <pageMargins left="0.7" right="0.7" top="0.75" bottom="0.75" header="0.3" footer="0.3"/>
  <pageSetup orientation="portrait"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E9C35-F8E8-4E55-A066-BDB86F22CBB2}">
  <sheetPr codeName="Sheet2"/>
  <dimension ref="A2:AA25"/>
  <sheetViews>
    <sheetView showGridLines="0" topLeftCell="B1" workbookViewId="0">
      <pane ySplit="10" topLeftCell="A11" activePane="bottomLeft" state="frozen"/>
      <selection activeCell="B1" sqref="B1"/>
      <selection pane="bottomLeft" activeCell="N4" sqref="N4:AA8"/>
    </sheetView>
  </sheetViews>
  <sheetFormatPr defaultRowHeight="14.4" x14ac:dyDescent="0.3"/>
  <cols>
    <col min="1" max="1" width="0" hidden="1" customWidth="1"/>
    <col min="4" max="4" width="12.09765625" customWidth="1"/>
    <col min="26" max="26" width="13.8984375" customWidth="1"/>
    <col min="27" max="27" width="10.5" bestFit="1" customWidth="1"/>
  </cols>
  <sheetData>
    <row r="2" spans="1:27" ht="28.8" x14ac:dyDescent="0.6">
      <c r="B2" s="56" t="s">
        <v>157</v>
      </c>
      <c r="C2" s="56"/>
      <c r="D2" s="56"/>
      <c r="E2" s="56"/>
      <c r="F2" s="56"/>
      <c r="G2" s="56"/>
      <c r="H2" s="56"/>
      <c r="I2" s="56"/>
      <c r="M2" s="32"/>
      <c r="N2" s="66" t="s">
        <v>117</v>
      </c>
      <c r="O2" s="66"/>
      <c r="P2" s="66"/>
      <c r="Q2" s="66"/>
      <c r="R2" s="66"/>
      <c r="S2" s="66"/>
      <c r="T2" s="66"/>
      <c r="U2" s="32"/>
      <c r="V2" s="32"/>
      <c r="W2" s="32"/>
      <c r="X2" s="32"/>
      <c r="Y2" s="32"/>
      <c r="Z2" s="32"/>
      <c r="AA2" s="32"/>
    </row>
    <row r="3" spans="1:27" ht="15" thickBot="1" x14ac:dyDescent="0.35">
      <c r="B3" s="56"/>
      <c r="C3" s="56"/>
      <c r="D3" s="56"/>
      <c r="E3" s="56"/>
      <c r="F3" s="56"/>
      <c r="G3" s="56"/>
      <c r="H3" s="56"/>
      <c r="I3" s="56"/>
      <c r="J3" s="57" t="str">
        <f>IF(D8="P1 MTH 101",INDEX('Grade Book'!S4:S36,MATCH(D9,'Grade Book'!C4:C36,0)),IF(D8="P2 MTH 101",INDEX('Grade Book'!S40:S69,MATCH(D9,'Grade Book'!C40:C69),0),IF(D8="P3 MTH 102",INDEX('Grade Book'!AN4:AN28,MATCH(D9,'Grade Book'!X4:X28),0),INDEX('Grade Book'!AN33:AN57,MATCH(D9,'Grade Book'!X33:X57),0))))</f>
        <v>C</v>
      </c>
      <c r="K3" s="57"/>
      <c r="L3" s="57"/>
      <c r="M3" s="32"/>
      <c r="N3" s="54" t="s">
        <v>4</v>
      </c>
      <c r="O3" s="54" t="s">
        <v>5</v>
      </c>
      <c r="P3" s="54" t="s">
        <v>6</v>
      </c>
      <c r="Q3" s="54" t="s">
        <v>7</v>
      </c>
      <c r="R3" s="54" t="s">
        <v>8</v>
      </c>
      <c r="S3" s="54" t="s">
        <v>9</v>
      </c>
      <c r="T3" s="54" t="s">
        <v>10</v>
      </c>
      <c r="U3" s="54" t="s">
        <v>11</v>
      </c>
      <c r="V3" s="54" t="s">
        <v>12</v>
      </c>
      <c r="W3" s="54" t="s">
        <v>13</v>
      </c>
      <c r="X3" s="54" t="s">
        <v>14</v>
      </c>
      <c r="Y3" s="54" t="s">
        <v>15</v>
      </c>
      <c r="Z3" s="54" t="s">
        <v>16</v>
      </c>
      <c r="AA3" s="54" t="s">
        <v>30</v>
      </c>
    </row>
    <row r="4" spans="1:27" x14ac:dyDescent="0.3">
      <c r="B4" s="56"/>
      <c r="C4" s="56"/>
      <c r="D4" s="56"/>
      <c r="E4" s="56"/>
      <c r="F4" s="56"/>
      <c r="G4" s="56"/>
      <c r="H4" s="56"/>
      <c r="I4" s="56"/>
      <c r="J4" s="57"/>
      <c r="K4" s="57"/>
      <c r="L4" s="57"/>
      <c r="M4" s="65" t="s">
        <v>36</v>
      </c>
      <c r="N4" s="67">
        <f>IF($D$8="P1 MTH 101",MIN(Grades[Test 1]),IF($D$8="P2 MTH 101",MIN(Grades2[Test 1]),IF($D$8="P3 MTH 102",MIN(Grades3[Test 1]),MIN(Grades4[Test 1]))))</f>
        <v>0.55000000000000004</v>
      </c>
      <c r="O4" s="68">
        <f>IF($D$8="P1 MTH 101",MIN(Grades[Test 2]),IF($D$8="P2 MTH 101",MIN(Grades2[Test 2]),IF($D$8="P3 MTH 102",MIN(Grades3[Test 2]),MIN(Grades4[Test 2]))))</f>
        <v>0.55000000000000004</v>
      </c>
      <c r="P4" s="68">
        <f>IF($D$8="P1 MTH 101",MIN(Grades[Test 3]),IF($D$8="P2 MTH 101",MIN(Grades2[Test 3]),IF($D$8="P3 MTH 102",MIN(Grades3[Test 3]),MIN(Grades4[Test 3]))))</f>
        <v>0.55000000000000004</v>
      </c>
      <c r="Q4" s="68">
        <f>IF($D$8="P1 MTH 101",MIN(Grades[Quiz 1]),IF($D$8="P2 MTH 101",MIN(Grades2[Quiz 1]),IF($D$8="P3 MTH 102",MIN(Grades3[Quiz 1]),MIN(Grades4[Quiz 1]))))</f>
        <v>0.55000000000000004</v>
      </c>
      <c r="R4" s="68">
        <f>IF($D$8="P1 MTH 101",MIN(Grades[Quiz 2]),IF($D$8="P2 MTH 101",MIN(Grades2[Quiz 2]),IF($D$8="P3 MTH 102",MIN(Grades3[Quiz 2]),MIN(Grades4[Quiz 2]))))</f>
        <v>0.59</v>
      </c>
      <c r="S4" s="68">
        <f>IF($D$8="P1 MTH 101",MIN(Grades[Quiz 3]),IF($D$8="P2 MTH 101",MIN(Grades2[Quiz 3]),IF($D$8="P3 MTH 102",MIN(Grades3[Quiz 3]),MIN(Grades4[Quiz 3]))))</f>
        <v>0.56000000000000005</v>
      </c>
      <c r="T4" s="68">
        <f>IF($D$8="P1 MTH 101",MIN(Grades[Quiz 4]),IF($D$8="P2 MTH 101",MIN(Grades2[Quiz 4]),IF($D$8="P3 MTH 102",MIN(Grades3[Quiz 4]),MIN(Grades4[Quiz 4]))))</f>
        <v>0.55000000000000004</v>
      </c>
      <c r="U4" s="68">
        <f>IF($D$8="P1 MTH 101",MIN(Grades[HW 1]),IF($D$8="P2 MTH 101",MIN(Grades2[HW 1]),IF($D$8="P3 MTH 102",MIN(Grades3[HW 1]),MIN(Grades4[HW 1]))))</f>
        <v>0.56999999999999995</v>
      </c>
      <c r="V4" s="68">
        <f>IF($D$8="P1 MTH 101",MIN(Grades[HW 2]),IF($D$8="P2 MTH 101",MIN(Grades2[HW 2]),IF($D$8="P3 MTH 102",MIN(Grades3[HW 2]),MIN(Grades4[HW 2]))))</f>
        <v>0.61</v>
      </c>
      <c r="W4" s="68">
        <f>IF($D$8="P1 MTH 101",MIN(Grades[HW 3]),IF($D$8="P2 MTH 101",MIN(Grades2[HW 3]),IF($D$8="P3 MTH 102",MIN(Grades3[HW 3]),MIN(Grades4[HW 3]))))</f>
        <v>0.56000000000000005</v>
      </c>
      <c r="X4" s="68">
        <f>IF($D$8="P1 MTH 101",MIN(Grades[HW 4]),IF($D$8="P2 MTH 101",MIN(Grades2[HW 4]),IF($D$8="P3 MTH 102",MIN(Grades3[HW 4]),MIN(Grades4[HW 4]))))</f>
        <v>0.56000000000000005</v>
      </c>
      <c r="Y4" s="68">
        <f>IF($D$8="P1 MTH 101",MIN(Grades[HW 5]),IF($D$8="P2 MTH 101",MIN(Grades2[HW 5]),IF($D$8="P3 MTH 102",MIN(Grades3[HW 5]),MIN(Grades4[HW 5]))))</f>
        <v>0.55000000000000004</v>
      </c>
      <c r="Z4" s="68">
        <f>IF($D$8="P1 MTH 101",MIN(Grades[Project]),IF($D$8="P2 MTH 101",MIN(Grades2[Project]),IF($D$8="P3 MTH 102",MIN(Grades3[Project]),MIN(Grades4[Project]))))</f>
        <v>0.56000000000000005</v>
      </c>
      <c r="AA4" s="69">
        <f>IF($D$8="P1 MTH 101",MIN(Grades[Overall GPA]),IF($D$8="P2 MTH 101",MIN(Grades2[Overall GPA]),IF($D$8="P3 MTH 102",MIN(Grades3[Overall GPA]),MIN(Grades4[Overall GPA]))))</f>
        <v>0.60640000000000005</v>
      </c>
    </row>
    <row r="5" spans="1:27" x14ac:dyDescent="0.3">
      <c r="B5" s="56"/>
      <c r="C5" s="56"/>
      <c r="D5" s="56"/>
      <c r="E5" s="56"/>
      <c r="F5" s="56"/>
      <c r="G5" s="56"/>
      <c r="H5" s="56"/>
      <c r="I5" s="56"/>
      <c r="J5" s="57"/>
      <c r="K5" s="57"/>
      <c r="L5" s="57"/>
      <c r="M5" s="65" t="s">
        <v>35</v>
      </c>
      <c r="N5" s="70">
        <f>IF($D$8="P1 MTH 101",MEDIAN(Grades[Test 1]),IF($D$8="P2 MTH 101",MEDIAN(Grades2[Test 1]),IF($D$8="P3 MTH 102",MEDIAN(Grades3[Test 1]),MEDIAN(Grades4[Test 1]))))</f>
        <v>0.77500000000000002</v>
      </c>
      <c r="O5" s="71">
        <f>IF($D$8="P1 MTH 101",MEDIAN(Grades[Test 2]),IF($D$8="P2 MTH 101",MEDIAN(Grades2[Test 2]),IF($D$8="P3 MTH 102",MEDIAN(Grades3[Test 2]),MEDIAN(Grades4[Test 2]))))</f>
        <v>0.76500000000000001</v>
      </c>
      <c r="P5" s="71">
        <f>IF($D$8="P1 MTH 101",MEDIAN(Grades[Test 3]),IF($D$8="P2 MTH 101",MEDIAN(Grades2[Test 3]),IF($D$8="P3 MTH 102",MEDIAN(Grades3[Test 3]),MEDIAN(Grades4[Test 3]))))</f>
        <v>0.8</v>
      </c>
      <c r="Q5" s="71">
        <f>IF($D$8="P1 MTH 101",MEDIAN(Grades[Quiz 1]),IF($D$8="P2 MTH 101",MEDIAN(Grades2[Quiz 1]),IF($D$8="P3 MTH 102",MEDIAN(Grades3[Quiz 1]),MEDIAN(Grades4[Quiz 1]))))</f>
        <v>0.79500000000000004</v>
      </c>
      <c r="R5" s="71">
        <f>IF($D$8="P1 MTH 101",MEDIAN(Grades[Quiz 2]),IF($D$8="P2 MTH 101",MEDIAN(Grades2[Quiz 2]),IF($D$8="P3 MTH 102",MEDIAN(Grades3[Quiz 2]),MEDIAN(Grades4[Quiz 2]))))</f>
        <v>0.78500000000000003</v>
      </c>
      <c r="S5" s="71">
        <f>IF($D$8="P1 MTH 101",MEDIAN(Grades[Quiz 3]),IF($D$8="P2 MTH 101",MEDIAN(Grades2[Quiz 3]),IF($D$8="P3 MTH 102",MEDIAN(Grades3[Quiz 3]),MEDIAN(Grades4[Quiz 3]))))</f>
        <v>0.745</v>
      </c>
      <c r="T5" s="71">
        <f>IF($D$8="P1 MTH 101",MEDIAN(Grades[Quiz 4]),IF($D$8="P2 MTH 101",MEDIAN(Grades2[Quiz 4]),IF($D$8="P3 MTH 102",MEDIAN(Grades3[Quiz 4]),MEDIAN(Grades4[Quiz 4]))))</f>
        <v>0.77500000000000002</v>
      </c>
      <c r="U5" s="71">
        <f>IF($D$8="P1 MTH 101",MEDIAN(Grades[HW 1]),IF($D$8="P2 MTH 101",MEDIAN(Grades2[HW 1]),IF($D$8="P3 MTH 102",MEDIAN(Grades3[HW 1]),MEDIAN(Grades4[HW 1]))))</f>
        <v>0.76500000000000001</v>
      </c>
      <c r="V5" s="71">
        <f>IF($D$8="P1 MTH 101",MEDIAN(Grades[HW 2]),IF($D$8="P2 MTH 101",MEDIAN(Grades2[HW 2]),IF($D$8="P3 MTH 102",MEDIAN(Grades3[HW 2]),MEDIAN(Grades4[HW 2]))))</f>
        <v>0.78</v>
      </c>
      <c r="W5" s="71">
        <f>IF($D$8="P1 MTH 101",MEDIAN(Grades[HW 3]),IF($D$8="P2 MTH 101",MEDIAN(Grades2[HW 3]),IF($D$8="P3 MTH 102",MEDIAN(Grades3[HW 3]),MEDIAN(Grades4[HW 3]))))</f>
        <v>0.79</v>
      </c>
      <c r="X5" s="71">
        <f>IF($D$8="P1 MTH 101",MEDIAN(Grades[HW 4]),IF($D$8="P2 MTH 101",MEDIAN(Grades2[HW 4]),IF($D$8="P3 MTH 102",MEDIAN(Grades3[HW 4]),MEDIAN(Grades4[HW 4]))))</f>
        <v>0.75</v>
      </c>
      <c r="Y5" s="71">
        <f>IF($D$8="P1 MTH 101",MEDIAN(Grades[HW 5]),IF($D$8="P2 MTH 101",MEDIAN(Grades2[HW 5]),IF($D$8="P3 MTH 102",MEDIAN(Grades3[HW 5]),MEDIAN(Grades4[HW 5]))))</f>
        <v>0.77</v>
      </c>
      <c r="Z5" s="71">
        <f>IF($D$8="P1 MTH 101",MEDIAN(Grades[Project]),IF($D$8="P2 MTH 101",MEDIAN(Grades2[Project]),IF($D$8="P3 MTH 102",MEDIAN(Grades3[Project]),MEDIAN(Grades4[Project]))))</f>
        <v>0.78</v>
      </c>
      <c r="AA5" s="72">
        <f>IF($D$8="P1 MTH 101",MEDIAN(Grades[Overall GPA]),IF($D$8="P2 MTH 101",MEDIAN(Grades2[Overall GPA]),IF($D$8="P3 MTH 102",MEDIAN(Grades3[Overall GPA]),MEDIAN(Grades4[Overall GPA]))))</f>
        <v>0.77329999999999999</v>
      </c>
    </row>
    <row r="6" spans="1:27" x14ac:dyDescent="0.3">
      <c r="B6" s="56"/>
      <c r="C6" s="56"/>
      <c r="D6" s="56"/>
      <c r="E6" s="56"/>
      <c r="F6" s="56"/>
      <c r="G6" s="56"/>
      <c r="H6" s="56"/>
      <c r="I6" s="56"/>
      <c r="J6" s="57"/>
      <c r="K6" s="57"/>
      <c r="L6" s="57"/>
      <c r="M6" s="65" t="s">
        <v>112</v>
      </c>
      <c r="N6" s="70">
        <f>IF($D$8="P1 MTH 101",AVERAGE(Grades[Test 1]),IF($D$8="P2 MTH 101",AVERAGE(Grades2[Test 1]),IF($D$8="P3 MTH 102",AVERAGE(Grades3[Test 1]),AVERAGE(Grades4[Test 1]))))</f>
        <v>0.7633333333333332</v>
      </c>
      <c r="O6" s="71">
        <f>IF($D$8="P1 MTH 101",AVERAGE(Grades[Test 2]),IF($D$8="P2 MTH 101",AVERAGE(Grades2[Test 2]),IF($D$8="P3 MTH 102",AVERAGE(Grades3[Test 2]),AVERAGE(Grades4[Test 2]))))</f>
        <v>0.76466666666666649</v>
      </c>
      <c r="P6" s="71">
        <f>IF($D$8="P1 MTH 101",AVERAGE(Grades[Test 3]),IF($D$8="P2 MTH 101",AVERAGE(Grades2[Test 3]),IF($D$8="P3 MTH 102",AVERAGE(Grades3[Test 3]),AVERAGE(Grades4[Test 3]))))</f>
        <v>0.77166666666666672</v>
      </c>
      <c r="Q6" s="71">
        <f>IF($D$8="P1 MTH 101",AVERAGE(Grades[Quiz 1]),IF($D$8="P2 MTH 101",AVERAGE(Grades2[Quiz 1]),IF($D$8="P3 MTH 102",AVERAGE(Grades3[Quiz 1]),AVERAGE(Grades4[Quiz 1]))))</f>
        <v>0.77533333333333354</v>
      </c>
      <c r="R6" s="71">
        <f>IF($D$8="P1 MTH 101",AVERAGE(Grades[Quiz 2]),IF($D$8="P2 MTH 101",AVERAGE(Grades2[Quiz 2]),IF($D$8="P3 MTH 102",AVERAGE(Grades3[Quiz 2]),AVERAGE(Grades4[Quiz 2]))))</f>
        <v>0.77166666666666672</v>
      </c>
      <c r="S6" s="71">
        <f>IF($D$8="P1 MTH 101",AVERAGE(Grades[Quiz 3]),IF($D$8="P2 MTH 101",AVERAGE(Grades2[Quiz 3]),IF($D$8="P3 MTH 102",AVERAGE(Grades3[Quiz 3]),AVERAGE(Grades4[Quiz 3]))))</f>
        <v>0.77033333333333343</v>
      </c>
      <c r="T6" s="71">
        <f>IF($D$8="P1 MTH 101",AVERAGE(Grades[Quiz 4]),IF($D$8="P2 MTH 101",AVERAGE(Grades2[Quiz 4]),IF($D$8="P3 MTH 102",AVERAGE(Grades3[Quiz 4]),AVERAGE(Grades4[Quiz 4]))))</f>
        <v>0.78333333333333333</v>
      </c>
      <c r="U6" s="71">
        <f>IF($D$8="P1 MTH 101",AVERAGE(Grades[HW 1]),IF($D$8="P2 MTH 101",AVERAGE(Grades2[HW 1]),IF($D$8="P3 MTH 102",AVERAGE(Grades3[HW 1]),AVERAGE(Grades4[HW 1]))))</f>
        <v>0.7683333333333332</v>
      </c>
      <c r="V6" s="71">
        <f>IF($D$8="P1 MTH 101",AVERAGE(Grades[HW 2]),IF($D$8="P2 MTH 101",AVERAGE(Grades2[HW 2]),IF($D$8="P3 MTH 102",AVERAGE(Grades3[HW 2]),AVERAGE(Grades4[HW 2]))))</f>
        <v>0.76500000000000012</v>
      </c>
      <c r="W6" s="71">
        <f>IF($D$8="P1 MTH 101",AVERAGE(Grades[HW 3]),IF($D$8="P2 MTH 101",AVERAGE(Grades2[HW 3]),IF($D$8="P3 MTH 102",AVERAGE(Grades3[HW 3]),AVERAGE(Grades4[HW 3]))))</f>
        <v>0.77033333333333331</v>
      </c>
      <c r="X6" s="71">
        <f>IF($D$8="P1 MTH 101",AVERAGE(Grades[HW 4]),IF($D$8="P2 MTH 101",AVERAGE(Grades2[HW 4]),IF($D$8="P3 MTH 102",AVERAGE(Grades3[HW 4]),AVERAGE(Grades4[HW 4]))))</f>
        <v>0.752</v>
      </c>
      <c r="Y6" s="71">
        <f>IF($D$8="P1 MTH 101",AVERAGE(Grades[HW 5]),IF($D$8="P2 MTH 101",AVERAGE(Grades2[HW 5]),IF($D$8="P3 MTH 102",AVERAGE(Grades3[HW 5]),AVERAGE(Grades4[HW 5]))))</f>
        <v>0.76466666666666661</v>
      </c>
      <c r="Z6" s="71">
        <f>IF($D$8="P1 MTH 101",AVERAGE(Grades[Project]),IF($D$8="P2 MTH 101",AVERAGE(Grades2[Project]),IF($D$8="P3 MTH 102",AVERAGE(Grades3[Project]),AVERAGE(Grades4[Project]))))</f>
        <v>0.77866666666666673</v>
      </c>
      <c r="AA6" s="72">
        <f>IF($D$8="P1 MTH 101",AVERAGE(Grades[Overall GPA]),IF($D$8="P2 MTH 101",AVERAGE(Grades2[Overall GPA]),IF($D$8="P3 MTH 102",AVERAGE(Grades3[Overall GPA]),AVERAGE(Grades4[Overall GPA]))))</f>
        <v>0.76924666666666652</v>
      </c>
    </row>
    <row r="7" spans="1:27" ht="15" thickBot="1" x14ac:dyDescent="0.35">
      <c r="B7" s="56"/>
      <c r="C7" s="56"/>
      <c r="D7" s="56"/>
      <c r="E7" s="56"/>
      <c r="F7" s="56"/>
      <c r="G7" s="56"/>
      <c r="H7" s="56"/>
      <c r="I7" s="56"/>
      <c r="J7" s="57"/>
      <c r="K7" s="57"/>
      <c r="L7" s="57"/>
      <c r="M7" s="65" t="s">
        <v>118</v>
      </c>
      <c r="N7" s="70">
        <f>IF($D$8="P1 MTH 101",_xlfn.STDEV.S(Grades[Test 1]),IF($D$8="P2 MTH 101",_xlfn.STDEV.S(Grades2[Test 1]),IF($D$8="P3 MTH 102",_xlfn.STDEV.S(Grades3[Test 1]),_xlfn.STDEV.S(Grades4[Test 1]))))</f>
        <v>0.11192156531075395</v>
      </c>
      <c r="O7" s="71">
        <f>IF($D$8="P1 MTH 101",_xlfn.STDEV.S(Grades[Test 2]),IF($D$8="P2 MTH 101",_xlfn.STDEV.S(Grades2[Test 2]),IF($D$8="P3 MTH 102",_xlfn.STDEV.S(Grades3[Test 2]),_xlfn.STDEV.S(Grades4[Test 2]))))</f>
        <v>0.11236434989104412</v>
      </c>
      <c r="P7" s="71">
        <f>IF($D$8="P1 MTH 101",_xlfn.STDEV.S(Grades[Test 3]),IF($D$8="P2 MTH 101",_xlfn.STDEV.S(Grades2[Test 3]),IF($D$8="P3 MTH 102",_xlfn.STDEV.S(Grades3[Test 3]),_xlfn.STDEV.S(Grades4[Test 3]))))</f>
        <v>0.10235446634910006</v>
      </c>
      <c r="Q7" s="71">
        <f>IF($D$8="P1 MTH 101",_xlfn.STDEV.S(Grades[Quiz 1]),IF($D$8="P2 MTH 101",_xlfn.STDEV.S(Grades2[Quiz 1]),IF($D$8="P3 MTH 102",_xlfn.STDEV.S(Grades3[Quiz 1]),_xlfn.STDEV.S(Grades4[Quiz 1]))))</f>
        <v>0.10884133765076984</v>
      </c>
      <c r="R7" s="71">
        <f>IF($D$8="P1 MTH 101",_xlfn.STDEV.S(Grades[Quiz 2]),IF($D$8="P2 MTH 101",_xlfn.STDEV.S(Grades2[Quiz 2]),IF($D$8="P3 MTH 102",_xlfn.STDEV.S(Grades3[Quiz 2]),_xlfn.STDEV.S(Grades4[Quiz 2]))))</f>
        <v>9.7453201264922157E-2</v>
      </c>
      <c r="S7" s="71">
        <f>IF($D$8="P1 MTH 101",_xlfn.STDEV.S(Grades[Quiz 3]),IF($D$8="P2 MTH 101",_xlfn.STDEV.S(Grades2[Quiz 3]),IF($D$8="P3 MTH 102",_xlfn.STDEV.S(Grades3[Quiz 3]),_xlfn.STDEV.S(Grades4[Quiz 3]))))</f>
        <v>0.12601267952987413</v>
      </c>
      <c r="T7" s="71">
        <f>IF($D$8="P1 MTH 101",_xlfn.STDEV.S(Grades[Quiz 4]),IF($D$8="P2 MTH 101",_xlfn.STDEV.S(Grades2[Quiz 4]),IF($D$8="P3 MTH 102",_xlfn.STDEV.S(Grades3[Quiz 4]),_xlfn.STDEV.S(Grades4[Quiz 4]))))</f>
        <v>0.12118191891228774</v>
      </c>
      <c r="U7" s="71">
        <f>IF($D$8="P1 MTH 101",_xlfn.STDEV.S(Grades[HW 1]),IF($D$8="P2 MTH 101",_xlfn.STDEV.S(Grades2[HW 1]),IF($D$8="P3 MTH 102",_xlfn.STDEV.S(Grades3[HW 1]),_xlfn.STDEV.S(Grades4[HW 1]))))</f>
        <v>0.11326147146995913</v>
      </c>
      <c r="V7" s="71">
        <f>IF($D$8="P1 MTH 101",_xlfn.STDEV.S(Grades[HW 2]),IF($D$8="P2 MTH 101",_xlfn.STDEV.S(Grades2[HW 2]),IF($D$8="P3 MTH 102",_xlfn.STDEV.S(Grades3[HW 2]),_xlfn.STDEV.S(Grades4[HW 2]))))</f>
        <v>0.10421297821090207</v>
      </c>
      <c r="W7" s="71">
        <f>IF($D$8="P1 MTH 101",_xlfn.STDEV.S(Grades[HW 3]),IF($D$8="P2 MTH 101",_xlfn.STDEV.S(Grades2[HW 3]),IF($D$8="P3 MTH 102",_xlfn.STDEV.S(Grades3[HW 3]),_xlfn.STDEV.S(Grades4[HW 3]))))</f>
        <v>0.10489677465648532</v>
      </c>
      <c r="X7" s="71">
        <f>IF($D$8="P1 MTH 101",_xlfn.STDEV.S(Grades[HW 4]),IF($D$8="P2 MTH 101",_xlfn.STDEV.S(Grades2[HW 4]),IF($D$8="P3 MTH 102",_xlfn.STDEV.S(Grades3[HW 4]),_xlfn.STDEV.S(Grades4[HW 4]))))</f>
        <v>0.11269121680427301</v>
      </c>
      <c r="Y7" s="71">
        <f>IF($D$8="P1 MTH 101",_xlfn.STDEV.S(Grades[HW 5]),IF($D$8="P2 MTH 101",_xlfn.STDEV.S(Grades2[HW 5]),IF($D$8="P3 MTH 102",_xlfn.STDEV.S(Grades3[HW 5]),_xlfn.STDEV.S(Grades4[HW 5]))))</f>
        <v>8.9162127932611274E-2</v>
      </c>
      <c r="Z7" s="71">
        <f>IF($D$8="P1 MTH 101",_xlfn.STDEV.S(Grades[Project]),IF($D$8="P2 MTH 101",_xlfn.STDEV.S(Grades2[Project]),IF($D$8="P3 MTH 102",_xlfn.STDEV.S(Grades3[Project]),_xlfn.STDEV.S(Grades4[Project]))))</f>
        <v>0.12686493859092038</v>
      </c>
      <c r="AA7" s="72">
        <f>IF($D$8="P1 MTH 101",_xlfn.STDEV.S(Grades[Overall GPA]),IF($D$8="P2 MTH 101",_xlfn.STDEV.S(Grades2[Overall GPA]),IF($D$8="P3 MTH 102",_xlfn.STDEV.S(Grades3[Overall GPA]),_xlfn.STDEV.S(Grades4[Overall GPA]))))</f>
        <v>9.8478472120888547E-2</v>
      </c>
    </row>
    <row r="8" spans="1:27" ht="15.55" thickTop="1" thickBot="1" x14ac:dyDescent="0.35">
      <c r="B8" s="21" t="s">
        <v>105</v>
      </c>
      <c r="C8" s="21"/>
      <c r="D8" s="61" t="s">
        <v>108</v>
      </c>
      <c r="E8" s="61"/>
      <c r="F8" s="58" t="s">
        <v>17</v>
      </c>
      <c r="G8" s="58"/>
      <c r="H8" s="59">
        <f>VLOOKUP(D9,'Grade Book'!C4:R36,16,FALSE)</f>
        <v>0.62620000000000009</v>
      </c>
      <c r="I8" s="60"/>
      <c r="M8" s="65" t="s">
        <v>37</v>
      </c>
      <c r="N8" s="73">
        <f>IF($D$8="P1 MTH 101",MAX(Grades[Test 1]),IF($D$8="P2 MTH 101",MAX(Grades2[Test 1]),IF($D$8="P3 MTH 102",MAX(Grades3[Test 1]),MAX(Grades4[Test 1]))))</f>
        <v>0.99</v>
      </c>
      <c r="O8" s="74">
        <f>IF($D$8="P1 MTH 101",MAX(Grades[Test 2]),IF($D$8="P2 MTH 101",MAX(Grades2[Test 2]),IF($D$8="P3 MTH 102",MAX(Grades3[Test 2]),MAX(Grades4[Test 2]))))</f>
        <v>1</v>
      </c>
      <c r="P8" s="74">
        <f>IF($D$8="P1 MTH 101",MAX(Grades[Test 3]),IF($D$8="P2 MTH 101",MAX(Grades2[Test 3]),IF($D$8="P3 MTH 102",MAX(Grades3[Test 3]),MAX(Grades4[Test 3]))))</f>
        <v>0.97</v>
      </c>
      <c r="Q8" s="74">
        <f>IF($D$8="P1 MTH 101",MAX(Grades[Quiz 1]),IF($D$8="P2 MTH 101",MAX(Grades2[Quiz 1]),IF($D$8="P3 MTH 102",MAX(Grades3[Quiz 1]),MAX(Grades4[Quiz 1]))))</f>
        <v>0.98</v>
      </c>
      <c r="R8" s="74">
        <f>IF($D$8="P1 MTH 101",MAX(Grades[Quiz 2]),IF($D$8="P2 MTH 101",MAX(Grades2[Quiz 2]),IF($D$8="P3 MTH 102",MAX(Grades3[Quiz 2]),MAX(Grades4[Quiz 2]))))</f>
        <v>0.95</v>
      </c>
      <c r="S8" s="74">
        <f>IF($D$8="P1 MTH 101",MAX(Grades[Quiz 3]),IF($D$8="P2 MTH 101",MAX(Grades2[Quiz 3]),IF($D$8="P3 MTH 102",MAX(Grades3[Quiz 3]),MAX(Grades4[Quiz 3]))))</f>
        <v>1</v>
      </c>
      <c r="T8" s="74">
        <f>IF($D$8="P1 MTH 101",MAX(Grades[Quiz 4]),IF($D$8="P2 MTH 101",MAX(Grades2[Quiz 4]),IF($D$8="P3 MTH 102",MAX(Grades3[Quiz 4]),MAX(Grades4[Quiz 4]))))</f>
        <v>1</v>
      </c>
      <c r="U8" s="74">
        <f>IF($D$8="P1 MTH 101",MAX(Grades[HW 1]),IF($D$8="P2 MTH 101",MAX(Grades2[HW 1]),IF($D$8="P3 MTH 102",MAX(Grades3[HW 1]),MAX(Grades4[HW 1]))))</f>
        <v>0.98</v>
      </c>
      <c r="V8" s="74">
        <f>IF($D$8="P1 MTH 101",MAX(Grades[HW 2]),IF($D$8="P2 MTH 101",MAX(Grades2[HW 2]),IF($D$8="P3 MTH 102",MAX(Grades3[HW 2]),MAX(Grades4[HW 2]))))</f>
        <v>0.99</v>
      </c>
      <c r="W8" s="74">
        <f>IF($D$8="P1 MTH 101",MAX(Grades[HW 3]),IF($D$8="P2 MTH 101",MAX(Grades2[HW 3]),IF($D$8="P3 MTH 102",MAX(Grades3[HW 3]),MAX(Grades4[HW 3]))))</f>
        <v>0.94</v>
      </c>
      <c r="X8" s="74">
        <f>IF($D$8="P1 MTH 101",MAX(Grades[HW 4]),IF($D$8="P2 MTH 101",MAX(Grades2[HW 4]),IF($D$8="P3 MTH 102",MAX(Grades3[HW 4]),MAX(Grades4[HW 4]))))</f>
        <v>0.98</v>
      </c>
      <c r="Y8" s="74">
        <f>IF($D$8="P1 MTH 101",MAX(Grades[HW 5]),IF($D$8="P2 MTH 101",MAX(Grades2[HW 5]),IF($D$8="P3 MTH 102",MAX(Grades3[HW 5]),MAX(Grades4[HW 5]))))</f>
        <v>0.92</v>
      </c>
      <c r="Z8" s="74">
        <f>IF($D$8="P1 MTH 101",MAX(Grades[Project]),IF($D$8="P2 MTH 101",MAX(Grades2[Project]),IF($D$8="P3 MTH 102",MAX(Grades3[Project]),MAX(Grades4[Project]))))</f>
        <v>1</v>
      </c>
      <c r="AA8" s="75">
        <f>IF($D$8="P1 MTH 101",MAX(Grades[Overall GPA]),IF($D$8="P2 MTH 101",MAX(Grades2[Overall GPA]),IF($D$8="P3 MTH 102",MAX(Grades3[Overall GPA]),MAX(Grades4[Overall GPA]))))</f>
        <v>0.91350000000000009</v>
      </c>
    </row>
    <row r="9" spans="1:27" ht="15.55" thickTop="1" thickBot="1" x14ac:dyDescent="0.35">
      <c r="B9" s="21" t="s">
        <v>33</v>
      </c>
      <c r="C9" s="21"/>
      <c r="D9" s="61" t="s">
        <v>97</v>
      </c>
      <c r="E9" s="61"/>
      <c r="F9" s="58" t="s">
        <v>34</v>
      </c>
      <c r="G9" s="58"/>
      <c r="H9" s="64" t="str">
        <f>IF(D8="P1 MTH 101",INDEX('Grade Book'!D4:D36,MATCH(D9,'Grade Book'!C4:C36,0)),IF(D8="P2 MTH 101",INDEX('Grade Book'!D40:D69,MATCH(D9,'Grade Book'!C40:C69),0),IF(D8="P3 MTH 102",INDEX('Grade Book'!Y4:Y28,MATCH(D9,'Grade Book'!X4:X28),0),INDEX('Grade Book'!Y33:Y57,MATCH(D9,'Grade Book'!X33:X57),0))))</f>
        <v>Kim</v>
      </c>
      <c r="I9" s="64"/>
    </row>
    <row r="10" spans="1:27" ht="15" thickTop="1" x14ac:dyDescent="0.3"/>
    <row r="12" spans="1:27" x14ac:dyDescent="0.3">
      <c r="C12" s="62" t="s">
        <v>0</v>
      </c>
    </row>
    <row r="13" spans="1:27" x14ac:dyDescent="0.3">
      <c r="A13">
        <v>3</v>
      </c>
      <c r="B13" s="9" t="s">
        <v>4</v>
      </c>
      <c r="C13" s="63">
        <f>IF($D$8="P1 MTH 101", VLOOKUP($D$9,Grades[[Last]:[Project]],A13,FALSE), IF($D$8="P2 MTH 101", VLOOKUP($D$9,Grades2[[Last]:[Project]],A13,FALSE), IF($D$8="P3 MTH 102", VLOOKUP($D$9,Grades3[[Last]:[Project]],A13,FALSE),VLOOKUP($D$9,Grades4[[Last]:[Project]],A13,FALSE))))</f>
        <v>0.8</v>
      </c>
      <c r="D13" s="7">
        <f>C13</f>
        <v>0.8</v>
      </c>
    </row>
    <row r="14" spans="1:27" x14ac:dyDescent="0.3">
      <c r="A14">
        <v>4</v>
      </c>
      <c r="B14" s="9" t="s">
        <v>5</v>
      </c>
      <c r="C14" s="63">
        <f>IF($D$8="P1 MTH 101", VLOOKUP($D$9,Grades[[Last]:[Project]],A14,FALSE), IF($D$8="P2 MTH 101", VLOOKUP($D$9,Grades2[[Last]:[Project]],A14,FALSE), IF($D$8="P3 MTH 102", VLOOKUP($D$9,Grades3[[Last]:[Project]],A14,FALSE),VLOOKUP($D$9,Grades4[[Last]:[Project]],A14,FALSE))))</f>
        <v>0.78</v>
      </c>
      <c r="D14" s="7">
        <f t="shared" ref="D14:D25" si="0">C14</f>
        <v>0.78</v>
      </c>
    </row>
    <row r="15" spans="1:27" x14ac:dyDescent="0.3">
      <c r="A15">
        <v>5</v>
      </c>
      <c r="B15" s="9" t="s">
        <v>6</v>
      </c>
      <c r="C15" s="63">
        <f>IF($D$8="P1 MTH 101", VLOOKUP($D$9,Grades[[Last]:[Project]],A15,FALSE), IF($D$8="P2 MTH 101", VLOOKUP($D$9,Grades2[[Last]:[Project]],A15,FALSE), IF($D$8="P3 MTH 102", VLOOKUP($D$9,Grades3[[Last]:[Project]],A15,FALSE),VLOOKUP($D$9,Grades4[[Last]:[Project]],A15,FALSE))))</f>
        <v>0.8</v>
      </c>
      <c r="D15" s="7">
        <f t="shared" si="0"/>
        <v>0.8</v>
      </c>
    </row>
    <row r="16" spans="1:27" x14ac:dyDescent="0.3">
      <c r="A16">
        <v>6</v>
      </c>
      <c r="B16" s="9" t="s">
        <v>7</v>
      </c>
      <c r="C16" s="63">
        <f>IF($D$8="P1 MTH 101", VLOOKUP($D$9,Grades[[Last]:[Project]],A16,FALSE), IF($D$8="P2 MTH 101", VLOOKUP($D$9,Grades2[[Last]:[Project]],A16,FALSE), IF($D$8="P3 MTH 102", VLOOKUP($D$9,Grades3[[Last]:[Project]],A16,FALSE),VLOOKUP($D$9,Grades4[[Last]:[Project]],A16,FALSE))))</f>
        <v>0.69</v>
      </c>
      <c r="D16" s="7">
        <f t="shared" si="0"/>
        <v>0.69</v>
      </c>
    </row>
    <row r="17" spans="1:4" x14ac:dyDescent="0.3">
      <c r="A17">
        <v>7</v>
      </c>
      <c r="B17" s="9" t="s">
        <v>8</v>
      </c>
      <c r="C17" s="63">
        <f>IF($D$8="P1 MTH 101", VLOOKUP($D$9,Grades[[Last]:[Project]],A17,FALSE), IF($D$8="P2 MTH 101", VLOOKUP($D$9,Grades2[[Last]:[Project]],A17,FALSE), IF($D$8="P3 MTH 102", VLOOKUP($D$9,Grades3[[Last]:[Project]],A17,FALSE),VLOOKUP($D$9,Grades4[[Last]:[Project]],A17,FALSE))))</f>
        <v>0.8</v>
      </c>
      <c r="D17" s="7">
        <f t="shared" si="0"/>
        <v>0.8</v>
      </c>
    </row>
    <row r="18" spans="1:4" x14ac:dyDescent="0.3">
      <c r="A18">
        <v>8</v>
      </c>
      <c r="B18" s="9" t="s">
        <v>9</v>
      </c>
      <c r="C18" s="63">
        <f>IF($D$8="P1 MTH 101", VLOOKUP($D$9,Grades[[Last]:[Project]],A18,FALSE), IF($D$8="P2 MTH 101", VLOOKUP($D$9,Grades2[[Last]:[Project]],A18,FALSE), IF($D$8="P3 MTH 102", VLOOKUP($D$9,Grades3[[Last]:[Project]],A18,FALSE),VLOOKUP($D$9,Grades4[[Last]:[Project]],A18,FALSE))))</f>
        <v>0.66</v>
      </c>
      <c r="D18" s="7">
        <f t="shared" si="0"/>
        <v>0.66</v>
      </c>
    </row>
    <row r="19" spans="1:4" x14ac:dyDescent="0.3">
      <c r="A19">
        <v>9</v>
      </c>
      <c r="B19" s="9" t="s">
        <v>10</v>
      </c>
      <c r="C19" s="63">
        <f>IF($D$8="P1 MTH 101", VLOOKUP($D$9,Grades[[Last]:[Project]],A19,FALSE), IF($D$8="P2 MTH 101", VLOOKUP($D$9,Grades2[[Last]:[Project]],A19,FALSE), IF($D$8="P3 MTH 102", VLOOKUP($D$9,Grades3[[Last]:[Project]],A19,FALSE),VLOOKUP($D$9,Grades4[[Last]:[Project]],A19,FALSE))))</f>
        <v>0.66</v>
      </c>
      <c r="D19" s="7">
        <f t="shared" si="0"/>
        <v>0.66</v>
      </c>
    </row>
    <row r="20" spans="1:4" x14ac:dyDescent="0.3">
      <c r="A20">
        <v>10</v>
      </c>
      <c r="B20" s="9" t="s">
        <v>11</v>
      </c>
      <c r="C20" s="63">
        <f>IF($D$8="P1 MTH 101", VLOOKUP($D$9,Grades[[Last]:[Project]],A20,FALSE), IF($D$8="P2 MTH 101", VLOOKUP($D$9,Grades2[[Last]:[Project]],A20,FALSE), IF($D$8="P3 MTH 102", VLOOKUP($D$9,Grades3[[Last]:[Project]],A20,FALSE),VLOOKUP($D$9,Grades4[[Last]:[Project]],A20,FALSE))))</f>
        <v>0.7</v>
      </c>
      <c r="D20" s="7">
        <f t="shared" si="0"/>
        <v>0.7</v>
      </c>
    </row>
    <row r="21" spans="1:4" x14ac:dyDescent="0.3">
      <c r="A21">
        <v>11</v>
      </c>
      <c r="B21" s="9" t="s">
        <v>12</v>
      </c>
      <c r="C21" s="63">
        <f>IF($D$8="P1 MTH 101", VLOOKUP($D$9,Grades[[Last]:[Project]],A21,FALSE), IF($D$8="P2 MTH 101", VLOOKUP($D$9,Grades2[[Last]:[Project]],A21,FALSE), IF($D$8="P3 MTH 102", VLOOKUP($D$9,Grades3[[Last]:[Project]],A21,FALSE),VLOOKUP($D$9,Grades4[[Last]:[Project]],A21,FALSE))))</f>
        <v>0.76</v>
      </c>
      <c r="D21" s="7">
        <f t="shared" si="0"/>
        <v>0.76</v>
      </c>
    </row>
    <row r="22" spans="1:4" x14ac:dyDescent="0.3">
      <c r="A22">
        <v>12</v>
      </c>
      <c r="B22" s="9" t="s">
        <v>13</v>
      </c>
      <c r="C22" s="63">
        <f>IF($D$8="P1 MTH 101", VLOOKUP($D$9,Grades[[Last]:[Project]],A22,FALSE), IF($D$8="P2 MTH 101", VLOOKUP($D$9,Grades2[[Last]:[Project]],A22,FALSE), IF($D$8="P3 MTH 102", VLOOKUP($D$9,Grades3[[Last]:[Project]],A22,FALSE),VLOOKUP($D$9,Grades4[[Last]:[Project]],A22,FALSE))))</f>
        <v>0.67</v>
      </c>
      <c r="D22" s="7">
        <f t="shared" si="0"/>
        <v>0.67</v>
      </c>
    </row>
    <row r="23" spans="1:4" x14ac:dyDescent="0.3">
      <c r="A23">
        <v>13</v>
      </c>
      <c r="B23" s="9" t="s">
        <v>14</v>
      </c>
      <c r="C23" s="63">
        <f>IF($D$8="P1 MTH 101", VLOOKUP($D$9,Grades[[Last]:[Project]],A23,FALSE), IF($D$8="P2 MTH 101", VLOOKUP($D$9,Grades2[[Last]:[Project]],A23,FALSE), IF($D$8="P3 MTH 102", VLOOKUP($D$9,Grades3[[Last]:[Project]],A23,FALSE),VLOOKUP($D$9,Grades4[[Last]:[Project]],A23,FALSE))))</f>
        <v>0.65</v>
      </c>
      <c r="D23" s="7">
        <f t="shared" si="0"/>
        <v>0.65</v>
      </c>
    </row>
    <row r="24" spans="1:4" x14ac:dyDescent="0.3">
      <c r="A24">
        <v>14</v>
      </c>
      <c r="B24" s="9" t="s">
        <v>15</v>
      </c>
      <c r="C24" s="63">
        <f>IF($D$8="P1 MTH 101", VLOOKUP($D$9,Grades[[Last]:[Project]],A24,FALSE), IF($D$8="P2 MTH 101", VLOOKUP($D$9,Grades2[[Last]:[Project]],A24,FALSE), IF($D$8="P3 MTH 102", VLOOKUP($D$9,Grades3[[Last]:[Project]],A24,FALSE),VLOOKUP($D$9,Grades4[[Last]:[Project]],A24,FALSE))))</f>
        <v>0.76</v>
      </c>
      <c r="D24" s="7">
        <f t="shared" si="0"/>
        <v>0.76</v>
      </c>
    </row>
    <row r="25" spans="1:4" x14ac:dyDescent="0.3">
      <c r="A25">
        <v>15</v>
      </c>
      <c r="B25" s="9" t="s">
        <v>16</v>
      </c>
      <c r="C25" s="63">
        <f>IF($D$8="P1 MTH 101", VLOOKUP($D$9,Grades[[Last]:[Project]],A25,FALSE), IF($D$8="P2 MTH 101", VLOOKUP($D$9,Grades2[[Last]:[Project]],A25,FALSE), IF($D$8="P3 MTH 102", VLOOKUP($D$9,Grades3[[Last]:[Project]],A25,FALSE),VLOOKUP($D$9,Grades4[[Last]:[Project]],A25,FALSE))))</f>
        <v>0.68</v>
      </c>
      <c r="D25" s="7">
        <f t="shared" si="0"/>
        <v>0.68</v>
      </c>
    </row>
  </sheetData>
  <mergeCells count="11">
    <mergeCell ref="J3:L7"/>
    <mergeCell ref="B2:I7"/>
    <mergeCell ref="B9:C9"/>
    <mergeCell ref="D9:E9"/>
    <mergeCell ref="F9:G9"/>
    <mergeCell ref="H9:I9"/>
    <mergeCell ref="B8:C8"/>
    <mergeCell ref="D8:E8"/>
    <mergeCell ref="F8:G8"/>
    <mergeCell ref="H8:I8"/>
    <mergeCell ref="N2:T2"/>
  </mergeCells>
  <conditionalFormatting sqref="H8:I8">
    <cfRule type="cellIs" dxfId="19" priority="9" operator="lessThan">
      <formula>0.7</formula>
    </cfRule>
    <cfRule type="cellIs" dxfId="18" priority="10" operator="greaterThan">
      <formula>0.7</formula>
    </cfRule>
    <cfRule type="cellIs" dxfId="17" priority="11" operator="greaterThan">
      <formula>0.85</formula>
    </cfRule>
  </conditionalFormatting>
  <conditionalFormatting sqref="C13:C25">
    <cfRule type="colorScale" priority="8">
      <colorScale>
        <cfvo type="min"/>
        <cfvo type="percentile" val="50"/>
        <cfvo type="max"/>
        <color rgb="FFF8696B"/>
        <color rgb="FFFFEB84"/>
        <color rgb="FF63BE7B"/>
      </colorScale>
    </cfRule>
  </conditionalFormatting>
  <conditionalFormatting sqref="D13:D25">
    <cfRule type="dataBar" priority="6">
      <dataBar showValue="0">
        <cfvo type="min"/>
        <cfvo type="percent" val="50"/>
        <color rgb="FF638EC6"/>
      </dataBar>
      <extLst>
        <ext xmlns:x14="http://schemas.microsoft.com/office/spreadsheetml/2009/9/main" uri="{B025F937-C7B1-47D3-B67F-A62EFF666E3E}">
          <x14:id>{C75BF348-0216-4493-9D6C-007388AB9794}</x14:id>
        </ext>
      </extLst>
    </cfRule>
  </conditionalFormatting>
  <conditionalFormatting sqref="J3:L7">
    <cfRule type="cellIs" dxfId="16" priority="1" operator="equal">
      <formula>"F"</formula>
    </cfRule>
    <cfRule type="cellIs" dxfId="15" priority="2" operator="equal">
      <formula>"D"</formula>
    </cfRule>
    <cfRule type="cellIs" dxfId="14" priority="3" operator="equal">
      <formula>"C"</formula>
    </cfRule>
    <cfRule type="cellIs" dxfId="13" priority="4" operator="equal">
      <formula>"B"</formula>
    </cfRule>
    <cfRule type="cellIs" dxfId="12" priority="5" operator="equal">
      <formula>"A"</formula>
    </cfRule>
  </conditionalFormatting>
  <dataValidations count="1">
    <dataValidation type="list" allowBlank="1" showInputMessage="1" showErrorMessage="1" sqref="D9:E9" xr:uid="{8E0C4F3C-D544-4DE1-B1A9-0C76C2F51625}">
      <formula1>INDIRECT(SUBSTITUTE($D$8," ",""))</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print="0" autoFill="0" autoPict="0" macro="[0]!REFRESH">
                <anchor moveWithCells="1" sizeWithCells="1">
                  <from>
                    <xdr:col>9</xdr:col>
                    <xdr:colOff>109728</xdr:colOff>
                    <xdr:row>7</xdr:row>
                    <xdr:rowOff>117043</xdr:rowOff>
                  </from>
                  <to>
                    <xdr:col>11</xdr:col>
                    <xdr:colOff>0</xdr:colOff>
                    <xdr:row>9</xdr:row>
                    <xdr:rowOff>51206</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75BF348-0216-4493-9D6C-007388AB9794}">
            <x14:dataBar minLength="0" maxLength="100" border="1" negativeBarBorderColorSameAsPositive="0">
              <x14:cfvo type="autoMin"/>
              <x14:cfvo type="percent">
                <xm:f>50</xm:f>
              </x14:cfvo>
              <x14:borderColor rgb="FF638EC6"/>
              <x14:negativeFillColor rgb="FFFF0000"/>
              <x14:negativeBorderColor rgb="FFFF0000"/>
              <x14:axisColor rgb="FF000000"/>
            </x14:dataBar>
          </x14:cfRule>
          <xm:sqref>D13:D25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34F99F5-CF14-4132-BC48-FAD13295C4B5}">
          <x14:formula1>
            <xm:f>'Grade Book'!$BA$18:$BA$21</xm:f>
          </x14:formula1>
          <xm:sqref>D8:E8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0E752-8A18-4485-B969-74EA856C4011}">
  <sheetPr codeName="Sheet6"/>
  <dimension ref="B1:O41"/>
  <sheetViews>
    <sheetView workbookViewId="0">
      <selection activeCell="J24" sqref="J24"/>
    </sheetView>
  </sheetViews>
  <sheetFormatPr defaultRowHeight="14.4" x14ac:dyDescent="0.3"/>
  <cols>
    <col min="2" max="2" width="10.59765625" bestFit="1" customWidth="1"/>
    <col min="3" max="3" width="19.69921875" bestFit="1" customWidth="1"/>
    <col min="4" max="5" width="14.796875" bestFit="1" customWidth="1"/>
    <col min="6" max="9" width="6.796875" bestFit="1" customWidth="1"/>
    <col min="10" max="10" width="14.69921875" bestFit="1" customWidth="1"/>
    <col min="11" max="15" width="14.296875" bestFit="1" customWidth="1"/>
    <col min="16" max="49" width="17.69921875" bestFit="1" customWidth="1"/>
    <col min="50" max="52" width="19.296875" bestFit="1" customWidth="1"/>
    <col min="53" max="53" width="22.19921875" bestFit="1" customWidth="1"/>
    <col min="54" max="54" width="8.69921875" bestFit="1" customWidth="1"/>
    <col min="55" max="55" width="6.796875" bestFit="1" customWidth="1"/>
    <col min="56" max="56" width="8.69921875" bestFit="1" customWidth="1"/>
    <col min="57" max="59" width="6.796875" bestFit="1" customWidth="1"/>
    <col min="60" max="60" width="8.69921875" bestFit="1" customWidth="1"/>
    <col min="61" max="62" width="6.796875" bestFit="1" customWidth="1"/>
    <col min="63" max="63" width="8.69921875" bestFit="1" customWidth="1"/>
    <col min="64" max="67" width="6.796875" bestFit="1" customWidth="1"/>
    <col min="68" max="68" width="8.69921875" bestFit="1" customWidth="1"/>
    <col min="69" max="71" width="6.796875" bestFit="1" customWidth="1"/>
    <col min="72" max="72" width="8.69921875" bestFit="1" customWidth="1"/>
    <col min="73" max="76" width="6.796875" bestFit="1" customWidth="1"/>
    <col min="77" max="77" width="8.69921875" bestFit="1" customWidth="1"/>
    <col min="78" max="79" width="6.796875" bestFit="1" customWidth="1"/>
    <col min="80" max="80" width="8.69921875" bestFit="1" customWidth="1"/>
    <col min="81" max="81" width="6.796875" bestFit="1" customWidth="1"/>
    <col min="82" max="82" width="8.69921875" bestFit="1" customWidth="1"/>
    <col min="83" max="84" width="6.796875" bestFit="1" customWidth="1"/>
    <col min="85" max="85" width="8.69921875" bestFit="1" customWidth="1"/>
    <col min="86" max="89" width="6.796875" bestFit="1" customWidth="1"/>
    <col min="90" max="90" width="8.69921875" bestFit="1" customWidth="1"/>
    <col min="91" max="93" width="6.796875" bestFit="1" customWidth="1"/>
    <col min="94" max="94" width="8.69921875" bestFit="1" customWidth="1"/>
    <col min="95" max="96" width="6.796875" bestFit="1" customWidth="1"/>
    <col min="97" max="97" width="8.69921875" bestFit="1" customWidth="1"/>
    <col min="98" max="101" width="6.796875" bestFit="1" customWidth="1"/>
    <col min="102" max="102" width="8.69921875" bestFit="1" customWidth="1"/>
    <col min="103" max="104" width="6.796875" bestFit="1" customWidth="1"/>
    <col min="105" max="105" width="8.69921875" bestFit="1" customWidth="1"/>
    <col min="106" max="110" width="6.796875" bestFit="1" customWidth="1"/>
    <col min="111" max="111" width="8.69921875" bestFit="1" customWidth="1"/>
    <col min="112" max="114" width="6.796875" bestFit="1" customWidth="1"/>
    <col min="115" max="115" width="8.69921875" bestFit="1" customWidth="1"/>
    <col min="116" max="117" width="6.796875" bestFit="1" customWidth="1"/>
    <col min="118" max="118" width="8.69921875" bestFit="1" customWidth="1"/>
    <col min="119" max="119" width="6.796875" bestFit="1" customWidth="1"/>
    <col min="120" max="120" width="8.69921875" bestFit="1" customWidth="1"/>
    <col min="121" max="121" width="6.796875" bestFit="1" customWidth="1"/>
    <col min="122" max="122" width="8.69921875" bestFit="1" customWidth="1"/>
    <col min="123" max="124" width="6.796875" bestFit="1" customWidth="1"/>
    <col min="125" max="125" width="8.69921875" bestFit="1" customWidth="1"/>
    <col min="126" max="128" width="6.796875" bestFit="1" customWidth="1"/>
    <col min="129" max="129" width="8.69921875" bestFit="1" customWidth="1"/>
    <col min="130" max="133" width="6.796875" bestFit="1" customWidth="1"/>
    <col min="134" max="134" width="8.69921875" bestFit="1" customWidth="1"/>
    <col min="135" max="135" width="6.796875" bestFit="1" customWidth="1"/>
    <col min="136" max="136" width="8.69921875" bestFit="1" customWidth="1"/>
    <col min="137" max="138" width="6.796875" bestFit="1" customWidth="1"/>
    <col min="139" max="139" width="8.69921875" bestFit="1" customWidth="1"/>
    <col min="140" max="142" width="6.796875" bestFit="1" customWidth="1"/>
    <col min="143" max="143" width="8.69921875" bestFit="1" customWidth="1"/>
    <col min="144" max="144" width="6.796875" bestFit="1" customWidth="1"/>
    <col min="145" max="145" width="9.69921875" bestFit="1" customWidth="1"/>
    <col min="146" max="146" width="10.09765625" bestFit="1" customWidth="1"/>
    <col min="147" max="147" width="6.796875" bestFit="1" customWidth="1"/>
    <col min="148" max="148" width="8.69921875" bestFit="1" customWidth="1"/>
    <col min="149" max="149" width="6.796875" bestFit="1" customWidth="1"/>
    <col min="150" max="151" width="8.69921875" bestFit="1" customWidth="1"/>
    <col min="152" max="152" width="6.796875" bestFit="1" customWidth="1"/>
    <col min="153" max="153" width="8.69921875" bestFit="1" customWidth="1"/>
    <col min="154" max="154" width="6.796875" bestFit="1" customWidth="1"/>
    <col min="155" max="155" width="8.69921875" bestFit="1" customWidth="1"/>
    <col min="156" max="156" width="6.796875" bestFit="1" customWidth="1"/>
    <col min="157" max="158" width="8.69921875" bestFit="1" customWidth="1"/>
    <col min="159" max="159" width="6.796875" bestFit="1" customWidth="1"/>
    <col min="160" max="160" width="8.69921875" bestFit="1" customWidth="1"/>
    <col min="161" max="161" width="6.796875" bestFit="1" customWidth="1"/>
    <col min="162" max="162" width="8.69921875" bestFit="1" customWidth="1"/>
    <col min="163" max="163" width="6.796875" bestFit="1" customWidth="1"/>
    <col min="164" max="164" width="8.69921875" bestFit="1" customWidth="1"/>
    <col min="165" max="165" width="6.796875" bestFit="1" customWidth="1"/>
    <col min="166" max="166" width="8.69921875" bestFit="1" customWidth="1"/>
    <col min="167" max="167" width="6.796875" bestFit="1" customWidth="1"/>
    <col min="168" max="168" width="8.69921875" bestFit="1" customWidth="1"/>
    <col min="169" max="169" width="6.796875" bestFit="1" customWidth="1"/>
    <col min="170" max="171" width="8.69921875" bestFit="1" customWidth="1"/>
    <col min="172" max="172" width="6.796875" bestFit="1" customWidth="1"/>
    <col min="173" max="173" width="8.69921875" bestFit="1" customWidth="1"/>
    <col min="174" max="174" width="6.796875" bestFit="1" customWidth="1"/>
    <col min="175" max="175" width="8.69921875" bestFit="1" customWidth="1"/>
    <col min="176" max="176" width="6.796875" bestFit="1" customWidth="1"/>
    <col min="177" max="177" width="8.69921875" bestFit="1" customWidth="1"/>
    <col min="178" max="178" width="6.796875" bestFit="1" customWidth="1"/>
    <col min="179" max="180" width="8.69921875" bestFit="1" customWidth="1"/>
    <col min="181" max="181" width="6.796875" bestFit="1" customWidth="1"/>
    <col min="182" max="182" width="8.69921875" bestFit="1" customWidth="1"/>
    <col min="183" max="183" width="6.796875" bestFit="1" customWidth="1"/>
    <col min="184" max="185" width="8.69921875" bestFit="1" customWidth="1"/>
    <col min="186" max="186" width="6.796875" bestFit="1" customWidth="1"/>
    <col min="187" max="187" width="8.69921875" bestFit="1" customWidth="1"/>
    <col min="188" max="188" width="6.796875" bestFit="1" customWidth="1"/>
    <col min="189" max="189" width="8.69921875" bestFit="1" customWidth="1"/>
    <col min="190" max="190" width="6.796875" bestFit="1" customWidth="1"/>
    <col min="191" max="192" width="8.69921875" bestFit="1" customWidth="1"/>
    <col min="193" max="193" width="6.796875" bestFit="1" customWidth="1"/>
    <col min="194" max="195" width="8.69921875" bestFit="1" customWidth="1"/>
    <col min="196" max="196" width="6.796875" bestFit="1" customWidth="1"/>
    <col min="197" max="198" width="8.69921875" bestFit="1" customWidth="1"/>
    <col min="199" max="199" width="6.796875" bestFit="1" customWidth="1"/>
    <col min="200" max="201" width="8.69921875" bestFit="1" customWidth="1"/>
    <col min="202" max="202" width="6.796875" bestFit="1" customWidth="1"/>
    <col min="203" max="203" width="8.69921875" bestFit="1" customWidth="1"/>
    <col min="204" max="204" width="6.796875" bestFit="1" customWidth="1"/>
    <col min="205" max="206" width="8.69921875" bestFit="1" customWidth="1"/>
    <col min="207" max="207" width="6.796875" bestFit="1" customWidth="1"/>
    <col min="208" max="208" width="8.69921875" bestFit="1" customWidth="1"/>
    <col min="209" max="209" width="6.796875" bestFit="1" customWidth="1"/>
    <col min="210" max="210" width="8.69921875" bestFit="1" customWidth="1"/>
    <col min="211" max="211" width="6.796875" bestFit="1" customWidth="1"/>
    <col min="212" max="212" width="8.69921875" bestFit="1" customWidth="1"/>
    <col min="213" max="213" width="6.796875" bestFit="1" customWidth="1"/>
    <col min="214" max="215" width="8.69921875" bestFit="1" customWidth="1"/>
    <col min="216" max="216" width="6.796875" bestFit="1" customWidth="1"/>
    <col min="217" max="217" width="8.69921875" bestFit="1" customWidth="1"/>
    <col min="218" max="218" width="6.796875" bestFit="1" customWidth="1"/>
    <col min="219" max="219" width="8.69921875" bestFit="1" customWidth="1"/>
    <col min="220" max="220" width="6.796875" bestFit="1" customWidth="1"/>
    <col min="221" max="221" width="8.69921875" bestFit="1" customWidth="1"/>
    <col min="222" max="222" width="6.796875" bestFit="1" customWidth="1"/>
    <col min="223" max="224" width="8.69921875" bestFit="1" customWidth="1"/>
    <col min="225" max="226" width="6.796875" bestFit="1" customWidth="1"/>
    <col min="227" max="227" width="8.69921875" bestFit="1" customWidth="1"/>
    <col min="228" max="228" width="6.796875" bestFit="1" customWidth="1"/>
    <col min="229" max="230" width="8.69921875" bestFit="1" customWidth="1"/>
    <col min="231" max="231" width="6.796875" bestFit="1" customWidth="1"/>
    <col min="232" max="232" width="8.69921875" bestFit="1" customWidth="1"/>
    <col min="233" max="233" width="6.796875" bestFit="1" customWidth="1"/>
    <col min="234" max="234" width="8.69921875" bestFit="1" customWidth="1"/>
    <col min="235" max="235" width="6.796875" bestFit="1" customWidth="1"/>
    <col min="236" max="236" width="9.69921875" bestFit="1" customWidth="1"/>
    <col min="237" max="237" width="8.69921875" bestFit="1" customWidth="1"/>
    <col min="238" max="238" width="6.796875" bestFit="1" customWidth="1"/>
    <col min="239" max="239" width="8.69921875" bestFit="1" customWidth="1"/>
    <col min="240" max="240" width="6.796875" bestFit="1" customWidth="1"/>
    <col min="241" max="242" width="8.69921875" bestFit="1" customWidth="1"/>
    <col min="243" max="243" width="6.796875" bestFit="1" customWidth="1"/>
    <col min="244" max="245" width="8.69921875" bestFit="1" customWidth="1"/>
    <col min="246" max="246" width="6.796875" bestFit="1" customWidth="1"/>
    <col min="247" max="247" width="8.69921875" bestFit="1" customWidth="1"/>
    <col min="248" max="249" width="6.796875" bestFit="1" customWidth="1"/>
    <col min="250" max="250" width="8.69921875" bestFit="1" customWidth="1"/>
    <col min="251" max="251" width="9.69921875" bestFit="1" customWidth="1"/>
    <col min="252" max="252" width="10.09765625" bestFit="1" customWidth="1"/>
    <col min="253" max="253" width="4.296875" bestFit="1" customWidth="1"/>
    <col min="254" max="254" width="8.69921875" bestFit="1" customWidth="1"/>
    <col min="255" max="255" width="4.8984375" bestFit="1" customWidth="1"/>
    <col min="256" max="256" width="8.69921875" bestFit="1" customWidth="1"/>
    <col min="257" max="257" width="4.8984375" bestFit="1" customWidth="1"/>
    <col min="258" max="258" width="8.69921875" bestFit="1" customWidth="1"/>
    <col min="259" max="259" width="4.8984375" bestFit="1" customWidth="1"/>
    <col min="260" max="260" width="8.69921875" bestFit="1" customWidth="1"/>
    <col min="261" max="262" width="4.8984375" bestFit="1" customWidth="1"/>
    <col min="263" max="263" width="8.69921875" bestFit="1" customWidth="1"/>
    <col min="264" max="264" width="4.8984375" bestFit="1" customWidth="1"/>
    <col min="265" max="266" width="4.296875" bestFit="1" customWidth="1"/>
    <col min="267" max="267" width="4.8984375" bestFit="1" customWidth="1"/>
    <col min="268" max="268" width="8.69921875" bestFit="1" customWidth="1"/>
    <col min="269" max="269" width="4.296875" bestFit="1" customWidth="1"/>
    <col min="270" max="272" width="4.8984375" bestFit="1" customWidth="1"/>
    <col min="273" max="273" width="8.69921875" bestFit="1" customWidth="1"/>
    <col min="274" max="275" width="4.8984375" bestFit="1" customWidth="1"/>
    <col min="276" max="276" width="8.69921875" bestFit="1" customWidth="1"/>
    <col min="277" max="278" width="4.8984375" bestFit="1" customWidth="1"/>
    <col min="279" max="279" width="5.296875" bestFit="1" customWidth="1"/>
    <col min="280" max="280" width="8.69921875" bestFit="1" customWidth="1"/>
    <col min="281" max="282" width="4.8984375" bestFit="1" customWidth="1"/>
    <col min="283" max="283" width="8.69921875" bestFit="1" customWidth="1"/>
    <col min="284" max="284" width="4.8984375" bestFit="1" customWidth="1"/>
    <col min="285" max="285" width="8.69921875" bestFit="1" customWidth="1"/>
    <col min="286" max="286" width="5.296875" bestFit="1" customWidth="1"/>
    <col min="287" max="287" width="4.8984375" bestFit="1" customWidth="1"/>
    <col min="288" max="288" width="9.69921875" bestFit="1" customWidth="1"/>
    <col min="289" max="289" width="24.19921875" bestFit="1" customWidth="1"/>
    <col min="290" max="290" width="16" bestFit="1" customWidth="1"/>
  </cols>
  <sheetData>
    <row r="1" spans="2:15" x14ac:dyDescent="0.3">
      <c r="B1" s="78" t="s">
        <v>165</v>
      </c>
      <c r="C1" s="78"/>
    </row>
    <row r="2" spans="2:15" ht="15" thickBot="1" x14ac:dyDescent="0.35">
      <c r="B2" s="79"/>
      <c r="C2" s="79"/>
    </row>
    <row r="3" spans="2:15" ht="15" thickBot="1" x14ac:dyDescent="0.35">
      <c r="B3" s="80" t="s">
        <v>121</v>
      </c>
      <c r="C3" s="80" t="s">
        <v>123</v>
      </c>
      <c r="J3" s="80" t="s">
        <v>162</v>
      </c>
      <c r="K3" s="97" t="s">
        <v>124</v>
      </c>
      <c r="L3" s="98" t="s">
        <v>125</v>
      </c>
      <c r="M3" s="98" t="s">
        <v>126</v>
      </c>
      <c r="N3" s="99" t="s">
        <v>130</v>
      </c>
    </row>
    <row r="4" spans="2:15" x14ac:dyDescent="0.3">
      <c r="B4" s="81">
        <v>0</v>
      </c>
      <c r="C4" s="82">
        <v>0.83937222222222219</v>
      </c>
      <c r="J4" s="81" t="s">
        <v>21</v>
      </c>
      <c r="K4" s="100">
        <v>0.90733333333333333</v>
      </c>
      <c r="L4" s="101">
        <v>0.88866666666666683</v>
      </c>
      <c r="M4" s="101">
        <v>0.90600000000000003</v>
      </c>
      <c r="N4" s="102">
        <v>1.8666666666666667</v>
      </c>
    </row>
    <row r="5" spans="2:15" ht="15" thickBot="1" x14ac:dyDescent="0.35">
      <c r="B5" s="83">
        <v>1</v>
      </c>
      <c r="C5" s="84">
        <v>0.79941200000000012</v>
      </c>
      <c r="J5" s="85" t="s">
        <v>22</v>
      </c>
      <c r="K5" s="103">
        <v>0.8566666666666668</v>
      </c>
      <c r="L5" s="92">
        <v>0.85555555555555551</v>
      </c>
      <c r="M5" s="92">
        <v>0.89777777777777779</v>
      </c>
      <c r="N5" s="104">
        <v>1.6666666666666667</v>
      </c>
    </row>
    <row r="6" spans="2:15" ht="15" thickBot="1" x14ac:dyDescent="0.35">
      <c r="B6" s="83">
        <v>2</v>
      </c>
      <c r="C6" s="84">
        <v>0.788837037037037</v>
      </c>
      <c r="J6" s="91" t="s">
        <v>20</v>
      </c>
      <c r="K6" s="103">
        <v>0.95299999999999996</v>
      </c>
      <c r="L6" s="92">
        <v>0.93200000000000005</v>
      </c>
      <c r="M6" s="92">
        <v>0.94600000000000006</v>
      </c>
      <c r="N6" s="104">
        <v>0.8</v>
      </c>
    </row>
    <row r="7" spans="2:15" x14ac:dyDescent="0.3">
      <c r="B7" s="83">
        <v>3</v>
      </c>
      <c r="C7" s="84">
        <v>0.76719166666666661</v>
      </c>
      <c r="J7" s="81" t="s">
        <v>24</v>
      </c>
      <c r="K7" s="103">
        <v>0.78999999999999992</v>
      </c>
      <c r="L7" s="92">
        <v>0.75857142857142867</v>
      </c>
      <c r="M7" s="92">
        <v>0.78857142857142848</v>
      </c>
      <c r="N7" s="104">
        <v>1.2857142857142858</v>
      </c>
    </row>
    <row r="8" spans="2:15" x14ac:dyDescent="0.3">
      <c r="B8" s="83">
        <v>4</v>
      </c>
      <c r="C8" s="84">
        <v>0.61987000000000003</v>
      </c>
      <c r="J8" s="83" t="s">
        <v>25</v>
      </c>
      <c r="K8" s="103">
        <v>0.72333333333333338</v>
      </c>
      <c r="L8" s="92">
        <v>0.72000000000000008</v>
      </c>
      <c r="M8" s="92">
        <v>0.76277777777777789</v>
      </c>
      <c r="N8" s="104">
        <v>1.2222222222222223</v>
      </c>
    </row>
    <row r="9" spans="2:15" x14ac:dyDescent="0.3">
      <c r="B9" s="83">
        <v>5</v>
      </c>
      <c r="C9" s="84">
        <v>0.62798750000000003</v>
      </c>
      <c r="J9" s="83" t="s">
        <v>23</v>
      </c>
      <c r="K9" s="103">
        <v>0.78588235294117659</v>
      </c>
      <c r="L9" s="92">
        <v>0.8329411764705883</v>
      </c>
      <c r="M9" s="92">
        <v>0.81058823529411772</v>
      </c>
      <c r="N9" s="104">
        <v>1.5294117647058822</v>
      </c>
    </row>
    <row r="10" spans="2:15" ht="15" thickBot="1" x14ac:dyDescent="0.35">
      <c r="B10" s="85">
        <v>6</v>
      </c>
      <c r="C10" s="84">
        <v>0.6218999999999999</v>
      </c>
      <c r="J10" s="83" t="s">
        <v>26</v>
      </c>
      <c r="K10" s="103">
        <v>0.68857142857142861</v>
      </c>
      <c r="L10" s="92">
        <v>0.69571428571428562</v>
      </c>
      <c r="M10" s="92">
        <v>0.70571428571428563</v>
      </c>
      <c r="N10" s="104">
        <v>2.5714285714285716</v>
      </c>
    </row>
    <row r="11" spans="2:15" ht="15" thickBot="1" x14ac:dyDescent="0.35">
      <c r="B11" s="86" t="s">
        <v>122</v>
      </c>
      <c r="C11" s="87">
        <v>0.76681150442477874</v>
      </c>
      <c r="J11" s="85" t="s">
        <v>27</v>
      </c>
      <c r="K11" s="103">
        <v>0.67500000000000004</v>
      </c>
      <c r="L11" s="92">
        <v>0.66250000000000009</v>
      </c>
      <c r="M11" s="92">
        <v>0.68</v>
      </c>
      <c r="N11" s="104">
        <v>3.5</v>
      </c>
    </row>
    <row r="12" spans="2:15" ht="15" thickBot="1" x14ac:dyDescent="0.35">
      <c r="J12" s="91" t="s">
        <v>28</v>
      </c>
      <c r="K12" s="103">
        <v>0.61666666666666659</v>
      </c>
      <c r="L12" s="92">
        <v>0.67166666666666652</v>
      </c>
      <c r="M12" s="92">
        <v>0.64666666666666661</v>
      </c>
      <c r="N12" s="104">
        <v>3.6666666666666665</v>
      </c>
    </row>
    <row r="13" spans="2:15" ht="15" thickBot="1" x14ac:dyDescent="0.35">
      <c r="J13" s="86" t="s">
        <v>29</v>
      </c>
      <c r="K13" s="103">
        <v>0.59499999999999997</v>
      </c>
      <c r="L13" s="92">
        <v>0.63300000000000001</v>
      </c>
      <c r="M13" s="92">
        <v>0.5615</v>
      </c>
      <c r="N13" s="104">
        <v>3.75</v>
      </c>
    </row>
    <row r="14" spans="2:15" ht="15" thickBot="1" x14ac:dyDescent="0.35">
      <c r="J14" s="86" t="s">
        <v>122</v>
      </c>
      <c r="K14" s="105">
        <v>0.76</v>
      </c>
      <c r="L14" s="95">
        <v>0.76982300884955757</v>
      </c>
      <c r="M14" s="95">
        <v>0.76929203539822999</v>
      </c>
      <c r="N14" s="106">
        <v>2.0973451327433628</v>
      </c>
    </row>
    <row r="15" spans="2:15" ht="15" thickBot="1" x14ac:dyDescent="0.35"/>
    <row r="16" spans="2:15" ht="15" thickBot="1" x14ac:dyDescent="0.35">
      <c r="B16" s="88" t="s">
        <v>161</v>
      </c>
      <c r="C16" s="89" t="s">
        <v>124</v>
      </c>
      <c r="D16" s="89" t="s">
        <v>125</v>
      </c>
      <c r="E16" s="90" t="s">
        <v>126</v>
      </c>
      <c r="J16" s="80" t="s">
        <v>163</v>
      </c>
      <c r="K16" s="97" t="s">
        <v>127</v>
      </c>
      <c r="L16" s="98" t="s">
        <v>128</v>
      </c>
      <c r="M16" s="98" t="s">
        <v>129</v>
      </c>
      <c r="N16" s="98" t="s">
        <v>158</v>
      </c>
      <c r="O16" s="99" t="s">
        <v>159</v>
      </c>
    </row>
    <row r="17" spans="2:15" x14ac:dyDescent="0.3">
      <c r="B17" s="91" t="s">
        <v>107</v>
      </c>
      <c r="C17" s="92">
        <v>0.71727272727272717</v>
      </c>
      <c r="D17" s="92">
        <v>0.74121212121212132</v>
      </c>
      <c r="E17" s="93">
        <v>0.75060606060606072</v>
      </c>
      <c r="J17" s="81" t="s">
        <v>107</v>
      </c>
      <c r="K17" s="100">
        <v>0.71030303030303021</v>
      </c>
      <c r="L17" s="101">
        <v>0.67393939393939384</v>
      </c>
      <c r="M17" s="101">
        <v>0.75848484848484854</v>
      </c>
      <c r="N17" s="101">
        <v>0.72575757575757549</v>
      </c>
      <c r="O17" s="107">
        <v>0.72878787878787876</v>
      </c>
    </row>
    <row r="18" spans="2:15" x14ac:dyDescent="0.3">
      <c r="B18" s="91" t="s">
        <v>108</v>
      </c>
      <c r="C18" s="92">
        <v>0.7633333333333332</v>
      </c>
      <c r="D18" s="92">
        <v>0.76466666666666649</v>
      </c>
      <c r="E18" s="93">
        <v>0.77166666666666672</v>
      </c>
      <c r="J18" s="83" t="s">
        <v>108</v>
      </c>
      <c r="K18" s="103">
        <v>0.7683333333333332</v>
      </c>
      <c r="L18" s="92">
        <v>0.76500000000000012</v>
      </c>
      <c r="M18" s="92">
        <v>0.77033333333333331</v>
      </c>
      <c r="N18" s="92">
        <v>0.752</v>
      </c>
      <c r="O18" s="93">
        <v>0.76466666666666661</v>
      </c>
    </row>
    <row r="19" spans="2:15" x14ac:dyDescent="0.3">
      <c r="B19" s="91" t="s">
        <v>109</v>
      </c>
      <c r="C19" s="92">
        <v>0.80919999999999992</v>
      </c>
      <c r="D19" s="92">
        <v>0.80039999999999989</v>
      </c>
      <c r="E19" s="93">
        <v>0.79960000000000009</v>
      </c>
      <c r="J19" s="83" t="s">
        <v>109</v>
      </c>
      <c r="K19" s="103">
        <v>0.80079999999999996</v>
      </c>
      <c r="L19" s="92">
        <v>0.80519999999999992</v>
      </c>
      <c r="M19" s="92">
        <v>0.81200000000000006</v>
      </c>
      <c r="N19" s="92">
        <v>0.81560000000000021</v>
      </c>
      <c r="O19" s="93">
        <v>0.81520000000000015</v>
      </c>
    </row>
    <row r="20" spans="2:15" ht="15" thickBot="1" x14ac:dyDescent="0.35">
      <c r="B20" s="91" t="s">
        <v>110</v>
      </c>
      <c r="C20" s="92">
        <v>0.76319999999999977</v>
      </c>
      <c r="D20" s="92">
        <v>0.78320000000000023</v>
      </c>
      <c r="E20" s="93">
        <v>0.76080000000000003</v>
      </c>
      <c r="J20" s="85" t="s">
        <v>110</v>
      </c>
      <c r="K20" s="103">
        <v>0.77199999999999991</v>
      </c>
      <c r="L20" s="92">
        <v>0.75519999999999998</v>
      </c>
      <c r="M20" s="92">
        <v>0.78880000000000006</v>
      </c>
      <c r="N20" s="92">
        <v>0.76599999999999979</v>
      </c>
      <c r="O20" s="93">
        <v>0.79159999999999997</v>
      </c>
    </row>
    <row r="21" spans="2:15" ht="15" thickBot="1" x14ac:dyDescent="0.35">
      <c r="B21" s="94" t="s">
        <v>122</v>
      </c>
      <c r="C21" s="95">
        <v>0.76</v>
      </c>
      <c r="D21" s="95">
        <v>0.76982300884955723</v>
      </c>
      <c r="E21" s="96">
        <v>0.76929203539822977</v>
      </c>
      <c r="J21" s="86" t="s">
        <v>122</v>
      </c>
      <c r="K21" s="105">
        <v>0.75938053097345126</v>
      </c>
      <c r="L21" s="95">
        <v>0.74513274336283164</v>
      </c>
      <c r="M21" s="95">
        <v>0.78017699115044203</v>
      </c>
      <c r="N21" s="95">
        <v>0.76150442477876079</v>
      </c>
      <c r="O21" s="96">
        <v>0.77132743362831857</v>
      </c>
    </row>
    <row r="37" ht="15" thickBot="1" x14ac:dyDescent="0.35"/>
    <row r="40" ht="15" thickBot="1" x14ac:dyDescent="0.35"/>
    <row r="41" ht="15" thickBot="1" x14ac:dyDescent="0.35"/>
  </sheetData>
  <mergeCells count="1">
    <mergeCell ref="B1:C2"/>
  </mergeCells>
  <pageMargins left="0.7" right="0.7" top="0.75" bottom="0.75" header="0.3" footer="0.3"/>
  <drawing r:id="rId5"/>
  <picture r:id="rId6"/>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04496-8D6A-4342-A23F-65AA3AD7C9A6}">
  <dimension ref="A1:J32"/>
  <sheetViews>
    <sheetView workbookViewId="0">
      <selection activeCell="I27" sqref="I27"/>
    </sheetView>
  </sheetViews>
  <sheetFormatPr defaultRowHeight="14.4" x14ac:dyDescent="0.3"/>
  <cols>
    <col min="1" max="1" width="10.5" bestFit="1" customWidth="1"/>
    <col min="2" max="2" width="8" bestFit="1" customWidth="1"/>
    <col min="3" max="3" width="14.5" bestFit="1" customWidth="1"/>
    <col min="4" max="4" width="13.796875" bestFit="1" customWidth="1"/>
    <col min="5" max="5" width="7.796875" bestFit="1" customWidth="1"/>
    <col min="6" max="6" width="10.3984375" bestFit="1" customWidth="1"/>
  </cols>
  <sheetData>
    <row r="1" spans="1:10" x14ac:dyDescent="0.3">
      <c r="A1" s="31" t="s">
        <v>134</v>
      </c>
      <c r="B1" s="31"/>
      <c r="C1" s="31"/>
      <c r="D1" s="31"/>
      <c r="E1" s="31"/>
    </row>
    <row r="2" spans="1:10" x14ac:dyDescent="0.3">
      <c r="A2" s="31"/>
      <c r="B2" s="31"/>
      <c r="C2" s="31"/>
      <c r="D2" s="31"/>
      <c r="E2" s="31"/>
    </row>
    <row r="3" spans="1:10" x14ac:dyDescent="0.3">
      <c r="H3" s="33" t="s">
        <v>137</v>
      </c>
      <c r="I3" s="33"/>
      <c r="J3" s="34">
        <v>0.05</v>
      </c>
    </row>
    <row r="4" spans="1:10" x14ac:dyDescent="0.3">
      <c r="C4" s="12"/>
      <c r="H4" s="33"/>
      <c r="I4" s="33"/>
      <c r="J4" s="34"/>
    </row>
    <row r="5" spans="1:10" x14ac:dyDescent="0.3">
      <c r="H5" s="20" t="s">
        <v>164</v>
      </c>
      <c r="I5" s="20"/>
      <c r="J5" s="13">
        <f>AVERAGEIF(Table12_2[Class],Table11[Class],Table12_2[Original Grade])</f>
        <v>0.76319999999999977</v>
      </c>
    </row>
    <row r="6" spans="1:10" x14ac:dyDescent="0.3">
      <c r="A6" s="32">
        <v>1</v>
      </c>
      <c r="H6" s="12" t="s">
        <v>147</v>
      </c>
      <c r="I6" s="12"/>
      <c r="J6" s="13">
        <f>AVERAGEIF(Table12_2[Class],Table11[Class],Table12_2[Curved Grade])</f>
        <v>0.81320000000000003</v>
      </c>
    </row>
    <row r="7" spans="1:10" x14ac:dyDescent="0.3">
      <c r="A7" t="s">
        <v>111</v>
      </c>
      <c r="B7" t="s">
        <v>1</v>
      </c>
      <c r="C7" t="s">
        <v>136</v>
      </c>
      <c r="D7" t="s">
        <v>135</v>
      </c>
      <c r="H7" s="12"/>
      <c r="I7" s="12"/>
      <c r="J7" s="12"/>
    </row>
    <row r="8" spans="1:10" x14ac:dyDescent="0.3">
      <c r="A8" s="17" t="s">
        <v>110</v>
      </c>
      <c r="B8">
        <v>3907460</v>
      </c>
      <c r="C8" s="2">
        <f>VLOOKUP(Table12_2[[#This Row],[ID]],Table12[[ID]:[Test 3]],'Grade Curving'!$A$6+1,FALSE)</f>
        <v>0.99</v>
      </c>
      <c r="D8" s="7">
        <f>Table12_2[[#This Row],[Original Grade]]+$J$3</f>
        <v>1.04</v>
      </c>
    </row>
    <row r="9" spans="1:10" x14ac:dyDescent="0.3">
      <c r="A9" s="17" t="s">
        <v>110</v>
      </c>
      <c r="B9">
        <v>3796282</v>
      </c>
      <c r="C9" s="2">
        <f>VLOOKUP(Table12_2[[#This Row],[ID]],Table12[[ID]:[Test 3]],'Grade Curving'!$A$6+1,FALSE)</f>
        <v>0.98</v>
      </c>
      <c r="D9" s="7">
        <f>Table12_2[[#This Row],[Original Grade]]+$J$3</f>
        <v>1.03</v>
      </c>
    </row>
    <row r="10" spans="1:10" x14ac:dyDescent="0.3">
      <c r="A10" s="17" t="s">
        <v>110</v>
      </c>
      <c r="B10">
        <v>4338882</v>
      </c>
      <c r="C10" s="2">
        <f>VLOOKUP(Table12_2[[#This Row],[ID]],Table12[[ID]:[Test 3]],'Grade Curving'!$A$6+1,FALSE)</f>
        <v>0.93</v>
      </c>
      <c r="D10" s="7">
        <f>Table12_2[[#This Row],[Original Grade]]+$J$3</f>
        <v>0.98000000000000009</v>
      </c>
    </row>
    <row r="11" spans="1:10" x14ac:dyDescent="0.3">
      <c r="A11" s="17" t="s">
        <v>110</v>
      </c>
      <c r="B11">
        <v>3987167</v>
      </c>
      <c r="C11" s="2">
        <f>VLOOKUP(Table12_2[[#This Row],[ID]],Table12[[ID]:[Test 3]],'Grade Curving'!$A$6+1,FALSE)</f>
        <v>0.91</v>
      </c>
      <c r="D11" s="7">
        <f>Table12_2[[#This Row],[Original Grade]]+$J$3</f>
        <v>0.96000000000000008</v>
      </c>
    </row>
    <row r="12" spans="1:10" x14ac:dyDescent="0.3">
      <c r="A12" s="17" t="s">
        <v>110</v>
      </c>
      <c r="B12">
        <v>3891870</v>
      </c>
      <c r="C12" s="2">
        <f>VLOOKUP(Table12_2[[#This Row],[ID]],Table12[[ID]:[Test 3]],'Grade Curving'!$A$6+1,FALSE)</f>
        <v>0.92</v>
      </c>
      <c r="D12" s="7">
        <f>Table12_2[[#This Row],[Original Grade]]+$J$3</f>
        <v>0.97000000000000008</v>
      </c>
    </row>
    <row r="13" spans="1:10" x14ac:dyDescent="0.3">
      <c r="A13" s="17" t="s">
        <v>110</v>
      </c>
      <c r="B13">
        <v>3792943</v>
      </c>
      <c r="C13" s="2">
        <f>VLOOKUP(Table12_2[[#This Row],[ID]],Table12[[ID]:[Test 3]],'Grade Curving'!$A$6+1,FALSE)</f>
        <v>0.94</v>
      </c>
      <c r="D13" s="7">
        <f>Table12_2[[#This Row],[Original Grade]]+$J$3</f>
        <v>0.99</v>
      </c>
    </row>
    <row r="14" spans="1:10" x14ac:dyDescent="0.3">
      <c r="A14" s="17" t="s">
        <v>110</v>
      </c>
      <c r="B14">
        <v>4287925</v>
      </c>
      <c r="C14" s="2">
        <f>VLOOKUP(Table12_2[[#This Row],[ID]],Table12[[ID]:[Test 3]],'Grade Curving'!$A$6+1,FALSE)</f>
        <v>0.93</v>
      </c>
      <c r="D14" s="7">
        <f>Table12_2[[#This Row],[Original Grade]]+$J$3</f>
        <v>0.98000000000000009</v>
      </c>
    </row>
    <row r="15" spans="1:10" x14ac:dyDescent="0.3">
      <c r="A15" s="17" t="s">
        <v>110</v>
      </c>
      <c r="B15">
        <v>3573311</v>
      </c>
      <c r="C15" s="2">
        <f>VLOOKUP(Table12_2[[#This Row],[ID]],Table12[[ID]:[Test 3]],'Grade Curving'!$A$6+1,FALSE)</f>
        <v>0.9</v>
      </c>
      <c r="D15" s="7">
        <f>Table12_2[[#This Row],[Original Grade]]+$J$3</f>
        <v>0.95000000000000007</v>
      </c>
    </row>
    <row r="16" spans="1:10" x14ac:dyDescent="0.3">
      <c r="A16" s="17" t="s">
        <v>110</v>
      </c>
      <c r="B16">
        <v>4315310</v>
      </c>
      <c r="C16" s="2">
        <f>VLOOKUP(Table12_2[[#This Row],[ID]],Table12[[ID]:[Test 3]],'Grade Curving'!$A$6+1,FALSE)</f>
        <v>0.81</v>
      </c>
      <c r="D16" s="7">
        <f>Table12_2[[#This Row],[Original Grade]]+$J$3</f>
        <v>0.8600000000000001</v>
      </c>
      <c r="F16" t="s">
        <v>111</v>
      </c>
    </row>
    <row r="17" spans="1:6" x14ac:dyDescent="0.3">
      <c r="A17" s="17" t="s">
        <v>110</v>
      </c>
      <c r="B17">
        <v>3880561</v>
      </c>
      <c r="C17" s="2">
        <f>VLOOKUP(Table12_2[[#This Row],[ID]],Table12[[ID]:[Test 3]],'Grade Curving'!$A$6+1,FALSE)</f>
        <v>0.87</v>
      </c>
      <c r="D17" s="7">
        <f>Table12_2[[#This Row],[Original Grade]]+$J$3</f>
        <v>0.92</v>
      </c>
      <c r="F17" s="12" t="s">
        <v>110</v>
      </c>
    </row>
    <row r="18" spans="1:6" x14ac:dyDescent="0.3">
      <c r="A18" s="17" t="s">
        <v>110</v>
      </c>
      <c r="B18">
        <v>3991099</v>
      </c>
      <c r="C18" s="2">
        <f>VLOOKUP(Table12_2[[#This Row],[ID]],Table12[[ID]:[Test 3]],'Grade Curving'!$A$6+1,FALSE)</f>
        <v>0.82</v>
      </c>
      <c r="D18" s="7">
        <f>Table12_2[[#This Row],[Original Grade]]+$J$3</f>
        <v>0.87</v>
      </c>
    </row>
    <row r="19" spans="1:6" x14ac:dyDescent="0.3">
      <c r="A19" s="17" t="s">
        <v>110</v>
      </c>
      <c r="B19">
        <v>3752757</v>
      </c>
      <c r="C19" s="2">
        <f>VLOOKUP(Table12_2[[#This Row],[ID]],Table12[[ID]:[Test 3]],'Grade Curving'!$A$6+1,FALSE)</f>
        <v>0.87</v>
      </c>
      <c r="D19" s="7">
        <f>Table12_2[[#This Row],[Original Grade]]+$J$3</f>
        <v>0.92</v>
      </c>
    </row>
    <row r="20" spans="1:6" x14ac:dyDescent="0.3">
      <c r="A20" s="17" t="s">
        <v>110</v>
      </c>
      <c r="B20">
        <v>4656844</v>
      </c>
      <c r="C20" s="2">
        <f>VLOOKUP(Table12_2[[#This Row],[ID]],Table12[[ID]:[Test 3]],'Grade Curving'!$A$6+1,FALSE)</f>
        <v>0.74</v>
      </c>
      <c r="D20" s="7">
        <f>Table12_2[[#This Row],[Original Grade]]+$J$3</f>
        <v>0.79</v>
      </c>
    </row>
    <row r="21" spans="1:6" x14ac:dyDescent="0.3">
      <c r="A21" s="17" t="s">
        <v>110</v>
      </c>
      <c r="B21">
        <v>4088387</v>
      </c>
      <c r="C21" s="2">
        <f>VLOOKUP(Table12_2[[#This Row],[ID]],Table12[[ID]:[Test 3]],'Grade Curving'!$A$6+1,FALSE)</f>
        <v>0.81</v>
      </c>
      <c r="D21" s="7">
        <f>Table12_2[[#This Row],[Original Grade]]+$J$3</f>
        <v>0.8600000000000001</v>
      </c>
    </row>
    <row r="22" spans="1:6" x14ac:dyDescent="0.3">
      <c r="A22" s="17" t="s">
        <v>110</v>
      </c>
      <c r="B22">
        <v>4119236</v>
      </c>
      <c r="C22" s="2">
        <f>VLOOKUP(Table12_2[[#This Row],[ID]],Table12[[ID]:[Test 3]],'Grade Curving'!$A$6+1,FALSE)</f>
        <v>0.76</v>
      </c>
      <c r="D22" s="7">
        <f>Table12_2[[#This Row],[Original Grade]]+$J$3</f>
        <v>0.81</v>
      </c>
    </row>
    <row r="23" spans="1:6" x14ac:dyDescent="0.3">
      <c r="A23" s="17" t="s">
        <v>110</v>
      </c>
      <c r="B23">
        <v>3533964</v>
      </c>
      <c r="C23" s="2">
        <f>VLOOKUP(Table12_2[[#This Row],[ID]],Table12[[ID]:[Test 3]],'Grade Curving'!$A$6+1,FALSE)</f>
        <v>0.61</v>
      </c>
      <c r="D23" s="7">
        <f>Table12_2[[#This Row],[Original Grade]]+$J$3</f>
        <v>0.66</v>
      </c>
    </row>
    <row r="24" spans="1:6" x14ac:dyDescent="0.3">
      <c r="A24" s="17" t="s">
        <v>110</v>
      </c>
      <c r="B24">
        <v>4186334</v>
      </c>
      <c r="C24" s="2">
        <f>VLOOKUP(Table12_2[[#This Row],[ID]],Table12[[ID]:[Test 3]],'Grade Curving'!$A$6+1,FALSE)</f>
        <v>0.6</v>
      </c>
      <c r="D24" s="7">
        <f>Table12_2[[#This Row],[Original Grade]]+$J$3</f>
        <v>0.65</v>
      </c>
    </row>
    <row r="25" spans="1:6" x14ac:dyDescent="0.3">
      <c r="A25" s="17" t="s">
        <v>110</v>
      </c>
      <c r="B25">
        <v>4233338</v>
      </c>
      <c r="C25" s="2">
        <f>VLOOKUP(Table12_2[[#This Row],[ID]],Table12[[ID]:[Test 3]],'Grade Curving'!$A$6+1,FALSE)</f>
        <v>0.6</v>
      </c>
      <c r="D25" s="7">
        <f>Table12_2[[#This Row],[Original Grade]]+$J$3</f>
        <v>0.65</v>
      </c>
    </row>
    <row r="26" spans="1:6" x14ac:dyDescent="0.3">
      <c r="A26" s="17" t="s">
        <v>110</v>
      </c>
      <c r="B26">
        <v>3626479</v>
      </c>
      <c r="C26" s="2">
        <f>VLOOKUP(Table12_2[[#This Row],[ID]],Table12[[ID]:[Test 3]],'Grade Curving'!$A$6+1,FALSE)</f>
        <v>0.54</v>
      </c>
      <c r="D26" s="7">
        <f>Table12_2[[#This Row],[Original Grade]]+$J$3</f>
        <v>0.59000000000000008</v>
      </c>
    </row>
    <row r="27" spans="1:6" x14ac:dyDescent="0.3">
      <c r="A27" s="17" t="s">
        <v>110</v>
      </c>
      <c r="B27">
        <v>3598709</v>
      </c>
      <c r="C27" s="2">
        <f>VLOOKUP(Table12_2[[#This Row],[ID]],Table12[[ID]:[Test 3]],'Grade Curving'!$A$6+1,FALSE)</f>
        <v>0.65</v>
      </c>
      <c r="D27" s="7">
        <f>Table12_2[[#This Row],[Original Grade]]+$J$3</f>
        <v>0.70000000000000007</v>
      </c>
    </row>
    <row r="28" spans="1:6" x14ac:dyDescent="0.3">
      <c r="A28" s="17" t="s">
        <v>110</v>
      </c>
      <c r="B28">
        <v>4407988</v>
      </c>
      <c r="C28" s="2">
        <f>VLOOKUP(Table12_2[[#This Row],[ID]],Table12[[ID]:[Test 3]],'Grade Curving'!$A$6+1,FALSE)</f>
        <v>0.55000000000000004</v>
      </c>
      <c r="D28" s="7">
        <f>Table12_2[[#This Row],[Original Grade]]+$J$3</f>
        <v>0.60000000000000009</v>
      </c>
    </row>
    <row r="29" spans="1:6" x14ac:dyDescent="0.3">
      <c r="A29" s="17" t="s">
        <v>110</v>
      </c>
      <c r="B29">
        <v>3708112</v>
      </c>
      <c r="C29" s="2">
        <f>VLOOKUP(Table12_2[[#This Row],[ID]],Table12[[ID]:[Test 3]],'Grade Curving'!$A$6+1,FALSE)</f>
        <v>0.52</v>
      </c>
      <c r="D29" s="7">
        <f>Table12_2[[#This Row],[Original Grade]]+$J$3</f>
        <v>0.57000000000000006</v>
      </c>
    </row>
    <row r="30" spans="1:6" x14ac:dyDescent="0.3">
      <c r="A30" s="17" t="s">
        <v>110</v>
      </c>
      <c r="B30">
        <v>3457538</v>
      </c>
      <c r="C30" s="2">
        <f>VLOOKUP(Table12_2[[#This Row],[ID]],Table12[[ID]:[Test 3]],'Grade Curving'!$A$6+1,FALSE)</f>
        <v>0.57999999999999996</v>
      </c>
      <c r="D30" s="7">
        <f>Table12_2[[#This Row],[Original Grade]]+$J$3</f>
        <v>0.63</v>
      </c>
    </row>
    <row r="31" spans="1:6" x14ac:dyDescent="0.3">
      <c r="A31" s="17" t="s">
        <v>110</v>
      </c>
      <c r="B31">
        <v>3348887</v>
      </c>
      <c r="C31" s="2">
        <f>VLOOKUP(Table12_2[[#This Row],[ID]],Table12[[ID]:[Test 3]],'Grade Curving'!$A$6+1,FALSE)</f>
        <v>0.67</v>
      </c>
      <c r="D31" s="7">
        <f>Table12_2[[#This Row],[Original Grade]]+$J$3</f>
        <v>0.72000000000000008</v>
      </c>
    </row>
    <row r="32" spans="1:6" x14ac:dyDescent="0.3">
      <c r="A32" s="17" t="s">
        <v>110</v>
      </c>
      <c r="B32">
        <v>3549212</v>
      </c>
      <c r="C32" s="2">
        <f>VLOOKUP(Table12_2[[#This Row],[ID]],Table12[[ID]:[Test 3]],'Grade Curving'!$A$6+1,FALSE)</f>
        <v>0.57999999999999996</v>
      </c>
      <c r="D32" s="7">
        <f>Table12_2[[#This Row],[Original Grade]]+$J$3</f>
        <v>0.63</v>
      </c>
    </row>
  </sheetData>
  <scenarios current="0" sqref="D8:D32">
    <scenario name="5%" locked="1" count="1" user="Naeem" comment="_x000a_">
      <inputCells r="J3" val="0.05" numFmtId="9"/>
    </scenario>
    <scenario name="10%" locked="1" count="1" user="Naeem">
      <inputCells r="J3" val="0.1" numFmtId="9"/>
    </scenario>
    <scenario name="15%" locked="1" count="1" user="Naeem">
      <inputCells r="J3" val="0.15" numFmtId="9"/>
    </scenario>
    <scenario name="20%" locked="1" count="1" user="Naeem">
      <inputCells r="J3" val="0.2" numFmtId="9"/>
    </scenario>
    <scenario name="25%" locked="1" count="1" user="Naeem">
      <inputCells r="J3" val="0.25" numFmtId="9"/>
    </scenario>
  </scenarios>
  <mergeCells count="4">
    <mergeCell ref="A1:E2"/>
    <mergeCell ref="H3:I4"/>
    <mergeCell ref="J3:J4"/>
    <mergeCell ref="H5:I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Option Button 2">
              <controlPr defaultSize="0" autoFill="0" autoLine="0" autoPict="0">
                <anchor moveWithCells="1">
                  <from>
                    <xdr:col>6</xdr:col>
                    <xdr:colOff>0</xdr:colOff>
                    <xdr:row>14</xdr:row>
                    <xdr:rowOff>146304</xdr:rowOff>
                  </from>
                  <to>
                    <xdr:col>7</xdr:col>
                    <xdr:colOff>299923</xdr:colOff>
                    <xdr:row>16</xdr:row>
                    <xdr:rowOff>7315</xdr:rowOff>
                  </to>
                </anchor>
              </controlPr>
            </control>
          </mc:Choice>
        </mc:AlternateContent>
        <mc:AlternateContent xmlns:mc="http://schemas.openxmlformats.org/markup-compatibility/2006">
          <mc:Choice Requires="x14">
            <control shapeId="11267" r:id="rId4" name="Option Button 3">
              <controlPr defaultSize="0" autoFill="0" autoLine="0" autoPict="0">
                <anchor moveWithCells="1">
                  <from>
                    <xdr:col>5</xdr:col>
                    <xdr:colOff>760781</xdr:colOff>
                    <xdr:row>15</xdr:row>
                    <xdr:rowOff>153619</xdr:rowOff>
                  </from>
                  <to>
                    <xdr:col>7</xdr:col>
                    <xdr:colOff>299923</xdr:colOff>
                    <xdr:row>17</xdr:row>
                    <xdr:rowOff>14630</xdr:rowOff>
                  </to>
                </anchor>
              </controlPr>
            </control>
          </mc:Choice>
        </mc:AlternateContent>
        <mc:AlternateContent xmlns:mc="http://schemas.openxmlformats.org/markup-compatibility/2006">
          <mc:Choice Requires="x14">
            <control shapeId="11268" r:id="rId5" name="Option Button 4">
              <controlPr defaultSize="0" autoFill="0" autoLine="0" autoPict="0">
                <anchor moveWithCells="1">
                  <from>
                    <xdr:col>5</xdr:col>
                    <xdr:colOff>760781</xdr:colOff>
                    <xdr:row>16</xdr:row>
                    <xdr:rowOff>146304</xdr:rowOff>
                  </from>
                  <to>
                    <xdr:col>6</xdr:col>
                    <xdr:colOff>570586</xdr:colOff>
                    <xdr:row>18</xdr:row>
                    <xdr:rowOff>14630</xdr:rowOff>
                  </to>
                </anchor>
              </controlPr>
            </control>
          </mc:Choice>
        </mc:AlternateContent>
        <mc:AlternateContent xmlns:mc="http://schemas.openxmlformats.org/markup-compatibility/2006">
          <mc:Choice Requires="x14">
            <control shapeId="11272" r:id="rId6" name="Button 8">
              <controlPr defaultSize="0" print="0" autoFill="0" autoPict="0" macro="[0]!REFRESH">
                <anchor moveWithCells="1" sizeWithCells="1">
                  <from>
                    <xdr:col>7</xdr:col>
                    <xdr:colOff>197510</xdr:colOff>
                    <xdr:row>15</xdr:row>
                    <xdr:rowOff>51206</xdr:rowOff>
                  </from>
                  <to>
                    <xdr:col>8</xdr:col>
                    <xdr:colOff>519379</xdr:colOff>
                    <xdr:row>16</xdr:row>
                    <xdr:rowOff>175565</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0F31B10C-4B55-43DC-AC8E-9709A3E01AC2}">
          <x14:formula1>
            <xm:f>'Grade Book'!$BA$18:$BA$21</xm:f>
          </x14:formula1>
          <xm:sqref>C4 F17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948E0-A870-4AA5-8685-ED633FD5A810}">
  <sheetPr>
    <outlinePr summaryBelow="0"/>
  </sheetPr>
  <dimension ref="B1:I35"/>
  <sheetViews>
    <sheetView showGridLines="0" topLeftCell="A5" workbookViewId="0">
      <selection activeCell="E22" sqref="E22"/>
    </sheetView>
  </sheetViews>
  <sheetFormatPr defaultRowHeight="14.4" outlineLevelRow="1" outlineLevelCol="1" x14ac:dyDescent="0.3"/>
  <cols>
    <col min="3" max="3" width="7.8984375" bestFit="1" customWidth="1"/>
    <col min="4" max="9" width="11.69921875" bestFit="1" customWidth="1" outlineLevel="1"/>
  </cols>
  <sheetData>
    <row r="1" spans="2:9" ht="15" thickBot="1" x14ac:dyDescent="0.35"/>
    <row r="2" spans="2:9" ht="16.149999999999999" x14ac:dyDescent="0.35">
      <c r="B2" s="39" t="s">
        <v>138</v>
      </c>
      <c r="C2" s="39"/>
      <c r="D2" s="44"/>
      <c r="E2" s="44"/>
      <c r="F2" s="44"/>
      <c r="G2" s="44"/>
      <c r="H2" s="44"/>
      <c r="I2" s="44"/>
    </row>
    <row r="3" spans="2:9" ht="16.149999999999999" collapsed="1" x14ac:dyDescent="0.35">
      <c r="B3" s="38"/>
      <c r="C3" s="38"/>
      <c r="D3" s="45" t="s">
        <v>140</v>
      </c>
      <c r="E3" s="46">
        <v>0.05</v>
      </c>
      <c r="F3" s="46">
        <v>0.1</v>
      </c>
      <c r="G3" s="46">
        <v>0.15</v>
      </c>
      <c r="H3" s="46">
        <v>0.2</v>
      </c>
      <c r="I3" s="46">
        <v>0.25</v>
      </c>
    </row>
    <row r="4" spans="2:9" ht="21.9" hidden="1" outlineLevel="1" x14ac:dyDescent="0.3">
      <c r="B4" s="41"/>
      <c r="C4" s="41"/>
      <c r="D4" s="35"/>
      <c r="E4" s="48" t="s">
        <v>148</v>
      </c>
      <c r="F4" s="48"/>
      <c r="G4" s="48"/>
      <c r="H4" s="48"/>
      <c r="I4" s="48"/>
    </row>
    <row r="5" spans="2:9" x14ac:dyDescent="0.3">
      <c r="B5" s="42" t="s">
        <v>139</v>
      </c>
      <c r="C5" s="42"/>
      <c r="D5" s="40"/>
      <c r="E5" s="40"/>
      <c r="F5" s="40"/>
      <c r="G5" s="40"/>
      <c r="H5" s="40"/>
      <c r="I5" s="40"/>
    </row>
    <row r="6" spans="2:9" outlineLevel="1" x14ac:dyDescent="0.3">
      <c r="B6" s="49" t="s">
        <v>145</v>
      </c>
      <c r="C6" s="41" t="s">
        <v>146</v>
      </c>
      <c r="D6" s="36">
        <v>0</v>
      </c>
      <c r="E6" s="47">
        <v>0.05</v>
      </c>
      <c r="F6" s="47">
        <v>0.1</v>
      </c>
      <c r="G6" s="47">
        <v>0.15</v>
      </c>
      <c r="H6" s="47">
        <v>0.2</v>
      </c>
      <c r="I6" s="47">
        <v>0.25</v>
      </c>
    </row>
    <row r="7" spans="2:9" x14ac:dyDescent="0.3">
      <c r="B7" s="42" t="s">
        <v>141</v>
      </c>
      <c r="C7" s="42"/>
      <c r="D7" s="40"/>
      <c r="E7" s="40"/>
      <c r="F7" s="40"/>
      <c r="G7" s="40"/>
      <c r="H7" s="40"/>
      <c r="I7" s="40"/>
    </row>
    <row r="8" spans="2:9" outlineLevel="1" x14ac:dyDescent="0.3">
      <c r="B8" s="41"/>
      <c r="C8" s="41">
        <f>Table12_2[[#This Row],[ID]]</f>
        <v>3907460</v>
      </c>
      <c r="D8" s="36">
        <v>0.97</v>
      </c>
      <c r="E8" s="36">
        <v>1.02</v>
      </c>
      <c r="F8" s="36">
        <v>1.07</v>
      </c>
      <c r="G8" s="36">
        <v>1.1200000000000001</v>
      </c>
      <c r="H8" s="36">
        <v>1.17</v>
      </c>
      <c r="I8" s="36">
        <v>1.22</v>
      </c>
    </row>
    <row r="9" spans="2:9" outlineLevel="1" x14ac:dyDescent="0.3">
      <c r="B9" s="41"/>
      <c r="C9" s="41">
        <f>Table12_2[[#This Row],[ID]]</f>
        <v>3796282</v>
      </c>
      <c r="D9" s="36">
        <v>0.94</v>
      </c>
      <c r="E9" s="36">
        <v>0.99</v>
      </c>
      <c r="F9" s="36">
        <v>1.04</v>
      </c>
      <c r="G9" s="36">
        <v>1.0900000000000001</v>
      </c>
      <c r="H9" s="36">
        <v>1.1399999999999999</v>
      </c>
      <c r="I9" s="36">
        <v>1.19</v>
      </c>
    </row>
    <row r="10" spans="2:9" outlineLevel="1" x14ac:dyDescent="0.3">
      <c r="B10" s="41"/>
      <c r="C10" s="41">
        <f>Table12_2[[#This Row],[ID]]</f>
        <v>4338882</v>
      </c>
      <c r="D10" s="36">
        <v>1</v>
      </c>
      <c r="E10" s="36">
        <v>1.05</v>
      </c>
      <c r="F10" s="36">
        <v>1.1000000000000001</v>
      </c>
      <c r="G10" s="36">
        <v>1.1499999999999999</v>
      </c>
      <c r="H10" s="36">
        <v>1.2</v>
      </c>
      <c r="I10" s="36">
        <v>1.25</v>
      </c>
    </row>
    <row r="11" spans="2:9" outlineLevel="1" x14ac:dyDescent="0.3">
      <c r="B11" s="41"/>
      <c r="C11" s="41">
        <f>Table12_2[[#This Row],[ID]]</f>
        <v>3987167</v>
      </c>
      <c r="D11" s="36">
        <v>0.92</v>
      </c>
      <c r="E11" s="36">
        <v>0.97</v>
      </c>
      <c r="F11" s="36">
        <v>1.02</v>
      </c>
      <c r="G11" s="36">
        <v>1.07</v>
      </c>
      <c r="H11" s="36">
        <v>1.1200000000000001</v>
      </c>
      <c r="I11" s="36">
        <v>1.17</v>
      </c>
    </row>
    <row r="12" spans="2:9" outlineLevel="1" x14ac:dyDescent="0.3">
      <c r="B12" s="41"/>
      <c r="C12" s="41">
        <f>Table12_2[[#This Row],[ID]]</f>
        <v>3891870</v>
      </c>
      <c r="D12" s="36">
        <v>0.9</v>
      </c>
      <c r="E12" s="36">
        <v>0.95</v>
      </c>
      <c r="F12" s="36">
        <v>1</v>
      </c>
      <c r="G12" s="36">
        <v>1.05</v>
      </c>
      <c r="H12" s="36">
        <v>1.1000000000000001</v>
      </c>
      <c r="I12" s="36">
        <v>1.1499999999999999</v>
      </c>
    </row>
    <row r="13" spans="2:9" outlineLevel="1" x14ac:dyDescent="0.3">
      <c r="B13" s="41"/>
      <c r="C13" s="41">
        <f>Table12_2[[#This Row],[ID]]</f>
        <v>3792943</v>
      </c>
      <c r="D13" s="36">
        <v>0.88</v>
      </c>
      <c r="E13" s="36">
        <v>0.93</v>
      </c>
      <c r="F13" s="36">
        <v>0.98</v>
      </c>
      <c r="G13" s="36">
        <v>1.03</v>
      </c>
      <c r="H13" s="36">
        <v>1.08</v>
      </c>
      <c r="I13" s="36">
        <v>1.1299999999999999</v>
      </c>
    </row>
    <row r="14" spans="2:9" outlineLevel="1" x14ac:dyDescent="0.3">
      <c r="B14" s="41"/>
      <c r="C14" s="41">
        <f>Table12_2[[#This Row],[ID]]</f>
        <v>4287925</v>
      </c>
      <c r="D14" s="36">
        <v>0.85</v>
      </c>
      <c r="E14" s="36">
        <v>0.9</v>
      </c>
      <c r="F14" s="36">
        <v>0.95</v>
      </c>
      <c r="G14" s="36">
        <v>1</v>
      </c>
      <c r="H14" s="36">
        <v>1.05</v>
      </c>
      <c r="I14" s="36">
        <v>1.1000000000000001</v>
      </c>
    </row>
    <row r="15" spans="2:9" outlineLevel="1" x14ac:dyDescent="0.3">
      <c r="B15" s="41"/>
      <c r="C15" s="41">
        <f>Table12_2[[#This Row],[ID]]</f>
        <v>3573311</v>
      </c>
      <c r="D15" s="36">
        <v>0.92</v>
      </c>
      <c r="E15" s="36">
        <v>0.97</v>
      </c>
      <c r="F15" s="36">
        <v>1.02</v>
      </c>
      <c r="G15" s="36">
        <v>1.07</v>
      </c>
      <c r="H15" s="36">
        <v>1.1200000000000001</v>
      </c>
      <c r="I15" s="36">
        <v>1.17</v>
      </c>
    </row>
    <row r="16" spans="2:9" outlineLevel="1" x14ac:dyDescent="0.3">
      <c r="B16" s="41"/>
      <c r="C16" s="41">
        <f>Table12_2[[#This Row],[ID]]</f>
        <v>4315310</v>
      </c>
      <c r="D16" s="36">
        <v>0.9</v>
      </c>
      <c r="E16" s="36">
        <v>0.95</v>
      </c>
      <c r="F16" s="36">
        <v>1</v>
      </c>
      <c r="G16" s="36">
        <v>1.05</v>
      </c>
      <c r="H16" s="36">
        <v>1.1000000000000001</v>
      </c>
      <c r="I16" s="36">
        <v>1.1499999999999999</v>
      </c>
    </row>
    <row r="17" spans="2:9" outlineLevel="1" x14ac:dyDescent="0.3">
      <c r="B17" s="41"/>
      <c r="C17" s="41">
        <f>Table12_2[[#This Row],[ID]]</f>
        <v>3880561</v>
      </c>
      <c r="D17" s="36">
        <v>0.92</v>
      </c>
      <c r="E17" s="36">
        <v>0.97</v>
      </c>
      <c r="F17" s="36">
        <v>1.02</v>
      </c>
      <c r="G17" s="36">
        <v>1.07</v>
      </c>
      <c r="H17" s="36">
        <v>1.1200000000000001</v>
      </c>
      <c r="I17" s="36">
        <v>1.17</v>
      </c>
    </row>
    <row r="18" spans="2:9" outlineLevel="1" x14ac:dyDescent="0.3">
      <c r="B18" s="41"/>
      <c r="C18" s="41">
        <f>Table12_2[[#This Row],[ID]]</f>
        <v>3991099</v>
      </c>
      <c r="D18" s="36">
        <v>0.88</v>
      </c>
      <c r="E18" s="36">
        <v>0.93</v>
      </c>
      <c r="F18" s="36">
        <v>0.98</v>
      </c>
      <c r="G18" s="36">
        <v>1.03</v>
      </c>
      <c r="H18" s="36">
        <v>1.08</v>
      </c>
      <c r="I18" s="36">
        <v>1.1299999999999999</v>
      </c>
    </row>
    <row r="19" spans="2:9" outlineLevel="1" x14ac:dyDescent="0.3">
      <c r="B19" s="41"/>
      <c r="C19" s="41">
        <f>Table12_2[[#This Row],[ID]]</f>
        <v>3752757</v>
      </c>
      <c r="D19" s="36">
        <v>0.83</v>
      </c>
      <c r="E19" s="36">
        <v>0.88</v>
      </c>
      <c r="F19" s="36">
        <v>0.93</v>
      </c>
      <c r="G19" s="36">
        <v>0.98</v>
      </c>
      <c r="H19" s="36">
        <v>1.03</v>
      </c>
      <c r="I19" s="36">
        <v>1.08</v>
      </c>
    </row>
    <row r="20" spans="2:9" outlineLevel="1" x14ac:dyDescent="0.3">
      <c r="B20" s="41"/>
      <c r="C20" s="41">
        <f>Table12_2[[#This Row],[ID]]</f>
        <v>4656844</v>
      </c>
      <c r="D20" s="36">
        <v>0.73</v>
      </c>
      <c r="E20" s="36">
        <v>0.78</v>
      </c>
      <c r="F20" s="36">
        <v>0.83</v>
      </c>
      <c r="G20" s="36">
        <v>0.88</v>
      </c>
      <c r="H20" s="36">
        <v>0.93</v>
      </c>
      <c r="I20" s="36">
        <v>0.98</v>
      </c>
    </row>
    <row r="21" spans="2:9" outlineLevel="1" x14ac:dyDescent="0.3">
      <c r="B21" s="41"/>
      <c r="C21" s="41">
        <f>Table12_2[[#This Row],[ID]]</f>
        <v>4088387</v>
      </c>
      <c r="D21" s="36">
        <v>0.78</v>
      </c>
      <c r="E21" s="36">
        <v>0.83</v>
      </c>
      <c r="F21" s="36">
        <v>0.88</v>
      </c>
      <c r="G21" s="36">
        <v>0.93</v>
      </c>
      <c r="H21" s="36">
        <v>0.98</v>
      </c>
      <c r="I21" s="36">
        <v>1.03</v>
      </c>
    </row>
    <row r="22" spans="2:9" outlineLevel="1" x14ac:dyDescent="0.3">
      <c r="B22" s="41"/>
      <c r="C22" s="41">
        <f>Table12_2[[#This Row],[ID]]</f>
        <v>4119236</v>
      </c>
      <c r="D22" s="36">
        <v>0.75</v>
      </c>
      <c r="E22" s="36">
        <v>0.8</v>
      </c>
      <c r="F22" s="36">
        <v>0.85</v>
      </c>
      <c r="G22" s="36">
        <v>0.9</v>
      </c>
      <c r="H22" s="36">
        <v>0.95</v>
      </c>
      <c r="I22" s="36">
        <v>1</v>
      </c>
    </row>
    <row r="23" spans="2:9" outlineLevel="1" x14ac:dyDescent="0.3">
      <c r="B23" s="41"/>
      <c r="C23" s="41">
        <f>Table12_2[[#This Row],[ID]]</f>
        <v>3533964</v>
      </c>
      <c r="D23" s="36">
        <v>0.78</v>
      </c>
      <c r="E23" s="36">
        <v>0.83</v>
      </c>
      <c r="F23" s="36">
        <v>0.88</v>
      </c>
      <c r="G23" s="36">
        <v>0.93</v>
      </c>
      <c r="H23" s="36">
        <v>0.98</v>
      </c>
      <c r="I23" s="36">
        <v>1.03</v>
      </c>
    </row>
    <row r="24" spans="2:9" outlineLevel="1" x14ac:dyDescent="0.3">
      <c r="B24" s="41"/>
      <c r="C24" s="41">
        <f>Table12_2[[#This Row],[ID]]</f>
        <v>4186334</v>
      </c>
      <c r="D24" s="36">
        <v>0.68</v>
      </c>
      <c r="E24" s="36">
        <v>0.73</v>
      </c>
      <c r="F24" s="36">
        <v>0.78</v>
      </c>
      <c r="G24" s="36">
        <v>0.83</v>
      </c>
      <c r="H24" s="36">
        <v>0.88</v>
      </c>
      <c r="I24" s="36">
        <v>0.93</v>
      </c>
    </row>
    <row r="25" spans="2:9" outlineLevel="1" x14ac:dyDescent="0.3">
      <c r="B25" s="41"/>
      <c r="C25" s="41">
        <f>Table12_2[[#This Row],[ID]]</f>
        <v>4233338</v>
      </c>
      <c r="D25" s="36">
        <v>0.75</v>
      </c>
      <c r="E25" s="36">
        <v>0.8</v>
      </c>
      <c r="F25" s="36">
        <v>0.85</v>
      </c>
      <c r="G25" s="36">
        <v>0.9</v>
      </c>
      <c r="H25" s="36">
        <v>0.95</v>
      </c>
      <c r="I25" s="36">
        <v>1</v>
      </c>
    </row>
    <row r="26" spans="2:9" outlineLevel="1" x14ac:dyDescent="0.3">
      <c r="B26" s="41"/>
      <c r="C26" s="41">
        <f>Table12_2[[#This Row],[ID]]</f>
        <v>3626479</v>
      </c>
      <c r="D26" s="36">
        <v>0.7</v>
      </c>
      <c r="E26" s="36">
        <v>0.75</v>
      </c>
      <c r="F26" s="36">
        <v>0.8</v>
      </c>
      <c r="G26" s="36">
        <v>0.85</v>
      </c>
      <c r="H26" s="36">
        <v>0.9</v>
      </c>
      <c r="I26" s="36">
        <v>0.95</v>
      </c>
    </row>
    <row r="27" spans="2:9" outlineLevel="1" x14ac:dyDescent="0.3">
      <c r="B27" s="41"/>
      <c r="C27" s="41">
        <f>Table12_2[[#This Row],[ID]]</f>
        <v>3598709</v>
      </c>
      <c r="D27" s="36">
        <v>0.7</v>
      </c>
      <c r="E27" s="36">
        <v>0.75</v>
      </c>
      <c r="F27" s="36">
        <v>0.8</v>
      </c>
      <c r="G27" s="36">
        <v>0.85</v>
      </c>
      <c r="H27" s="36">
        <v>0.9</v>
      </c>
      <c r="I27" s="36">
        <v>0.95</v>
      </c>
    </row>
    <row r="28" spans="2:9" outlineLevel="1" x14ac:dyDescent="0.3">
      <c r="B28" s="41"/>
      <c r="C28" s="41">
        <f>Table12_2[[#This Row],[ID]]</f>
        <v>4407988</v>
      </c>
      <c r="D28" s="36">
        <v>0.68</v>
      </c>
      <c r="E28" s="36">
        <v>0.73</v>
      </c>
      <c r="F28" s="36">
        <v>0.78</v>
      </c>
      <c r="G28" s="36">
        <v>0.83</v>
      </c>
      <c r="H28" s="36">
        <v>0.88</v>
      </c>
      <c r="I28" s="36">
        <v>0.93</v>
      </c>
    </row>
    <row r="29" spans="2:9" outlineLevel="1" x14ac:dyDescent="0.3">
      <c r="B29" s="41"/>
      <c r="C29" s="41">
        <f>Table12_2[[#This Row],[ID]]</f>
        <v>3708112</v>
      </c>
      <c r="D29" s="36">
        <v>0.61</v>
      </c>
      <c r="E29" s="36">
        <v>0.66</v>
      </c>
      <c r="F29" s="36">
        <v>0.71</v>
      </c>
      <c r="G29" s="36">
        <v>0.76</v>
      </c>
      <c r="H29" s="36">
        <v>0.81</v>
      </c>
      <c r="I29" s="36">
        <v>0.86</v>
      </c>
    </row>
    <row r="30" spans="2:9" outlineLevel="1" x14ac:dyDescent="0.3">
      <c r="B30" s="41"/>
      <c r="C30" s="41">
        <f>Table12_2[[#This Row],[ID]]</f>
        <v>3457538</v>
      </c>
      <c r="D30" s="36">
        <v>0.61</v>
      </c>
      <c r="E30" s="36">
        <v>0.66</v>
      </c>
      <c r="F30" s="36">
        <v>0.71</v>
      </c>
      <c r="G30" s="36">
        <v>0.76</v>
      </c>
      <c r="H30" s="36">
        <v>0.81</v>
      </c>
      <c r="I30" s="36">
        <v>0.86</v>
      </c>
    </row>
    <row r="31" spans="2:9" outlineLevel="1" x14ac:dyDescent="0.3">
      <c r="B31" s="41"/>
      <c r="C31" s="41">
        <f>Table12_2[[#This Row],[ID]]</f>
        <v>3348887</v>
      </c>
      <c r="D31" s="36">
        <v>0.69</v>
      </c>
      <c r="E31" s="36">
        <v>0.74</v>
      </c>
      <c r="F31" s="36">
        <v>0.79</v>
      </c>
      <c r="G31" s="36">
        <v>0.84</v>
      </c>
      <c r="H31" s="36">
        <v>0.89</v>
      </c>
      <c r="I31" s="36">
        <v>0.94</v>
      </c>
    </row>
    <row r="32" spans="2:9" ht="15" outlineLevel="1" thickBot="1" x14ac:dyDescent="0.35">
      <c r="B32" s="43"/>
      <c r="C32" s="41">
        <f>Table12_2[[#This Row],[ID]]</f>
        <v>3549212</v>
      </c>
      <c r="D32" s="37">
        <v>0.62</v>
      </c>
      <c r="E32" s="37">
        <v>0.67</v>
      </c>
      <c r="F32" s="37">
        <v>0.72</v>
      </c>
      <c r="G32" s="37">
        <v>0.77</v>
      </c>
      <c r="H32" s="37">
        <v>0.82</v>
      </c>
      <c r="I32" s="37">
        <v>0.87</v>
      </c>
    </row>
    <row r="33" spans="2:2" x14ac:dyDescent="0.3">
      <c r="B33" t="s">
        <v>142</v>
      </c>
    </row>
    <row r="34" spans="2:2" x14ac:dyDescent="0.3">
      <c r="B34" t="s">
        <v>143</v>
      </c>
    </row>
    <row r="35" spans="2:2" x14ac:dyDescent="0.3">
      <c r="B35" t="s">
        <v>144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FFF80-0B49-45FC-B0D0-F5A73F144153}">
  <sheetPr codeName="Sheet7"/>
  <dimension ref="A1:S122"/>
  <sheetViews>
    <sheetView workbookViewId="0">
      <selection activeCell="T9" sqref="T9"/>
    </sheetView>
  </sheetViews>
  <sheetFormatPr defaultRowHeight="14.4" x14ac:dyDescent="0.3"/>
  <cols>
    <col min="1" max="1" width="11" bestFit="1" customWidth="1"/>
    <col min="17" max="17" width="12.296875" customWidth="1"/>
  </cols>
  <sheetData>
    <row r="1" spans="1:19" x14ac:dyDescent="0.3">
      <c r="A1" s="9" t="s">
        <v>111</v>
      </c>
      <c r="B1" s="9" t="s">
        <v>2</v>
      </c>
      <c r="C1" s="9" t="s">
        <v>3</v>
      </c>
      <c r="D1" s="9" t="s">
        <v>4</v>
      </c>
      <c r="E1" s="9" t="s">
        <v>5</v>
      </c>
      <c r="F1" s="9" t="s">
        <v>6</v>
      </c>
      <c r="G1" s="9" t="s">
        <v>7</v>
      </c>
      <c r="H1" s="9" t="s">
        <v>8</v>
      </c>
      <c r="I1" s="9" t="s">
        <v>9</v>
      </c>
      <c r="J1" s="9" t="s">
        <v>10</v>
      </c>
      <c r="K1" s="9" t="s">
        <v>11</v>
      </c>
      <c r="L1" s="9" t="s">
        <v>12</v>
      </c>
      <c r="M1" s="9" t="s">
        <v>13</v>
      </c>
      <c r="N1" s="9" t="s">
        <v>14</v>
      </c>
      <c r="O1" s="9" t="s">
        <v>15</v>
      </c>
      <c r="P1" s="9" t="s">
        <v>16</v>
      </c>
      <c r="Q1" s="9" t="s">
        <v>30</v>
      </c>
      <c r="R1" s="9" t="s">
        <v>18</v>
      </c>
      <c r="S1" s="28" t="s">
        <v>121</v>
      </c>
    </row>
    <row r="2" spans="1:19" x14ac:dyDescent="0.3">
      <c r="A2" s="10"/>
      <c r="B2" s="10"/>
      <c r="C2" s="10"/>
      <c r="D2" s="76"/>
      <c r="E2" s="76"/>
      <c r="F2" s="76"/>
      <c r="G2" s="76"/>
      <c r="H2" s="76"/>
      <c r="I2" s="76"/>
      <c r="J2" s="76"/>
      <c r="K2" s="76"/>
      <c r="L2" s="76"/>
      <c r="M2" s="76"/>
      <c r="N2" s="76"/>
      <c r="O2" s="76"/>
      <c r="P2" s="76"/>
      <c r="Q2" s="76"/>
      <c r="R2" s="10"/>
      <c r="S2" s="10"/>
    </row>
    <row r="3" spans="1:19" ht="15" thickBot="1" x14ac:dyDescent="0.35"/>
    <row r="4" spans="1:19" ht="15.55" thickTop="1" thickBot="1" x14ac:dyDescent="0.35">
      <c r="A4" s="22" t="s">
        <v>114</v>
      </c>
      <c r="B4" s="22"/>
      <c r="C4" s="22"/>
      <c r="D4" s="77">
        <f>DMIN($A$9:$Q$122,D$9,$A$1:$S$2)</f>
        <v>0.52</v>
      </c>
      <c r="E4" s="77">
        <f t="shared" ref="E4:Q4" si="0">DMIN($A$9:$Q$122,E$9,$A$1:$S$2)</f>
        <v>0.54</v>
      </c>
      <c r="F4" s="77">
        <f t="shared" si="0"/>
        <v>0.45</v>
      </c>
      <c r="G4" s="77">
        <f t="shared" si="0"/>
        <v>0.5</v>
      </c>
      <c r="H4" s="77">
        <f t="shared" si="0"/>
        <v>0.45</v>
      </c>
      <c r="I4" s="77">
        <f t="shared" si="0"/>
        <v>0.5</v>
      </c>
      <c r="J4" s="77">
        <f t="shared" si="0"/>
        <v>0.45</v>
      </c>
      <c r="K4" s="77">
        <f t="shared" si="0"/>
        <v>0.51</v>
      </c>
      <c r="L4" s="77">
        <f t="shared" si="0"/>
        <v>0.45</v>
      </c>
      <c r="M4" s="77">
        <f t="shared" si="0"/>
        <v>0.46</v>
      </c>
      <c r="N4" s="77">
        <f t="shared" si="0"/>
        <v>0.49</v>
      </c>
      <c r="O4" s="77">
        <f t="shared" si="0"/>
        <v>0.45</v>
      </c>
      <c r="P4" s="77">
        <f t="shared" si="0"/>
        <v>0.45</v>
      </c>
      <c r="Q4" s="77">
        <f>DMIN($A$9:$Q$122,Q$9,$A$1:$S$2)</f>
        <v>0.56180000000000008</v>
      </c>
    </row>
    <row r="5" spans="1:19" ht="15.55" thickTop="1" thickBot="1" x14ac:dyDescent="0.35">
      <c r="A5" s="22" t="s">
        <v>115</v>
      </c>
      <c r="B5" s="22"/>
      <c r="C5" s="22"/>
      <c r="D5" s="77">
        <f>DMAX($A$9:$Q$122,D$9,$A$1:$S$2)</f>
        <v>1</v>
      </c>
      <c r="E5" s="77">
        <f t="shared" ref="E5:Q5" si="1">DMAX($A$9:$Q$122,E$9,$A$1:$S$2)</f>
        <v>1</v>
      </c>
      <c r="F5" s="77">
        <f t="shared" si="1"/>
        <v>1</v>
      </c>
      <c r="G5" s="77">
        <f t="shared" si="1"/>
        <v>0.98</v>
      </c>
      <c r="H5" s="77">
        <f t="shared" si="1"/>
        <v>1</v>
      </c>
      <c r="I5" s="77">
        <f t="shared" si="1"/>
        <v>1</v>
      </c>
      <c r="J5" s="77">
        <f t="shared" si="1"/>
        <v>1</v>
      </c>
      <c r="K5" s="77">
        <f t="shared" si="1"/>
        <v>1</v>
      </c>
      <c r="L5" s="77">
        <f t="shared" si="1"/>
        <v>1</v>
      </c>
      <c r="M5" s="77">
        <f t="shared" si="1"/>
        <v>1</v>
      </c>
      <c r="N5" s="77">
        <f t="shared" si="1"/>
        <v>0.99</v>
      </c>
      <c r="O5" s="77">
        <f t="shared" si="1"/>
        <v>1</v>
      </c>
      <c r="P5" s="77">
        <f t="shared" si="1"/>
        <v>1</v>
      </c>
      <c r="Q5" s="77">
        <f t="shared" si="1"/>
        <v>0.96150000000000002</v>
      </c>
    </row>
    <row r="6" spans="1:19" ht="15.55" thickTop="1" thickBot="1" x14ac:dyDescent="0.35">
      <c r="A6" s="22" t="s">
        <v>113</v>
      </c>
      <c r="B6" s="22"/>
      <c r="C6" s="22"/>
      <c r="D6" s="77">
        <f>DAVERAGE($A$9:$Q$122,D9,$A$1:$S$2)</f>
        <v>0.76</v>
      </c>
      <c r="E6" s="77">
        <f t="shared" ref="E6:Q6" si="2">DAVERAGE($A$9:$Q$122,E9,$A$1:$S$2)</f>
        <v>0.76982300884955723</v>
      </c>
      <c r="F6" s="77">
        <f t="shared" si="2"/>
        <v>0.76929203539822977</v>
      </c>
      <c r="G6" s="77">
        <f t="shared" si="2"/>
        <v>0.77123893805309729</v>
      </c>
      <c r="H6" s="77">
        <f t="shared" si="2"/>
        <v>0.76141592920353973</v>
      </c>
      <c r="I6" s="77">
        <f t="shared" si="2"/>
        <v>0.7767256637168144</v>
      </c>
      <c r="J6" s="77">
        <f t="shared" si="2"/>
        <v>0.76761061946902642</v>
      </c>
      <c r="K6" s="77">
        <f t="shared" si="2"/>
        <v>0.75938053097345126</v>
      </c>
      <c r="L6" s="77">
        <f t="shared" si="2"/>
        <v>0.74513274336283164</v>
      </c>
      <c r="M6" s="77">
        <f t="shared" si="2"/>
        <v>0.78017699115044203</v>
      </c>
      <c r="N6" s="77">
        <f t="shared" si="2"/>
        <v>0.76150442477876079</v>
      </c>
      <c r="O6" s="77">
        <f t="shared" si="2"/>
        <v>0.77132743362831857</v>
      </c>
      <c r="P6" s="77">
        <f t="shared" si="2"/>
        <v>0.76929203539822999</v>
      </c>
      <c r="Q6" s="77">
        <f t="shared" si="2"/>
        <v>0.76681150442477908</v>
      </c>
    </row>
    <row r="7" spans="1:19" ht="15" thickTop="1" x14ac:dyDescent="0.3"/>
    <row r="8" spans="1:19" x14ac:dyDescent="0.3">
      <c r="P8" s="20" t="s">
        <v>116</v>
      </c>
      <c r="Q8" s="20"/>
      <c r="R8" s="20"/>
      <c r="S8" s="14">
        <f>DCOUNT($A$9:$Q$122,D$9,_xlnm.Criteria)</f>
        <v>113</v>
      </c>
    </row>
    <row r="9" spans="1:19" x14ac:dyDescent="0.3">
      <c r="A9" s="16" t="s">
        <v>111</v>
      </c>
      <c r="B9" s="16" t="s">
        <v>2</v>
      </c>
      <c r="C9" s="16" t="s">
        <v>3</v>
      </c>
      <c r="D9" s="16" t="s">
        <v>4</v>
      </c>
      <c r="E9" s="16" t="s">
        <v>5</v>
      </c>
      <c r="F9" s="16" t="s">
        <v>6</v>
      </c>
      <c r="G9" s="16" t="s">
        <v>7</v>
      </c>
      <c r="H9" s="16" t="s">
        <v>8</v>
      </c>
      <c r="I9" s="16" t="s">
        <v>9</v>
      </c>
      <c r="J9" s="16" t="s">
        <v>10</v>
      </c>
      <c r="K9" s="16" t="s">
        <v>11</v>
      </c>
      <c r="L9" s="16" t="s">
        <v>12</v>
      </c>
      <c r="M9" s="16" t="s">
        <v>13</v>
      </c>
      <c r="N9" s="16" t="s">
        <v>14</v>
      </c>
      <c r="O9" s="16" t="s">
        <v>15</v>
      </c>
      <c r="P9" s="16" t="s">
        <v>16</v>
      </c>
      <c r="Q9" s="16" t="s">
        <v>30</v>
      </c>
      <c r="R9" s="16" t="s">
        <v>18</v>
      </c>
      <c r="S9" s="16" t="s">
        <v>121</v>
      </c>
    </row>
    <row r="10" spans="1:19" x14ac:dyDescent="0.3">
      <c r="A10" t="s">
        <v>107</v>
      </c>
      <c r="B10" t="s">
        <v>76</v>
      </c>
      <c r="C10" t="s">
        <v>44</v>
      </c>
      <c r="D10" s="2">
        <v>0.99</v>
      </c>
      <c r="E10" s="2">
        <v>0.92</v>
      </c>
      <c r="F10" s="2">
        <v>0.98</v>
      </c>
      <c r="G10" s="2">
        <v>0.88</v>
      </c>
      <c r="H10" s="2">
        <v>0.77</v>
      </c>
      <c r="I10" s="2">
        <v>0.98</v>
      </c>
      <c r="J10" s="2">
        <v>1</v>
      </c>
      <c r="K10" s="2">
        <v>0.76</v>
      </c>
      <c r="L10" s="2">
        <v>0.76</v>
      </c>
      <c r="M10" s="2">
        <v>0.87</v>
      </c>
      <c r="N10" s="2">
        <v>0.77</v>
      </c>
      <c r="O10" s="2">
        <v>0.96</v>
      </c>
      <c r="P10" s="2">
        <v>0.77</v>
      </c>
      <c r="Q10" s="2">
        <v>0.90580000000000016</v>
      </c>
      <c r="R10" s="2" t="s">
        <v>21</v>
      </c>
      <c r="S10" s="18">
        <v>0</v>
      </c>
    </row>
    <row r="11" spans="1:19" x14ac:dyDescent="0.3">
      <c r="A11" t="s">
        <v>107</v>
      </c>
      <c r="B11" t="s">
        <v>71</v>
      </c>
      <c r="C11" t="s">
        <v>39</v>
      </c>
      <c r="D11" s="2">
        <v>0.94</v>
      </c>
      <c r="E11" s="2">
        <v>0.94</v>
      </c>
      <c r="F11" s="2">
        <v>0.83</v>
      </c>
      <c r="G11" s="2">
        <v>0.96</v>
      </c>
      <c r="H11" s="2">
        <v>0.72</v>
      </c>
      <c r="I11" s="2">
        <v>0.79</v>
      </c>
      <c r="J11" s="2">
        <v>0.93</v>
      </c>
      <c r="K11" s="2">
        <v>0.78</v>
      </c>
      <c r="L11" s="2">
        <v>0.86</v>
      </c>
      <c r="M11" s="2">
        <v>0.93</v>
      </c>
      <c r="N11" s="2">
        <v>0.99</v>
      </c>
      <c r="O11" s="2">
        <v>0.98</v>
      </c>
      <c r="P11" s="2">
        <v>0.95</v>
      </c>
      <c r="Q11" s="2">
        <v>0.89459999999999984</v>
      </c>
      <c r="R11" s="2" t="s">
        <v>21</v>
      </c>
      <c r="S11" s="18">
        <v>3</v>
      </c>
    </row>
    <row r="12" spans="1:19" x14ac:dyDescent="0.3">
      <c r="A12" t="s">
        <v>107</v>
      </c>
      <c r="B12" t="s">
        <v>70</v>
      </c>
      <c r="C12" t="s">
        <v>38</v>
      </c>
      <c r="D12" s="2">
        <v>0.93</v>
      </c>
      <c r="E12" s="2">
        <v>0.84</v>
      </c>
      <c r="F12" s="2">
        <v>0.97</v>
      </c>
      <c r="G12" s="2">
        <v>0.7</v>
      </c>
      <c r="H12" s="2">
        <v>0.79</v>
      </c>
      <c r="I12" s="2">
        <v>0.83</v>
      </c>
      <c r="J12" s="2">
        <v>0.82</v>
      </c>
      <c r="K12" s="2">
        <v>0.82</v>
      </c>
      <c r="L12" s="2">
        <v>0.74</v>
      </c>
      <c r="M12" s="2">
        <v>0.81</v>
      </c>
      <c r="N12" s="2">
        <v>0.92</v>
      </c>
      <c r="O12" s="2">
        <v>0.92</v>
      </c>
      <c r="P12" s="2">
        <v>0.8</v>
      </c>
      <c r="Q12" s="2">
        <v>0.8649</v>
      </c>
      <c r="R12" s="2" t="s">
        <v>22</v>
      </c>
      <c r="S12" s="18">
        <v>2</v>
      </c>
    </row>
    <row r="13" spans="1:19" x14ac:dyDescent="0.3">
      <c r="A13" t="s">
        <v>107</v>
      </c>
      <c r="B13" t="s">
        <v>72</v>
      </c>
      <c r="C13" t="s">
        <v>40</v>
      </c>
      <c r="D13" s="2">
        <v>0.81</v>
      </c>
      <c r="E13" s="2">
        <v>0.91</v>
      </c>
      <c r="F13" s="2">
        <v>0.95</v>
      </c>
      <c r="G13" s="2">
        <v>0.78</v>
      </c>
      <c r="H13" s="2">
        <v>0.99</v>
      </c>
      <c r="I13" s="2">
        <v>0.88</v>
      </c>
      <c r="J13" s="2">
        <v>0.9</v>
      </c>
      <c r="K13" s="2">
        <v>0.76</v>
      </c>
      <c r="L13" s="2">
        <v>0.87</v>
      </c>
      <c r="M13" s="2">
        <v>1</v>
      </c>
      <c r="N13" s="2">
        <v>0.74</v>
      </c>
      <c r="O13" s="2">
        <v>0.76</v>
      </c>
      <c r="P13" s="2">
        <v>0.74</v>
      </c>
      <c r="Q13" s="2">
        <v>0.86470000000000002</v>
      </c>
      <c r="R13" s="2" t="s">
        <v>22</v>
      </c>
      <c r="S13" s="18">
        <v>0</v>
      </c>
    </row>
    <row r="14" spans="1:19" x14ac:dyDescent="0.3">
      <c r="A14" t="s">
        <v>107</v>
      </c>
      <c r="B14" t="s">
        <v>74</v>
      </c>
      <c r="C14" t="s">
        <v>42</v>
      </c>
      <c r="D14" s="2">
        <v>0.76</v>
      </c>
      <c r="E14" s="2">
        <v>0.83</v>
      </c>
      <c r="F14" s="2">
        <v>0.89</v>
      </c>
      <c r="G14" s="2">
        <v>0.74</v>
      </c>
      <c r="H14" s="2">
        <v>1</v>
      </c>
      <c r="I14" s="2">
        <v>0.9</v>
      </c>
      <c r="J14" s="2">
        <v>0.95</v>
      </c>
      <c r="K14" s="2">
        <v>0.81</v>
      </c>
      <c r="L14" s="2">
        <v>0.7</v>
      </c>
      <c r="M14" s="2">
        <v>0.97</v>
      </c>
      <c r="N14" s="2">
        <v>0.97</v>
      </c>
      <c r="O14" s="2">
        <v>0.88</v>
      </c>
      <c r="P14" s="2">
        <v>0.7</v>
      </c>
      <c r="Q14" s="2">
        <v>0.83919999999999995</v>
      </c>
      <c r="R14" s="2" t="s">
        <v>23</v>
      </c>
      <c r="S14" s="18">
        <v>3</v>
      </c>
    </row>
    <row r="15" spans="1:19" x14ac:dyDescent="0.3">
      <c r="A15" t="s">
        <v>107</v>
      </c>
      <c r="B15" t="s">
        <v>73</v>
      </c>
      <c r="C15" t="s">
        <v>41</v>
      </c>
      <c r="D15" s="2">
        <v>0.7</v>
      </c>
      <c r="E15" s="2">
        <v>0.93</v>
      </c>
      <c r="F15" s="2">
        <v>0.88</v>
      </c>
      <c r="G15" s="2">
        <v>0.72</v>
      </c>
      <c r="H15" s="2">
        <v>0.92</v>
      </c>
      <c r="I15" s="2">
        <v>0.76</v>
      </c>
      <c r="J15" s="2">
        <v>0.9</v>
      </c>
      <c r="K15" s="2">
        <v>0.78</v>
      </c>
      <c r="L15" s="2">
        <v>0.78</v>
      </c>
      <c r="M15" s="2">
        <v>0.93</v>
      </c>
      <c r="N15" s="2">
        <v>0.79</v>
      </c>
      <c r="O15" s="2">
        <v>0.98</v>
      </c>
      <c r="P15" s="2">
        <v>0.77</v>
      </c>
      <c r="Q15" s="2">
        <v>0.83289999999999997</v>
      </c>
      <c r="R15" s="2" t="s">
        <v>23</v>
      </c>
      <c r="S15" s="18">
        <v>0</v>
      </c>
    </row>
    <row r="16" spans="1:19" x14ac:dyDescent="0.3">
      <c r="A16" t="s">
        <v>107</v>
      </c>
      <c r="B16" t="s">
        <v>78</v>
      </c>
      <c r="C16" t="s">
        <v>46</v>
      </c>
      <c r="D16" s="2">
        <v>0.77</v>
      </c>
      <c r="E16" s="2">
        <v>0.94</v>
      </c>
      <c r="F16" s="2">
        <v>0.79</v>
      </c>
      <c r="G16" s="2">
        <v>0.98</v>
      </c>
      <c r="H16" s="2">
        <v>0.77</v>
      </c>
      <c r="I16" s="2">
        <v>0.92</v>
      </c>
      <c r="J16" s="2">
        <v>0.76</v>
      </c>
      <c r="K16" s="2">
        <v>0.82</v>
      </c>
      <c r="L16" s="2">
        <v>0.79</v>
      </c>
      <c r="M16" s="2">
        <v>0.96</v>
      </c>
      <c r="N16" s="2">
        <v>0.8</v>
      </c>
      <c r="O16" s="2">
        <v>0.77</v>
      </c>
      <c r="P16" s="2">
        <v>0.73</v>
      </c>
      <c r="Q16" s="2">
        <v>0.8246</v>
      </c>
      <c r="R16" s="2" t="s">
        <v>23</v>
      </c>
      <c r="S16" s="18">
        <v>1</v>
      </c>
    </row>
    <row r="17" spans="1:19" x14ac:dyDescent="0.3">
      <c r="A17" t="s">
        <v>107</v>
      </c>
      <c r="B17" t="s">
        <v>75</v>
      </c>
      <c r="C17" t="s">
        <v>43</v>
      </c>
      <c r="D17" s="2">
        <v>0.7</v>
      </c>
      <c r="E17" s="2">
        <v>0.93</v>
      </c>
      <c r="F17" s="2">
        <v>0.81</v>
      </c>
      <c r="G17" s="2">
        <v>0.9</v>
      </c>
      <c r="H17" s="2">
        <v>0.89</v>
      </c>
      <c r="I17" s="2">
        <v>0.85</v>
      </c>
      <c r="J17" s="2">
        <v>0.72</v>
      </c>
      <c r="K17" s="2">
        <v>0.72</v>
      </c>
      <c r="L17" s="2">
        <v>0.92</v>
      </c>
      <c r="M17" s="2">
        <v>1</v>
      </c>
      <c r="N17" s="2">
        <v>0.94</v>
      </c>
      <c r="O17" s="2">
        <v>0.7</v>
      </c>
      <c r="P17" s="2">
        <v>0.71</v>
      </c>
      <c r="Q17" s="2">
        <v>0.81670000000000009</v>
      </c>
      <c r="R17" s="2" t="s">
        <v>23</v>
      </c>
      <c r="S17" s="18">
        <v>0</v>
      </c>
    </row>
    <row r="18" spans="1:19" x14ac:dyDescent="0.3">
      <c r="A18" t="s">
        <v>107</v>
      </c>
      <c r="B18" t="s">
        <v>79</v>
      </c>
      <c r="C18" t="s">
        <v>47</v>
      </c>
      <c r="D18" s="2">
        <v>0.89</v>
      </c>
      <c r="E18" s="2">
        <v>0.63</v>
      </c>
      <c r="F18" s="2">
        <v>0.81</v>
      </c>
      <c r="G18" s="2">
        <v>0.61</v>
      </c>
      <c r="H18" s="2">
        <v>0.6</v>
      </c>
      <c r="I18" s="2">
        <v>0.82</v>
      </c>
      <c r="J18" s="2">
        <v>0.74</v>
      </c>
      <c r="K18" s="2">
        <v>0.88</v>
      </c>
      <c r="L18" s="2">
        <v>0.73</v>
      </c>
      <c r="M18" s="2">
        <v>0.88</v>
      </c>
      <c r="N18" s="2">
        <v>0.76</v>
      </c>
      <c r="O18" s="2">
        <v>0.67</v>
      </c>
      <c r="P18" s="2">
        <v>0.82</v>
      </c>
      <c r="Q18" s="2">
        <v>0.76729999999999998</v>
      </c>
      <c r="R18" s="2" t="s">
        <v>24</v>
      </c>
      <c r="S18" s="18">
        <v>1</v>
      </c>
    </row>
    <row r="19" spans="1:19" x14ac:dyDescent="0.3">
      <c r="A19" t="s">
        <v>107</v>
      </c>
      <c r="B19" t="s">
        <v>86</v>
      </c>
      <c r="C19" t="s">
        <v>54</v>
      </c>
      <c r="D19" s="2">
        <v>0.85</v>
      </c>
      <c r="E19" s="2">
        <v>0.78</v>
      </c>
      <c r="F19" s="2">
        <v>0.84</v>
      </c>
      <c r="G19" s="2">
        <v>0.63</v>
      </c>
      <c r="H19" s="2">
        <v>0.65</v>
      </c>
      <c r="I19" s="2">
        <v>0.64</v>
      </c>
      <c r="J19" s="2">
        <v>0.69</v>
      </c>
      <c r="K19" s="2">
        <v>0.88</v>
      </c>
      <c r="L19" s="2">
        <v>0.69</v>
      </c>
      <c r="M19" s="2">
        <v>0.65</v>
      </c>
      <c r="N19" s="2">
        <v>0.64</v>
      </c>
      <c r="O19" s="2">
        <v>0.66</v>
      </c>
      <c r="P19" s="2">
        <v>0.83</v>
      </c>
      <c r="Q19" s="2">
        <v>0.76679999999999982</v>
      </c>
      <c r="R19" s="2" t="s">
        <v>24</v>
      </c>
      <c r="S19" s="18">
        <v>1</v>
      </c>
    </row>
    <row r="20" spans="1:19" x14ac:dyDescent="0.3">
      <c r="A20" t="s">
        <v>107</v>
      </c>
      <c r="B20" t="s">
        <v>77</v>
      </c>
      <c r="C20" t="s">
        <v>45</v>
      </c>
      <c r="D20" s="2">
        <v>0.64</v>
      </c>
      <c r="E20" s="2">
        <v>0.81</v>
      </c>
      <c r="F20" s="2">
        <v>0.81</v>
      </c>
      <c r="G20" s="2">
        <v>0.6</v>
      </c>
      <c r="H20" s="2">
        <v>0.9</v>
      </c>
      <c r="I20" s="2">
        <v>0.9</v>
      </c>
      <c r="J20" s="2">
        <v>0.81</v>
      </c>
      <c r="K20" s="2">
        <v>0.61</v>
      </c>
      <c r="L20" s="2">
        <v>0.6</v>
      </c>
      <c r="M20" s="2">
        <v>0.65</v>
      </c>
      <c r="N20" s="2">
        <v>0.61</v>
      </c>
      <c r="O20" s="2">
        <v>0.88</v>
      </c>
      <c r="P20" s="2">
        <v>0.89</v>
      </c>
      <c r="Q20" s="2">
        <v>0.76300000000000001</v>
      </c>
      <c r="R20" s="2" t="s">
        <v>24</v>
      </c>
      <c r="S20" s="18">
        <v>1</v>
      </c>
    </row>
    <row r="21" spans="1:19" x14ac:dyDescent="0.3">
      <c r="A21" t="s">
        <v>107</v>
      </c>
      <c r="B21" t="s">
        <v>82</v>
      </c>
      <c r="C21" t="s">
        <v>50</v>
      </c>
      <c r="D21" s="2">
        <v>0.75</v>
      </c>
      <c r="E21" s="2">
        <v>0.72</v>
      </c>
      <c r="F21" s="2">
        <v>0.81</v>
      </c>
      <c r="G21" s="2">
        <v>0.69</v>
      </c>
      <c r="H21" s="2">
        <v>0.77</v>
      </c>
      <c r="I21" s="2">
        <v>0.69</v>
      </c>
      <c r="J21" s="2">
        <v>0.87</v>
      </c>
      <c r="K21" s="2">
        <v>0.82</v>
      </c>
      <c r="L21" s="2">
        <v>0.61</v>
      </c>
      <c r="M21" s="2">
        <v>0.67</v>
      </c>
      <c r="N21" s="2">
        <v>0.87</v>
      </c>
      <c r="O21" s="2">
        <v>0.7</v>
      </c>
      <c r="P21" s="2">
        <v>0.8</v>
      </c>
      <c r="Q21" s="2">
        <v>0.7603000000000002</v>
      </c>
      <c r="R21" s="2" t="s">
        <v>24</v>
      </c>
      <c r="S21" s="18">
        <v>2</v>
      </c>
    </row>
    <row r="22" spans="1:19" x14ac:dyDescent="0.3">
      <c r="A22" t="s">
        <v>107</v>
      </c>
      <c r="B22" t="s">
        <v>80</v>
      </c>
      <c r="C22" t="s">
        <v>48</v>
      </c>
      <c r="D22" s="2">
        <v>0.69</v>
      </c>
      <c r="E22" s="2">
        <v>0.64</v>
      </c>
      <c r="F22" s="2">
        <v>0.89</v>
      </c>
      <c r="G22" s="2">
        <v>0.85</v>
      </c>
      <c r="H22" s="2">
        <v>0.75</v>
      </c>
      <c r="I22" s="2">
        <v>0.65</v>
      </c>
      <c r="J22" s="2">
        <v>0.7</v>
      </c>
      <c r="K22" s="2">
        <v>0.68</v>
      </c>
      <c r="L22" s="2">
        <v>0.79</v>
      </c>
      <c r="M22" s="2">
        <v>0.88</v>
      </c>
      <c r="N22" s="2">
        <v>0.82</v>
      </c>
      <c r="O22" s="2">
        <v>0.83</v>
      </c>
      <c r="P22" s="2">
        <v>0.7</v>
      </c>
      <c r="Q22" s="2">
        <v>0.75499999999999989</v>
      </c>
      <c r="R22" s="2" t="s">
        <v>25</v>
      </c>
      <c r="S22" s="18">
        <v>2</v>
      </c>
    </row>
    <row r="23" spans="1:19" x14ac:dyDescent="0.3">
      <c r="A23" t="s">
        <v>107</v>
      </c>
      <c r="B23" t="s">
        <v>85</v>
      </c>
      <c r="C23" t="s">
        <v>53</v>
      </c>
      <c r="D23" s="2">
        <v>0.68</v>
      </c>
      <c r="E23" s="2">
        <v>0.74</v>
      </c>
      <c r="F23" s="2">
        <v>0.84</v>
      </c>
      <c r="G23" s="2">
        <v>0.74</v>
      </c>
      <c r="H23" s="2">
        <v>0.62</v>
      </c>
      <c r="I23" s="2">
        <v>0.84</v>
      </c>
      <c r="J23" s="2">
        <v>0.77</v>
      </c>
      <c r="K23" s="2">
        <v>0.61</v>
      </c>
      <c r="L23" s="2">
        <v>0.64</v>
      </c>
      <c r="M23" s="2">
        <v>0.77</v>
      </c>
      <c r="N23" s="2">
        <v>0.66</v>
      </c>
      <c r="O23" s="2">
        <v>0.8</v>
      </c>
      <c r="P23" s="2">
        <v>0.82</v>
      </c>
      <c r="Q23" s="2">
        <v>0.75069999999999992</v>
      </c>
      <c r="R23" s="2" t="s">
        <v>25</v>
      </c>
      <c r="S23" s="18">
        <v>2</v>
      </c>
    </row>
    <row r="24" spans="1:19" x14ac:dyDescent="0.3">
      <c r="A24" t="s">
        <v>107</v>
      </c>
      <c r="B24" t="s">
        <v>83</v>
      </c>
      <c r="C24" t="s">
        <v>51</v>
      </c>
      <c r="D24" s="2">
        <v>0.67</v>
      </c>
      <c r="E24" s="2">
        <v>0.6</v>
      </c>
      <c r="F24" s="2">
        <v>0.85</v>
      </c>
      <c r="G24" s="2">
        <v>0.67</v>
      </c>
      <c r="H24" s="2">
        <v>0.73</v>
      </c>
      <c r="I24" s="2">
        <v>0.74</v>
      </c>
      <c r="J24" s="2">
        <v>0.62</v>
      </c>
      <c r="K24" s="2">
        <v>0.71</v>
      </c>
      <c r="L24" s="2">
        <v>0.79</v>
      </c>
      <c r="M24" s="2">
        <v>0.75</v>
      </c>
      <c r="N24" s="2">
        <v>0.89</v>
      </c>
      <c r="O24" s="2">
        <v>0.6</v>
      </c>
      <c r="P24" s="2">
        <v>0.9</v>
      </c>
      <c r="Q24" s="2">
        <v>0.73809999999999987</v>
      </c>
      <c r="R24" s="2" t="s">
        <v>25</v>
      </c>
      <c r="S24" s="18">
        <v>3</v>
      </c>
    </row>
    <row r="25" spans="1:19" x14ac:dyDescent="0.3">
      <c r="A25" t="s">
        <v>107</v>
      </c>
      <c r="B25" t="s">
        <v>89</v>
      </c>
      <c r="C25" t="s">
        <v>56</v>
      </c>
      <c r="D25" s="2">
        <v>0.85</v>
      </c>
      <c r="E25" s="2">
        <v>0.68</v>
      </c>
      <c r="F25" s="2">
        <v>0.67</v>
      </c>
      <c r="G25" s="2">
        <v>0.77</v>
      </c>
      <c r="H25" s="2">
        <v>0.7</v>
      </c>
      <c r="I25" s="2">
        <v>0.61</v>
      </c>
      <c r="J25" s="2">
        <v>0.81</v>
      </c>
      <c r="K25" s="2">
        <v>0.74</v>
      </c>
      <c r="L25" s="2">
        <v>0.6</v>
      </c>
      <c r="M25" s="2">
        <v>0.75</v>
      </c>
      <c r="N25" s="2">
        <v>0.83</v>
      </c>
      <c r="O25" s="2">
        <v>0.82</v>
      </c>
      <c r="P25" s="2">
        <v>0.67</v>
      </c>
      <c r="Q25" s="2">
        <v>0.72459999999999991</v>
      </c>
      <c r="R25" s="2" t="s">
        <v>25</v>
      </c>
      <c r="S25" s="18">
        <v>0</v>
      </c>
    </row>
    <row r="26" spans="1:19" x14ac:dyDescent="0.3">
      <c r="A26" t="s">
        <v>107</v>
      </c>
      <c r="B26" t="s">
        <v>87</v>
      </c>
      <c r="C26" t="s">
        <v>55</v>
      </c>
      <c r="D26" s="2">
        <v>0.64</v>
      </c>
      <c r="E26" s="2">
        <v>0.84</v>
      </c>
      <c r="F26" s="2">
        <v>0.75</v>
      </c>
      <c r="G26" s="2">
        <v>0.63</v>
      </c>
      <c r="H26" s="2">
        <v>0.62</v>
      </c>
      <c r="I26" s="2">
        <v>0.8</v>
      </c>
      <c r="J26" s="2">
        <v>0.56999999999999995</v>
      </c>
      <c r="K26" s="2">
        <v>0.71</v>
      </c>
      <c r="L26" s="2">
        <v>0.82</v>
      </c>
      <c r="M26" s="2">
        <v>0.85</v>
      </c>
      <c r="N26" s="2">
        <v>0.75</v>
      </c>
      <c r="O26" s="2">
        <v>0.8</v>
      </c>
      <c r="P26" s="2">
        <v>0.64</v>
      </c>
      <c r="Q26" s="2">
        <v>0.72420000000000018</v>
      </c>
      <c r="R26" s="2" t="s">
        <v>25</v>
      </c>
      <c r="S26" s="18">
        <v>1</v>
      </c>
    </row>
    <row r="27" spans="1:19" x14ac:dyDescent="0.3">
      <c r="A27" t="s">
        <v>107</v>
      </c>
      <c r="B27" t="s">
        <v>92</v>
      </c>
      <c r="C27" t="s">
        <v>59</v>
      </c>
      <c r="D27" s="2">
        <v>0.75</v>
      </c>
      <c r="E27" s="2">
        <v>0.75</v>
      </c>
      <c r="F27" s="2">
        <v>0.64</v>
      </c>
      <c r="G27" s="2">
        <v>0.81</v>
      </c>
      <c r="H27" s="2">
        <v>0.62</v>
      </c>
      <c r="I27" s="2">
        <v>0.81</v>
      </c>
      <c r="J27" s="2">
        <v>0.71</v>
      </c>
      <c r="K27" s="2">
        <v>0.73</v>
      </c>
      <c r="L27" s="2">
        <v>0.81</v>
      </c>
      <c r="M27" s="2">
        <v>0.75</v>
      </c>
      <c r="N27" s="2">
        <v>0.67</v>
      </c>
      <c r="O27" s="2">
        <v>0.55000000000000004</v>
      </c>
      <c r="P27" s="2">
        <v>0.83</v>
      </c>
      <c r="Q27" s="2">
        <v>0.72389999999999999</v>
      </c>
      <c r="R27" s="2" t="s">
        <v>25</v>
      </c>
      <c r="S27" s="18">
        <v>0</v>
      </c>
    </row>
    <row r="28" spans="1:19" x14ac:dyDescent="0.3">
      <c r="A28" t="s">
        <v>107</v>
      </c>
      <c r="B28" t="s">
        <v>94</v>
      </c>
      <c r="C28" t="s">
        <v>61</v>
      </c>
      <c r="D28" s="2">
        <v>0.66</v>
      </c>
      <c r="E28" s="2">
        <v>0.6</v>
      </c>
      <c r="F28" s="2">
        <v>0.75</v>
      </c>
      <c r="G28" s="2">
        <v>0.76</v>
      </c>
      <c r="H28" s="2">
        <v>0.59</v>
      </c>
      <c r="I28" s="2">
        <v>0.84</v>
      </c>
      <c r="J28" s="2">
        <v>0.79</v>
      </c>
      <c r="K28" s="2">
        <v>0.74</v>
      </c>
      <c r="L28" s="2">
        <v>0.78</v>
      </c>
      <c r="M28" s="2">
        <v>0.74</v>
      </c>
      <c r="N28" s="2">
        <v>0.69</v>
      </c>
      <c r="O28" s="2">
        <v>0.79</v>
      </c>
      <c r="P28" s="2">
        <v>0.84</v>
      </c>
      <c r="Q28" s="2">
        <v>0.7215999999999998</v>
      </c>
      <c r="R28" s="2" t="s">
        <v>25</v>
      </c>
      <c r="S28" s="18">
        <v>3</v>
      </c>
    </row>
    <row r="29" spans="1:19" x14ac:dyDescent="0.3">
      <c r="A29" t="s">
        <v>107</v>
      </c>
      <c r="B29" t="s">
        <v>81</v>
      </c>
      <c r="C29" t="s">
        <v>49</v>
      </c>
      <c r="D29" s="2">
        <v>0.74</v>
      </c>
      <c r="E29" s="2">
        <v>0.73</v>
      </c>
      <c r="F29" s="2">
        <v>0.68</v>
      </c>
      <c r="G29" s="2">
        <v>0.6</v>
      </c>
      <c r="H29" s="2">
        <v>0.75</v>
      </c>
      <c r="I29" s="2">
        <v>0.72</v>
      </c>
      <c r="J29" s="2">
        <v>0.86</v>
      </c>
      <c r="K29" s="2">
        <v>0.71</v>
      </c>
      <c r="L29" s="2">
        <v>0.6</v>
      </c>
      <c r="M29" s="2">
        <v>0.7</v>
      </c>
      <c r="N29" s="2">
        <v>0.62</v>
      </c>
      <c r="O29" s="2">
        <v>0.88</v>
      </c>
      <c r="P29" s="2">
        <v>0.73</v>
      </c>
      <c r="Q29" s="2">
        <v>0.71640000000000004</v>
      </c>
      <c r="R29" s="2" t="s">
        <v>25</v>
      </c>
      <c r="S29" s="18">
        <v>2</v>
      </c>
    </row>
    <row r="30" spans="1:19" x14ac:dyDescent="0.3">
      <c r="A30" t="s">
        <v>107</v>
      </c>
      <c r="B30" t="s">
        <v>90</v>
      </c>
      <c r="C30" t="s">
        <v>57</v>
      </c>
      <c r="D30" s="2">
        <v>0.56000000000000005</v>
      </c>
      <c r="E30" s="2">
        <v>0.82</v>
      </c>
      <c r="F30" s="2">
        <v>0.84</v>
      </c>
      <c r="G30" s="2">
        <v>0.66</v>
      </c>
      <c r="H30" s="2">
        <v>0.69</v>
      </c>
      <c r="I30" s="2">
        <v>0.79</v>
      </c>
      <c r="J30" s="2">
        <v>0.76</v>
      </c>
      <c r="K30" s="2">
        <v>0.74</v>
      </c>
      <c r="L30" s="2">
        <v>0.72</v>
      </c>
      <c r="M30" s="2">
        <v>0.83</v>
      </c>
      <c r="N30" s="2">
        <v>0.55000000000000004</v>
      </c>
      <c r="O30" s="2">
        <v>0.67</v>
      </c>
      <c r="P30" s="2">
        <v>0.55000000000000004</v>
      </c>
      <c r="Q30" s="2">
        <v>0.71540000000000015</v>
      </c>
      <c r="R30" s="2" t="s">
        <v>25</v>
      </c>
      <c r="S30" s="18">
        <v>2</v>
      </c>
    </row>
    <row r="31" spans="1:19" x14ac:dyDescent="0.3">
      <c r="A31" t="s">
        <v>107</v>
      </c>
      <c r="B31" t="s">
        <v>91</v>
      </c>
      <c r="C31" t="s">
        <v>58</v>
      </c>
      <c r="D31" s="2">
        <v>0.85</v>
      </c>
      <c r="E31" s="2">
        <v>0.7</v>
      </c>
      <c r="F31" s="2">
        <v>0.84</v>
      </c>
      <c r="G31" s="2">
        <v>0.69</v>
      </c>
      <c r="H31" s="2">
        <v>0.55000000000000004</v>
      </c>
      <c r="I31" s="2">
        <v>0.55000000000000004</v>
      </c>
      <c r="J31" s="2">
        <v>0.6</v>
      </c>
      <c r="K31" s="2">
        <v>0.61</v>
      </c>
      <c r="L31" s="2">
        <v>0.56999999999999995</v>
      </c>
      <c r="M31" s="2">
        <v>0.59</v>
      </c>
      <c r="N31" s="2">
        <v>0.67</v>
      </c>
      <c r="O31" s="2">
        <v>0.59</v>
      </c>
      <c r="P31" s="2">
        <v>0.7</v>
      </c>
      <c r="Q31" s="2">
        <v>0.71119999999999994</v>
      </c>
      <c r="R31" s="2" t="s">
        <v>25</v>
      </c>
      <c r="S31" s="18">
        <v>2</v>
      </c>
    </row>
    <row r="32" spans="1:19" x14ac:dyDescent="0.3">
      <c r="A32" t="s">
        <v>107</v>
      </c>
      <c r="B32" t="s">
        <v>93</v>
      </c>
      <c r="C32" t="s">
        <v>60</v>
      </c>
      <c r="D32" s="2">
        <v>0.66</v>
      </c>
      <c r="E32" s="2">
        <v>0.67</v>
      </c>
      <c r="F32" s="2">
        <v>0.77</v>
      </c>
      <c r="G32" s="2">
        <v>0.67</v>
      </c>
      <c r="H32" s="2">
        <v>0.82</v>
      </c>
      <c r="I32" s="2">
        <v>0.7</v>
      </c>
      <c r="J32" s="2">
        <v>0.57999999999999996</v>
      </c>
      <c r="K32" s="2">
        <v>0.82</v>
      </c>
      <c r="L32" s="2">
        <v>0.82</v>
      </c>
      <c r="M32" s="2">
        <v>0.6</v>
      </c>
      <c r="N32" s="2">
        <v>0.82</v>
      </c>
      <c r="O32" s="2">
        <v>0.61</v>
      </c>
      <c r="P32" s="2">
        <v>0.63</v>
      </c>
      <c r="Q32" s="2">
        <v>0.70179999999999976</v>
      </c>
      <c r="R32" s="2" t="s">
        <v>26</v>
      </c>
      <c r="S32" s="18">
        <v>4</v>
      </c>
    </row>
    <row r="33" spans="1:19" x14ac:dyDescent="0.3">
      <c r="A33" t="s">
        <v>107</v>
      </c>
      <c r="B33" t="s">
        <v>98</v>
      </c>
      <c r="C33" t="s">
        <v>65</v>
      </c>
      <c r="D33" s="2">
        <v>0.66</v>
      </c>
      <c r="E33" s="2">
        <v>0.75</v>
      </c>
      <c r="F33" s="2">
        <v>0.66</v>
      </c>
      <c r="G33" s="2">
        <v>0.69</v>
      </c>
      <c r="H33" s="2">
        <v>0.46</v>
      </c>
      <c r="I33" s="2">
        <v>0.78</v>
      </c>
      <c r="J33" s="2">
        <v>0.77</v>
      </c>
      <c r="K33" s="2">
        <v>0.73</v>
      </c>
      <c r="L33" s="2">
        <v>0.52</v>
      </c>
      <c r="M33" s="2">
        <v>0.74</v>
      </c>
      <c r="N33" s="2">
        <v>0.49</v>
      </c>
      <c r="O33" s="2">
        <v>0.62</v>
      </c>
      <c r="P33" s="2">
        <v>0.73</v>
      </c>
      <c r="Q33" s="2">
        <v>0.67549999999999999</v>
      </c>
      <c r="R33" s="2" t="s">
        <v>27</v>
      </c>
      <c r="S33" s="18">
        <v>5</v>
      </c>
    </row>
    <row r="34" spans="1:19" x14ac:dyDescent="0.3">
      <c r="A34" t="s">
        <v>107</v>
      </c>
      <c r="B34" t="s">
        <v>88</v>
      </c>
      <c r="C34" t="s">
        <v>47</v>
      </c>
      <c r="D34" s="2">
        <v>0.67</v>
      </c>
      <c r="E34" s="2">
        <v>0.68</v>
      </c>
      <c r="F34" s="2">
        <v>0.64</v>
      </c>
      <c r="G34" s="2">
        <v>0.85</v>
      </c>
      <c r="H34" s="2">
        <v>0.63</v>
      </c>
      <c r="I34" s="2">
        <v>0.77</v>
      </c>
      <c r="J34" s="2">
        <v>0.79</v>
      </c>
      <c r="K34" s="2">
        <v>0.56999999999999995</v>
      </c>
      <c r="L34" s="2">
        <v>0.59</v>
      </c>
      <c r="M34" s="2">
        <v>0.78</v>
      </c>
      <c r="N34" s="2">
        <v>0.81</v>
      </c>
      <c r="O34" s="2">
        <v>0.56999999999999995</v>
      </c>
      <c r="P34" s="2">
        <v>0.55000000000000004</v>
      </c>
      <c r="Q34" s="2">
        <v>0.67030000000000001</v>
      </c>
      <c r="R34" s="2" t="s">
        <v>27</v>
      </c>
      <c r="S34" s="18">
        <v>2</v>
      </c>
    </row>
    <row r="35" spans="1:19" x14ac:dyDescent="0.3">
      <c r="A35" t="s">
        <v>107</v>
      </c>
      <c r="B35" t="s">
        <v>99</v>
      </c>
      <c r="C35" t="s">
        <v>68</v>
      </c>
      <c r="D35" s="2">
        <v>0.77</v>
      </c>
      <c r="E35" s="2">
        <v>0.54</v>
      </c>
      <c r="F35" s="2">
        <v>0.8</v>
      </c>
      <c r="G35" s="2">
        <v>0.7</v>
      </c>
      <c r="H35" s="2">
        <v>0.56000000000000005</v>
      </c>
      <c r="I35" s="2">
        <v>0.76</v>
      </c>
      <c r="J35" s="2">
        <v>0.56999999999999995</v>
      </c>
      <c r="K35" s="2">
        <v>0.56999999999999995</v>
      </c>
      <c r="L35" s="2">
        <v>0.46</v>
      </c>
      <c r="M35" s="2">
        <v>0.47</v>
      </c>
      <c r="N35" s="2">
        <v>0.68</v>
      </c>
      <c r="O35" s="2">
        <v>0.45</v>
      </c>
      <c r="P35" s="2">
        <v>0.73</v>
      </c>
      <c r="Q35" s="2">
        <v>0.66420000000000001</v>
      </c>
      <c r="R35" s="2" t="s">
        <v>27</v>
      </c>
      <c r="S35" s="18">
        <v>3</v>
      </c>
    </row>
    <row r="36" spans="1:19" x14ac:dyDescent="0.3">
      <c r="A36" t="s">
        <v>107</v>
      </c>
      <c r="B36" t="s">
        <v>97</v>
      </c>
      <c r="C36" t="s">
        <v>64</v>
      </c>
      <c r="D36" s="2">
        <v>0.54</v>
      </c>
      <c r="E36" s="2">
        <v>0.6</v>
      </c>
      <c r="F36" s="2">
        <v>0.66</v>
      </c>
      <c r="G36" s="2">
        <v>0.71</v>
      </c>
      <c r="H36" s="2">
        <v>0.78</v>
      </c>
      <c r="I36" s="2">
        <v>0.79</v>
      </c>
      <c r="J36" s="2">
        <v>0.64</v>
      </c>
      <c r="K36" s="2">
        <v>0.75</v>
      </c>
      <c r="L36" s="2">
        <v>0.53</v>
      </c>
      <c r="M36" s="2">
        <v>0.55000000000000004</v>
      </c>
      <c r="N36" s="2">
        <v>0.5</v>
      </c>
      <c r="O36" s="2">
        <v>0.8</v>
      </c>
      <c r="P36" s="2">
        <v>0.52</v>
      </c>
      <c r="Q36" s="2">
        <v>0.62620000000000009</v>
      </c>
      <c r="R36" s="2" t="s">
        <v>29</v>
      </c>
      <c r="S36" s="18">
        <v>5</v>
      </c>
    </row>
    <row r="37" spans="1:19" x14ac:dyDescent="0.3">
      <c r="A37" t="s">
        <v>107</v>
      </c>
      <c r="B37" t="s">
        <v>95</v>
      </c>
      <c r="C37" t="s">
        <v>62</v>
      </c>
      <c r="D37" s="2">
        <v>0.65</v>
      </c>
      <c r="E37" s="2">
        <v>0.6</v>
      </c>
      <c r="F37" s="2">
        <v>0.51</v>
      </c>
      <c r="G37" s="2">
        <v>0.61</v>
      </c>
      <c r="H37" s="2">
        <v>0.76</v>
      </c>
      <c r="I37" s="2">
        <v>0.5</v>
      </c>
      <c r="J37" s="2">
        <v>0.56999999999999995</v>
      </c>
      <c r="K37" s="2">
        <v>0.51</v>
      </c>
      <c r="L37" s="2">
        <v>0.63</v>
      </c>
      <c r="M37" s="2">
        <v>0.77</v>
      </c>
      <c r="N37" s="2">
        <v>0.64</v>
      </c>
      <c r="O37" s="2">
        <v>0.76</v>
      </c>
      <c r="P37" s="2">
        <v>0.78</v>
      </c>
      <c r="Q37" s="2">
        <v>0.6218999999999999</v>
      </c>
      <c r="R37" s="2" t="s">
        <v>29</v>
      </c>
      <c r="S37" s="18">
        <v>6</v>
      </c>
    </row>
    <row r="38" spans="1:19" x14ac:dyDescent="0.3">
      <c r="A38" t="s">
        <v>107</v>
      </c>
      <c r="B38" t="s">
        <v>96</v>
      </c>
      <c r="C38" t="s">
        <v>63</v>
      </c>
      <c r="D38" s="2">
        <v>0.55000000000000004</v>
      </c>
      <c r="E38" s="2">
        <v>0.76</v>
      </c>
      <c r="F38" s="2">
        <v>0.47</v>
      </c>
      <c r="G38" s="2">
        <v>0.76</v>
      </c>
      <c r="H38" s="2">
        <v>0.61</v>
      </c>
      <c r="I38" s="2">
        <v>0.5</v>
      </c>
      <c r="J38" s="2">
        <v>0.56000000000000005</v>
      </c>
      <c r="K38" s="2">
        <v>0.57999999999999996</v>
      </c>
      <c r="L38" s="2">
        <v>0.54</v>
      </c>
      <c r="M38" s="2">
        <v>0.69</v>
      </c>
      <c r="N38" s="2">
        <v>0.72</v>
      </c>
      <c r="O38" s="2">
        <v>0.62</v>
      </c>
      <c r="P38" s="2">
        <v>0.78</v>
      </c>
      <c r="Q38" s="2">
        <v>0.6160000000000001</v>
      </c>
      <c r="R38" s="2" t="s">
        <v>29</v>
      </c>
      <c r="S38" s="18">
        <v>4</v>
      </c>
    </row>
    <row r="39" spans="1:19" x14ac:dyDescent="0.3">
      <c r="A39" t="s">
        <v>107</v>
      </c>
      <c r="B39" t="s">
        <v>102</v>
      </c>
      <c r="C39" t="s">
        <v>69</v>
      </c>
      <c r="D39" s="2">
        <v>0.52</v>
      </c>
      <c r="E39" s="2">
        <v>0.56999999999999995</v>
      </c>
      <c r="F39" s="2">
        <v>0.66</v>
      </c>
      <c r="G39" s="2">
        <v>0.68</v>
      </c>
      <c r="H39" s="2">
        <v>0.79</v>
      </c>
      <c r="I39" s="2">
        <v>0.72</v>
      </c>
      <c r="J39" s="2">
        <v>0.49</v>
      </c>
      <c r="K39" s="2">
        <v>0.51</v>
      </c>
      <c r="L39" s="2">
        <v>0.48</v>
      </c>
      <c r="M39" s="2">
        <v>0.8</v>
      </c>
      <c r="N39" s="2">
        <v>0.64</v>
      </c>
      <c r="O39" s="2">
        <v>0.64</v>
      </c>
      <c r="P39" s="2">
        <v>0.56999999999999995</v>
      </c>
      <c r="Q39" s="2">
        <v>0.60929999999999995</v>
      </c>
      <c r="R39" s="2" t="s">
        <v>29</v>
      </c>
      <c r="S39" s="18">
        <v>5</v>
      </c>
    </row>
    <row r="40" spans="1:19" x14ac:dyDescent="0.3">
      <c r="A40" t="s">
        <v>107</v>
      </c>
      <c r="B40" t="s">
        <v>100</v>
      </c>
      <c r="C40" t="s">
        <v>67</v>
      </c>
      <c r="D40" s="2">
        <v>0.57999999999999996</v>
      </c>
      <c r="E40" s="2">
        <v>0.67</v>
      </c>
      <c r="F40" s="2">
        <v>0.56999999999999995</v>
      </c>
      <c r="G40" s="2">
        <v>0.69</v>
      </c>
      <c r="H40" s="2">
        <v>0.45</v>
      </c>
      <c r="I40" s="2">
        <v>0.67</v>
      </c>
      <c r="J40" s="2">
        <v>0.64</v>
      </c>
      <c r="K40" s="2">
        <v>0.65</v>
      </c>
      <c r="L40" s="2">
        <v>0.49</v>
      </c>
      <c r="M40" s="2">
        <v>0.65</v>
      </c>
      <c r="N40" s="2">
        <v>0.65</v>
      </c>
      <c r="O40" s="2">
        <v>0.49</v>
      </c>
      <c r="P40" s="2">
        <v>0.67</v>
      </c>
      <c r="Q40" s="2">
        <v>0.60820000000000007</v>
      </c>
      <c r="R40" s="2" t="s">
        <v>29</v>
      </c>
      <c r="S40" s="18">
        <v>2</v>
      </c>
    </row>
    <row r="41" spans="1:19" x14ac:dyDescent="0.3">
      <c r="A41" t="s">
        <v>107</v>
      </c>
      <c r="B41" t="s">
        <v>101</v>
      </c>
      <c r="C41" t="s">
        <v>66</v>
      </c>
      <c r="D41" s="2">
        <v>0.67</v>
      </c>
      <c r="E41" s="2">
        <v>0.66</v>
      </c>
      <c r="F41" s="2">
        <v>0.45</v>
      </c>
      <c r="G41" s="2">
        <v>0.5</v>
      </c>
      <c r="H41" s="2">
        <v>0.51</v>
      </c>
      <c r="I41" s="2">
        <v>0.5</v>
      </c>
      <c r="J41" s="2">
        <v>0.74</v>
      </c>
      <c r="K41" s="2">
        <v>0.75</v>
      </c>
      <c r="L41" s="2">
        <v>0.56000000000000005</v>
      </c>
      <c r="M41" s="2">
        <v>0.59</v>
      </c>
      <c r="N41" s="2">
        <v>0.49</v>
      </c>
      <c r="O41" s="2">
        <v>0.57999999999999996</v>
      </c>
      <c r="P41" s="2">
        <v>0.45</v>
      </c>
      <c r="Q41" s="2">
        <v>0.56580000000000008</v>
      </c>
      <c r="R41" s="2" t="s">
        <v>29</v>
      </c>
      <c r="S41" s="18">
        <v>4</v>
      </c>
    </row>
    <row r="42" spans="1:19" x14ac:dyDescent="0.3">
      <c r="A42" t="s">
        <v>107</v>
      </c>
      <c r="B42" t="s">
        <v>84</v>
      </c>
      <c r="C42" t="s">
        <v>52</v>
      </c>
      <c r="D42" s="2">
        <v>0.57999999999999996</v>
      </c>
      <c r="E42" s="2">
        <v>0.68</v>
      </c>
      <c r="F42" s="2">
        <v>0.46</v>
      </c>
      <c r="G42" s="2">
        <v>0.73</v>
      </c>
      <c r="H42" s="2">
        <v>0.46</v>
      </c>
      <c r="I42" s="2">
        <v>0.62</v>
      </c>
      <c r="J42" s="2">
        <v>0.45</v>
      </c>
      <c r="K42" s="2">
        <v>0.57999999999999996</v>
      </c>
      <c r="L42" s="2">
        <v>0.45</v>
      </c>
      <c r="M42" s="2">
        <v>0.46</v>
      </c>
      <c r="N42" s="2">
        <v>0.56000000000000005</v>
      </c>
      <c r="O42" s="2">
        <v>0.72</v>
      </c>
      <c r="P42" s="2">
        <v>0.56999999999999995</v>
      </c>
      <c r="Q42" s="2">
        <v>0.56180000000000008</v>
      </c>
      <c r="R42" s="2" t="s">
        <v>29</v>
      </c>
      <c r="S42" s="18">
        <v>3</v>
      </c>
    </row>
    <row r="43" spans="1:19" x14ac:dyDescent="0.3">
      <c r="A43" t="s">
        <v>108</v>
      </c>
      <c r="B43" t="s">
        <v>96</v>
      </c>
      <c r="C43" t="s">
        <v>48</v>
      </c>
      <c r="D43" s="2">
        <v>0.94</v>
      </c>
      <c r="E43" s="2">
        <v>0.83</v>
      </c>
      <c r="F43" s="2">
        <v>0.97</v>
      </c>
      <c r="G43" s="2">
        <v>0.85</v>
      </c>
      <c r="H43" s="2">
        <v>0.83</v>
      </c>
      <c r="I43" s="2">
        <v>1</v>
      </c>
      <c r="J43" s="2">
        <v>0.98</v>
      </c>
      <c r="K43" s="2">
        <v>0.98</v>
      </c>
      <c r="L43" s="2">
        <v>0.8</v>
      </c>
      <c r="M43" s="2">
        <v>0.94</v>
      </c>
      <c r="N43" s="2">
        <v>0.88</v>
      </c>
      <c r="O43" s="2">
        <v>0.8</v>
      </c>
      <c r="P43" s="2">
        <v>0.95</v>
      </c>
      <c r="Q43" s="2">
        <v>0.91350000000000009</v>
      </c>
      <c r="R43" s="2" t="s">
        <v>21</v>
      </c>
      <c r="S43" s="18">
        <v>1</v>
      </c>
    </row>
    <row r="44" spans="1:19" x14ac:dyDescent="0.3">
      <c r="A44" t="s">
        <v>108</v>
      </c>
      <c r="B44" t="s">
        <v>72</v>
      </c>
      <c r="C44" t="s">
        <v>57</v>
      </c>
      <c r="D44" s="2">
        <v>0.94</v>
      </c>
      <c r="E44" s="2">
        <v>0.96</v>
      </c>
      <c r="F44" s="2">
        <v>0.86</v>
      </c>
      <c r="G44" s="2">
        <v>0.81</v>
      </c>
      <c r="H44" s="2">
        <v>0.95</v>
      </c>
      <c r="I44" s="2">
        <v>0.99</v>
      </c>
      <c r="J44" s="2">
        <v>0.82</v>
      </c>
      <c r="K44" s="2">
        <v>0.94</v>
      </c>
      <c r="L44" s="2">
        <v>0.82</v>
      </c>
      <c r="M44" s="2">
        <v>0.81</v>
      </c>
      <c r="N44" s="2">
        <v>0.87</v>
      </c>
      <c r="O44" s="2">
        <v>0.92</v>
      </c>
      <c r="P44" s="2">
        <v>0.98</v>
      </c>
      <c r="Q44" s="2">
        <v>0.90789999999999982</v>
      </c>
      <c r="R44" s="2" t="s">
        <v>21</v>
      </c>
      <c r="S44" s="18">
        <v>3</v>
      </c>
    </row>
    <row r="45" spans="1:19" x14ac:dyDescent="0.3">
      <c r="A45" t="s">
        <v>108</v>
      </c>
      <c r="B45" t="s">
        <v>93</v>
      </c>
      <c r="C45" t="s">
        <v>66</v>
      </c>
      <c r="D45" s="2">
        <v>0.99</v>
      </c>
      <c r="E45" s="2">
        <v>1</v>
      </c>
      <c r="F45" s="2">
        <v>0.82</v>
      </c>
      <c r="G45" s="2">
        <v>0.88</v>
      </c>
      <c r="H45" s="2">
        <v>0.83</v>
      </c>
      <c r="I45" s="2">
        <v>0.99</v>
      </c>
      <c r="J45" s="2">
        <v>0.95</v>
      </c>
      <c r="K45" s="2">
        <v>0.95</v>
      </c>
      <c r="L45" s="2">
        <v>0.94</v>
      </c>
      <c r="M45" s="2">
        <v>0.82</v>
      </c>
      <c r="N45" s="2">
        <v>0.8</v>
      </c>
      <c r="O45" s="2">
        <v>0.92</v>
      </c>
      <c r="P45" s="2">
        <v>0.83</v>
      </c>
      <c r="Q45" s="2">
        <v>0.9052</v>
      </c>
      <c r="R45" s="2" t="s">
        <v>21</v>
      </c>
      <c r="S45" s="18">
        <v>3</v>
      </c>
    </row>
    <row r="46" spans="1:19" x14ac:dyDescent="0.3">
      <c r="A46" t="s">
        <v>108</v>
      </c>
      <c r="B46" t="s">
        <v>87</v>
      </c>
      <c r="C46" t="s">
        <v>53</v>
      </c>
      <c r="D46" s="2">
        <v>0.87</v>
      </c>
      <c r="E46" s="2">
        <v>0.83</v>
      </c>
      <c r="F46" s="2">
        <v>0.96</v>
      </c>
      <c r="G46" s="2">
        <v>0.98</v>
      </c>
      <c r="H46" s="2">
        <v>0.87</v>
      </c>
      <c r="I46" s="2">
        <v>0.82</v>
      </c>
      <c r="J46" s="2">
        <v>1</v>
      </c>
      <c r="K46" s="2">
        <v>0.96</v>
      </c>
      <c r="L46" s="2">
        <v>0.99</v>
      </c>
      <c r="M46" s="2">
        <v>0.82</v>
      </c>
      <c r="N46" s="2">
        <v>0.8</v>
      </c>
      <c r="O46" s="2">
        <v>0.83</v>
      </c>
      <c r="P46" s="2">
        <v>0.98</v>
      </c>
      <c r="Q46" s="2">
        <v>0.90450000000000008</v>
      </c>
      <c r="R46" s="2" t="s">
        <v>21</v>
      </c>
      <c r="S46" s="18">
        <v>3</v>
      </c>
    </row>
    <row r="47" spans="1:19" x14ac:dyDescent="0.3">
      <c r="A47" t="s">
        <v>108</v>
      </c>
      <c r="B47" t="s">
        <v>80</v>
      </c>
      <c r="C47" t="s">
        <v>42</v>
      </c>
      <c r="D47" s="2">
        <v>0.8</v>
      </c>
      <c r="E47" s="2">
        <v>0.83</v>
      </c>
      <c r="F47" s="2">
        <v>0.95</v>
      </c>
      <c r="G47" s="2">
        <v>0.89</v>
      </c>
      <c r="H47" s="2">
        <v>0.9</v>
      </c>
      <c r="I47" s="2">
        <v>0.94</v>
      </c>
      <c r="J47" s="2">
        <v>1</v>
      </c>
      <c r="K47" s="2">
        <v>0.87</v>
      </c>
      <c r="L47" s="2">
        <v>0.95</v>
      </c>
      <c r="M47" s="2">
        <v>0.93</v>
      </c>
      <c r="N47" s="2">
        <v>0.8</v>
      </c>
      <c r="O47" s="2">
        <v>0.87</v>
      </c>
      <c r="P47" s="2">
        <v>1</v>
      </c>
      <c r="Q47" s="2">
        <v>0.89780000000000026</v>
      </c>
      <c r="R47" s="2" t="s">
        <v>21</v>
      </c>
      <c r="S47" s="18">
        <v>2</v>
      </c>
    </row>
    <row r="48" spans="1:19" x14ac:dyDescent="0.3">
      <c r="A48" t="s">
        <v>108</v>
      </c>
      <c r="B48" t="s">
        <v>101</v>
      </c>
      <c r="C48" t="s">
        <v>69</v>
      </c>
      <c r="D48" s="2">
        <v>0.88</v>
      </c>
      <c r="E48" s="2">
        <v>0.96</v>
      </c>
      <c r="F48" s="2">
        <v>0.81</v>
      </c>
      <c r="G48" s="2">
        <v>0.96</v>
      </c>
      <c r="H48" s="2">
        <v>0.85</v>
      </c>
      <c r="I48" s="2">
        <v>0.93</v>
      </c>
      <c r="J48" s="2">
        <v>0.94</v>
      </c>
      <c r="K48" s="2">
        <v>0.85</v>
      </c>
      <c r="L48" s="2">
        <v>0.83</v>
      </c>
      <c r="M48" s="2">
        <v>0.86</v>
      </c>
      <c r="N48" s="2">
        <v>0.98</v>
      </c>
      <c r="O48" s="2">
        <v>0.87</v>
      </c>
      <c r="P48" s="2">
        <v>1</v>
      </c>
      <c r="Q48" s="2">
        <v>0.89760000000000006</v>
      </c>
      <c r="R48" s="2" t="s">
        <v>21</v>
      </c>
      <c r="S48" s="18">
        <v>2</v>
      </c>
    </row>
    <row r="49" spans="1:19" x14ac:dyDescent="0.3">
      <c r="A49" t="s">
        <v>108</v>
      </c>
      <c r="B49" t="s">
        <v>82</v>
      </c>
      <c r="C49" t="s">
        <v>52</v>
      </c>
      <c r="D49" s="2">
        <v>0.88</v>
      </c>
      <c r="E49" s="2">
        <v>0.84</v>
      </c>
      <c r="F49" s="2">
        <v>0.82</v>
      </c>
      <c r="G49" s="2">
        <v>0.75</v>
      </c>
      <c r="H49" s="2">
        <v>0.78</v>
      </c>
      <c r="I49" s="2">
        <v>0.86</v>
      </c>
      <c r="J49" s="2">
        <v>0.77</v>
      </c>
      <c r="K49" s="2">
        <v>0.89</v>
      </c>
      <c r="L49" s="2">
        <v>0.89</v>
      </c>
      <c r="M49" s="2">
        <v>0.83</v>
      </c>
      <c r="N49" s="2">
        <v>0.75</v>
      </c>
      <c r="O49" s="2">
        <v>0.75</v>
      </c>
      <c r="P49" s="2">
        <v>0.87</v>
      </c>
      <c r="Q49" s="2">
        <v>0.83140000000000003</v>
      </c>
      <c r="R49" s="2" t="s">
        <v>23</v>
      </c>
      <c r="S49" s="18">
        <v>2</v>
      </c>
    </row>
    <row r="50" spans="1:19" x14ac:dyDescent="0.3">
      <c r="A50" t="s">
        <v>108</v>
      </c>
      <c r="B50" t="s">
        <v>98</v>
      </c>
      <c r="C50" t="s">
        <v>50</v>
      </c>
      <c r="D50" s="2">
        <v>0.77</v>
      </c>
      <c r="E50" s="2">
        <v>0.9</v>
      </c>
      <c r="F50" s="2">
        <v>0.84</v>
      </c>
      <c r="G50" s="2">
        <v>0.78</v>
      </c>
      <c r="H50" s="2">
        <v>0.88</v>
      </c>
      <c r="I50" s="2">
        <v>0.79</v>
      </c>
      <c r="J50" s="2">
        <v>0.77</v>
      </c>
      <c r="K50" s="2">
        <v>0.87</v>
      </c>
      <c r="L50" s="2">
        <v>0.87</v>
      </c>
      <c r="M50" s="2">
        <v>0.81</v>
      </c>
      <c r="N50" s="2">
        <v>0.84</v>
      </c>
      <c r="O50" s="2">
        <v>0.78</v>
      </c>
      <c r="P50" s="2">
        <v>0.85</v>
      </c>
      <c r="Q50" s="2">
        <v>0.83129999999999993</v>
      </c>
      <c r="R50" s="2" t="s">
        <v>23</v>
      </c>
      <c r="S50" s="18">
        <v>3</v>
      </c>
    </row>
    <row r="51" spans="1:19" x14ac:dyDescent="0.3">
      <c r="A51" t="s">
        <v>108</v>
      </c>
      <c r="B51" t="s">
        <v>91</v>
      </c>
      <c r="C51" t="s">
        <v>45</v>
      </c>
      <c r="D51" s="2">
        <v>0.79</v>
      </c>
      <c r="E51" s="2">
        <v>0.86</v>
      </c>
      <c r="F51" s="2">
        <v>0.8</v>
      </c>
      <c r="G51" s="2">
        <v>0.81</v>
      </c>
      <c r="H51" s="2">
        <v>0.79</v>
      </c>
      <c r="I51" s="2">
        <v>0.88</v>
      </c>
      <c r="J51" s="2">
        <v>0.86</v>
      </c>
      <c r="K51" s="2">
        <v>0.84</v>
      </c>
      <c r="L51" s="2">
        <v>0.78</v>
      </c>
      <c r="M51" s="2">
        <v>0.86</v>
      </c>
      <c r="N51" s="2">
        <v>0.87</v>
      </c>
      <c r="O51" s="2">
        <v>0.89</v>
      </c>
      <c r="P51" s="2">
        <v>0.83</v>
      </c>
      <c r="Q51" s="2">
        <v>0.82710000000000006</v>
      </c>
      <c r="R51" s="2" t="s">
        <v>23</v>
      </c>
      <c r="S51" s="18">
        <v>2</v>
      </c>
    </row>
    <row r="52" spans="1:19" x14ac:dyDescent="0.3">
      <c r="A52" t="s">
        <v>108</v>
      </c>
      <c r="B52" t="s">
        <v>102</v>
      </c>
      <c r="C52" t="s">
        <v>60</v>
      </c>
      <c r="D52" s="2">
        <v>0.86</v>
      </c>
      <c r="E52" s="2">
        <v>0.78</v>
      </c>
      <c r="F52" s="2">
        <v>0.79</v>
      </c>
      <c r="G52" s="2">
        <v>0.9</v>
      </c>
      <c r="H52" s="2">
        <v>0.83</v>
      </c>
      <c r="I52" s="2">
        <v>0.87</v>
      </c>
      <c r="J52" s="2">
        <v>0.87</v>
      </c>
      <c r="K52" s="2">
        <v>0.8</v>
      </c>
      <c r="L52" s="2">
        <v>0.82</v>
      </c>
      <c r="M52" s="2">
        <v>0.88</v>
      </c>
      <c r="N52" s="2">
        <v>0.82</v>
      </c>
      <c r="O52" s="2">
        <v>0.78</v>
      </c>
      <c r="P52" s="2">
        <v>0.8</v>
      </c>
      <c r="Q52" s="2">
        <v>0.82150000000000012</v>
      </c>
      <c r="R52" s="2" t="s">
        <v>23</v>
      </c>
      <c r="S52" s="18">
        <v>3</v>
      </c>
    </row>
    <row r="53" spans="1:19" x14ac:dyDescent="0.3">
      <c r="A53" t="s">
        <v>108</v>
      </c>
      <c r="B53" t="s">
        <v>70</v>
      </c>
      <c r="C53" t="s">
        <v>39</v>
      </c>
      <c r="D53" s="2">
        <v>0.85</v>
      </c>
      <c r="E53" s="2">
        <v>0.83</v>
      </c>
      <c r="F53" s="2">
        <v>0.77</v>
      </c>
      <c r="G53" s="2">
        <v>0.82</v>
      </c>
      <c r="H53" s="2">
        <v>0.87</v>
      </c>
      <c r="I53" s="2">
        <v>0.84</v>
      </c>
      <c r="J53" s="2">
        <v>0.78</v>
      </c>
      <c r="K53" s="2">
        <v>0.76</v>
      </c>
      <c r="L53" s="2">
        <v>0.87</v>
      </c>
      <c r="M53" s="2">
        <v>0.85</v>
      </c>
      <c r="N53" s="2">
        <v>0.9</v>
      </c>
      <c r="O53" s="2">
        <v>0.76</v>
      </c>
      <c r="P53" s="2">
        <v>0.82</v>
      </c>
      <c r="Q53" s="2">
        <v>0.81910000000000005</v>
      </c>
      <c r="R53" s="2" t="s">
        <v>23</v>
      </c>
      <c r="S53" s="18">
        <v>1</v>
      </c>
    </row>
    <row r="54" spans="1:19" x14ac:dyDescent="0.3">
      <c r="A54" t="s">
        <v>108</v>
      </c>
      <c r="B54" t="s">
        <v>83</v>
      </c>
      <c r="C54" t="s">
        <v>68</v>
      </c>
      <c r="D54" s="2">
        <v>0.78</v>
      </c>
      <c r="E54" s="2">
        <v>0.8</v>
      </c>
      <c r="F54" s="2">
        <v>0.83</v>
      </c>
      <c r="G54" s="2">
        <v>0.8</v>
      </c>
      <c r="H54" s="2">
        <v>0.87</v>
      </c>
      <c r="I54" s="2">
        <v>0.88</v>
      </c>
      <c r="J54" s="2">
        <v>0.83</v>
      </c>
      <c r="K54" s="2">
        <v>0.77</v>
      </c>
      <c r="L54" s="2">
        <v>0.78</v>
      </c>
      <c r="M54" s="2">
        <v>0.9</v>
      </c>
      <c r="N54" s="2">
        <v>0.75</v>
      </c>
      <c r="O54" s="2">
        <v>0.82</v>
      </c>
      <c r="P54" s="2">
        <v>0.83</v>
      </c>
      <c r="Q54" s="2">
        <v>0.81580000000000008</v>
      </c>
      <c r="R54" s="2" t="s">
        <v>23</v>
      </c>
      <c r="S54" s="18">
        <v>3</v>
      </c>
    </row>
    <row r="55" spans="1:19" x14ac:dyDescent="0.3">
      <c r="A55" t="s">
        <v>108</v>
      </c>
      <c r="B55" t="s">
        <v>81</v>
      </c>
      <c r="C55" t="s">
        <v>44</v>
      </c>
      <c r="D55" s="2">
        <v>0.76</v>
      </c>
      <c r="E55" s="2">
        <v>0.77</v>
      </c>
      <c r="F55" s="2">
        <v>0.81</v>
      </c>
      <c r="G55" s="2">
        <v>0.87</v>
      </c>
      <c r="H55" s="2">
        <v>0.89</v>
      </c>
      <c r="I55" s="2">
        <v>0.82</v>
      </c>
      <c r="J55" s="2">
        <v>0.88</v>
      </c>
      <c r="K55" s="2">
        <v>0.77</v>
      </c>
      <c r="L55" s="2">
        <v>0.79</v>
      </c>
      <c r="M55" s="2">
        <v>0.9</v>
      </c>
      <c r="N55" s="2">
        <v>0.9</v>
      </c>
      <c r="O55" s="2">
        <v>0.82</v>
      </c>
      <c r="P55" s="2">
        <v>0.82</v>
      </c>
      <c r="Q55" s="2">
        <v>0.81369999999999998</v>
      </c>
      <c r="R55" s="2" t="s">
        <v>23</v>
      </c>
      <c r="S55" s="18">
        <v>1</v>
      </c>
    </row>
    <row r="56" spans="1:19" x14ac:dyDescent="0.3">
      <c r="A56" t="s">
        <v>108</v>
      </c>
      <c r="B56" t="s">
        <v>85</v>
      </c>
      <c r="C56" t="s">
        <v>46</v>
      </c>
      <c r="D56" s="2">
        <v>0.82</v>
      </c>
      <c r="E56" s="2">
        <v>0.76</v>
      </c>
      <c r="F56" s="2">
        <v>0.8</v>
      </c>
      <c r="G56" s="2">
        <v>0.9</v>
      </c>
      <c r="H56" s="2">
        <v>0.77</v>
      </c>
      <c r="I56" s="2">
        <v>0.76</v>
      </c>
      <c r="J56" s="2">
        <v>0.81</v>
      </c>
      <c r="K56" s="2">
        <v>0.82</v>
      </c>
      <c r="L56" s="2">
        <v>0.79</v>
      </c>
      <c r="M56" s="2">
        <v>0.87</v>
      </c>
      <c r="N56" s="2">
        <v>0.86</v>
      </c>
      <c r="O56" s="2">
        <v>0.83</v>
      </c>
      <c r="P56" s="2">
        <v>0.8</v>
      </c>
      <c r="Q56" s="2">
        <v>0.80580000000000007</v>
      </c>
      <c r="R56" s="2" t="s">
        <v>23</v>
      </c>
      <c r="S56" s="18">
        <v>0</v>
      </c>
    </row>
    <row r="57" spans="1:19" x14ac:dyDescent="0.3">
      <c r="A57" t="s">
        <v>108</v>
      </c>
      <c r="B57" t="s">
        <v>88</v>
      </c>
      <c r="C57" t="s">
        <v>56</v>
      </c>
      <c r="D57" s="2">
        <v>0.78</v>
      </c>
      <c r="E57" s="2">
        <v>0.75</v>
      </c>
      <c r="F57" s="2">
        <v>0.85</v>
      </c>
      <c r="G57" s="2">
        <v>0.79</v>
      </c>
      <c r="H57" s="2">
        <v>0.82</v>
      </c>
      <c r="I57" s="2">
        <v>0.79</v>
      </c>
      <c r="J57" s="2">
        <v>0.86</v>
      </c>
      <c r="K57" s="2">
        <v>0.82</v>
      </c>
      <c r="L57" s="2">
        <v>0.78</v>
      </c>
      <c r="M57" s="2">
        <v>0.8</v>
      </c>
      <c r="N57" s="2">
        <v>0.75</v>
      </c>
      <c r="O57" s="2">
        <v>0.79</v>
      </c>
      <c r="P57" s="2">
        <v>0.79</v>
      </c>
      <c r="Q57" s="2">
        <v>0.79909999999999992</v>
      </c>
      <c r="R57" s="2" t="s">
        <v>23</v>
      </c>
      <c r="S57" s="18">
        <v>1</v>
      </c>
    </row>
    <row r="58" spans="1:19" x14ac:dyDescent="0.3">
      <c r="A58" t="s">
        <v>108</v>
      </c>
      <c r="B58" t="s">
        <v>75</v>
      </c>
      <c r="C58" t="s">
        <v>58</v>
      </c>
      <c r="D58" s="2">
        <v>0.8</v>
      </c>
      <c r="E58" s="2">
        <v>0.66</v>
      </c>
      <c r="F58" s="2">
        <v>0.8</v>
      </c>
      <c r="G58" s="2">
        <v>0.8</v>
      </c>
      <c r="H58" s="2">
        <v>0.72</v>
      </c>
      <c r="I58" s="2">
        <v>0.67</v>
      </c>
      <c r="J58" s="2">
        <v>0.72</v>
      </c>
      <c r="K58" s="2">
        <v>0.76</v>
      </c>
      <c r="L58" s="2">
        <v>0.78</v>
      </c>
      <c r="M58" s="2">
        <v>0.66</v>
      </c>
      <c r="N58" s="2">
        <v>0.73</v>
      </c>
      <c r="O58" s="2">
        <v>0.77</v>
      </c>
      <c r="P58" s="2">
        <v>0.75</v>
      </c>
      <c r="Q58" s="2">
        <v>0.74750000000000005</v>
      </c>
      <c r="R58" s="2" t="s">
        <v>25</v>
      </c>
      <c r="S58" s="18">
        <v>1</v>
      </c>
    </row>
    <row r="59" spans="1:19" x14ac:dyDescent="0.3">
      <c r="A59" t="s">
        <v>108</v>
      </c>
      <c r="B59" t="s">
        <v>97</v>
      </c>
      <c r="C59" t="s">
        <v>47</v>
      </c>
      <c r="D59" s="2">
        <v>0.8</v>
      </c>
      <c r="E59" s="2">
        <v>0.78</v>
      </c>
      <c r="F59" s="2">
        <v>0.8</v>
      </c>
      <c r="G59" s="2">
        <v>0.69</v>
      </c>
      <c r="H59" s="2">
        <v>0.8</v>
      </c>
      <c r="I59" s="2">
        <v>0.66</v>
      </c>
      <c r="J59" s="2">
        <v>0.66</v>
      </c>
      <c r="K59" s="2">
        <v>0.7</v>
      </c>
      <c r="L59" s="2">
        <v>0.76</v>
      </c>
      <c r="M59" s="2">
        <v>0.67</v>
      </c>
      <c r="N59" s="2">
        <v>0.65</v>
      </c>
      <c r="O59" s="2">
        <v>0.76</v>
      </c>
      <c r="P59" s="2">
        <v>0.68</v>
      </c>
      <c r="Q59" s="2">
        <v>0.7471000000000001</v>
      </c>
      <c r="R59" s="2" t="s">
        <v>25</v>
      </c>
      <c r="S59" s="18">
        <v>0</v>
      </c>
    </row>
    <row r="60" spans="1:19" x14ac:dyDescent="0.3">
      <c r="A60" t="s">
        <v>108</v>
      </c>
      <c r="B60" t="s">
        <v>79</v>
      </c>
      <c r="C60" t="s">
        <v>55</v>
      </c>
      <c r="D60" s="2">
        <v>0.72</v>
      </c>
      <c r="E60" s="2">
        <v>0.76</v>
      </c>
      <c r="F60" s="2">
        <v>0.8</v>
      </c>
      <c r="G60" s="2">
        <v>0.78</v>
      </c>
      <c r="H60" s="2">
        <v>0.74</v>
      </c>
      <c r="I60" s="2">
        <v>0.68</v>
      </c>
      <c r="J60" s="2">
        <v>0.72</v>
      </c>
      <c r="K60" s="2">
        <v>0.72</v>
      </c>
      <c r="L60" s="2">
        <v>0.74</v>
      </c>
      <c r="M60" s="2">
        <v>0.78</v>
      </c>
      <c r="N60" s="2">
        <v>0.73</v>
      </c>
      <c r="O60" s="2">
        <v>0.7</v>
      </c>
      <c r="P60" s="2">
        <v>0.69</v>
      </c>
      <c r="Q60" s="2">
        <v>0.74380000000000002</v>
      </c>
      <c r="R60" s="2" t="s">
        <v>25</v>
      </c>
      <c r="S60" s="18">
        <v>0</v>
      </c>
    </row>
    <row r="61" spans="1:19" x14ac:dyDescent="0.3">
      <c r="A61" t="s">
        <v>108</v>
      </c>
      <c r="B61" t="s">
        <v>78</v>
      </c>
      <c r="C61" t="s">
        <v>43</v>
      </c>
      <c r="D61" s="2">
        <v>0.67</v>
      </c>
      <c r="E61" s="2">
        <v>0.76</v>
      </c>
      <c r="F61" s="2">
        <v>0.79</v>
      </c>
      <c r="G61" s="2">
        <v>0.8</v>
      </c>
      <c r="H61" s="2">
        <v>0.77</v>
      </c>
      <c r="I61" s="2">
        <v>0.73</v>
      </c>
      <c r="J61" s="2">
        <v>0.77</v>
      </c>
      <c r="K61" s="2">
        <v>0.65</v>
      </c>
      <c r="L61" s="2">
        <v>0.65</v>
      </c>
      <c r="M61" s="2">
        <v>0.73</v>
      </c>
      <c r="N61" s="2">
        <v>0.8</v>
      </c>
      <c r="O61" s="2">
        <v>0.67</v>
      </c>
      <c r="P61" s="2">
        <v>0.77</v>
      </c>
      <c r="Q61" s="2">
        <v>0.7430000000000001</v>
      </c>
      <c r="R61" s="2" t="s">
        <v>25</v>
      </c>
      <c r="S61" s="18">
        <v>1</v>
      </c>
    </row>
    <row r="62" spans="1:19" x14ac:dyDescent="0.3">
      <c r="A62" t="s">
        <v>108</v>
      </c>
      <c r="B62" t="s">
        <v>89</v>
      </c>
      <c r="C62" t="s">
        <v>47</v>
      </c>
      <c r="D62" s="2">
        <v>0.72</v>
      </c>
      <c r="E62" s="2">
        <v>0.79</v>
      </c>
      <c r="F62" s="2">
        <v>0.71</v>
      </c>
      <c r="G62" s="2">
        <v>0.73</v>
      </c>
      <c r="H62" s="2">
        <v>0.8</v>
      </c>
      <c r="I62" s="2">
        <v>0.65</v>
      </c>
      <c r="J62" s="2">
        <v>0.66</v>
      </c>
      <c r="K62" s="2">
        <v>0.72</v>
      </c>
      <c r="L62" s="2">
        <v>0.69</v>
      </c>
      <c r="M62" s="2">
        <v>0.66</v>
      </c>
      <c r="N62" s="2">
        <v>0.72</v>
      </c>
      <c r="O62" s="2">
        <v>0.77</v>
      </c>
      <c r="P62" s="2">
        <v>0.76</v>
      </c>
      <c r="Q62" s="2">
        <v>0.7289000000000001</v>
      </c>
      <c r="R62" s="2" t="s">
        <v>25</v>
      </c>
      <c r="S62" s="18">
        <v>2</v>
      </c>
    </row>
    <row r="63" spans="1:19" x14ac:dyDescent="0.3">
      <c r="A63" t="s">
        <v>108</v>
      </c>
      <c r="B63" t="s">
        <v>90</v>
      </c>
      <c r="C63" t="s">
        <v>49</v>
      </c>
      <c r="D63" s="2">
        <v>0.75</v>
      </c>
      <c r="E63" s="2">
        <v>0.72</v>
      </c>
      <c r="F63" s="2">
        <v>0.65</v>
      </c>
      <c r="G63" s="2">
        <v>0.75</v>
      </c>
      <c r="H63" s="2">
        <v>0.77</v>
      </c>
      <c r="I63" s="2">
        <v>0.71</v>
      </c>
      <c r="J63" s="2">
        <v>0.79</v>
      </c>
      <c r="K63" s="2">
        <v>0.77</v>
      </c>
      <c r="L63" s="2">
        <v>0.67</v>
      </c>
      <c r="M63" s="2">
        <v>0.75</v>
      </c>
      <c r="N63" s="2">
        <v>0.8</v>
      </c>
      <c r="O63" s="2">
        <v>0.73</v>
      </c>
      <c r="P63" s="2">
        <v>0.77</v>
      </c>
      <c r="Q63" s="2">
        <v>0.72730000000000006</v>
      </c>
      <c r="R63" s="2" t="s">
        <v>25</v>
      </c>
      <c r="S63" s="18">
        <v>0</v>
      </c>
    </row>
    <row r="64" spans="1:19" x14ac:dyDescent="0.3">
      <c r="A64" t="s">
        <v>108</v>
      </c>
      <c r="B64" t="s">
        <v>84</v>
      </c>
      <c r="C64" t="s">
        <v>51</v>
      </c>
      <c r="D64" s="2">
        <v>0.72</v>
      </c>
      <c r="E64" s="2">
        <v>0.7</v>
      </c>
      <c r="F64" s="2">
        <v>0.73</v>
      </c>
      <c r="G64" s="2">
        <v>0.69</v>
      </c>
      <c r="H64" s="2">
        <v>0.67</v>
      </c>
      <c r="I64" s="2">
        <v>0.7</v>
      </c>
      <c r="J64" s="2">
        <v>0.8</v>
      </c>
      <c r="K64" s="2">
        <v>0.75</v>
      </c>
      <c r="L64" s="2">
        <v>0.76</v>
      </c>
      <c r="M64" s="2">
        <v>0.76</v>
      </c>
      <c r="N64" s="2">
        <v>0.66</v>
      </c>
      <c r="O64" s="2">
        <v>0.73</v>
      </c>
      <c r="P64" s="2">
        <v>0.75</v>
      </c>
      <c r="Q64" s="2">
        <v>0.72339999999999982</v>
      </c>
      <c r="R64" s="2" t="s">
        <v>25</v>
      </c>
      <c r="S64" s="18">
        <v>0</v>
      </c>
    </row>
    <row r="65" spans="1:19" x14ac:dyDescent="0.3">
      <c r="A65" t="s">
        <v>108</v>
      </c>
      <c r="B65" t="s">
        <v>99</v>
      </c>
      <c r="C65" t="s">
        <v>65</v>
      </c>
      <c r="D65" s="2">
        <v>0.68</v>
      </c>
      <c r="E65" s="2">
        <v>0.71</v>
      </c>
      <c r="F65" s="2">
        <v>0.68</v>
      </c>
      <c r="G65" s="2">
        <v>0.8</v>
      </c>
      <c r="H65" s="2">
        <v>0.66</v>
      </c>
      <c r="I65" s="2">
        <v>0.67</v>
      </c>
      <c r="J65" s="2">
        <v>0.74</v>
      </c>
      <c r="K65" s="2">
        <v>0.68</v>
      </c>
      <c r="L65" s="2">
        <v>0.74</v>
      </c>
      <c r="M65" s="2">
        <v>0.67</v>
      </c>
      <c r="N65" s="2">
        <v>0.67</v>
      </c>
      <c r="O65" s="2">
        <v>0.76</v>
      </c>
      <c r="P65" s="2">
        <v>0.67</v>
      </c>
      <c r="Q65" s="2">
        <v>0.6958000000000002</v>
      </c>
      <c r="R65" s="2" t="s">
        <v>26</v>
      </c>
      <c r="S65" s="18">
        <v>1</v>
      </c>
    </row>
    <row r="66" spans="1:19" x14ac:dyDescent="0.3">
      <c r="A66" t="s">
        <v>108</v>
      </c>
      <c r="B66" t="s">
        <v>100</v>
      </c>
      <c r="C66" t="s">
        <v>54</v>
      </c>
      <c r="D66" s="2">
        <v>0.65</v>
      </c>
      <c r="E66" s="2">
        <v>0.65</v>
      </c>
      <c r="F66" s="2">
        <v>0.68</v>
      </c>
      <c r="G66" s="2">
        <v>0.74</v>
      </c>
      <c r="H66" s="2">
        <v>0.65</v>
      </c>
      <c r="I66" s="2">
        <v>0.7</v>
      </c>
      <c r="J66" s="2">
        <v>0.77</v>
      </c>
      <c r="K66" s="2">
        <v>0.66</v>
      </c>
      <c r="L66" s="2">
        <v>0.68</v>
      </c>
      <c r="M66" s="2">
        <v>0.72</v>
      </c>
      <c r="N66" s="2">
        <v>0.66</v>
      </c>
      <c r="O66" s="2">
        <v>0.8</v>
      </c>
      <c r="P66" s="2">
        <v>0.76</v>
      </c>
      <c r="Q66" s="2">
        <v>0.69080000000000008</v>
      </c>
      <c r="R66" s="2" t="s">
        <v>26</v>
      </c>
      <c r="S66" s="18">
        <v>3</v>
      </c>
    </row>
    <row r="67" spans="1:19" x14ac:dyDescent="0.3">
      <c r="A67" t="s">
        <v>108</v>
      </c>
      <c r="B67" t="s">
        <v>74</v>
      </c>
      <c r="C67" t="s">
        <v>62</v>
      </c>
      <c r="D67" s="2">
        <v>0.57999999999999996</v>
      </c>
      <c r="E67" s="2">
        <v>0.67</v>
      </c>
      <c r="F67" s="2">
        <v>0.68</v>
      </c>
      <c r="G67" s="2">
        <v>0.56999999999999995</v>
      </c>
      <c r="H67" s="2">
        <v>0.63</v>
      </c>
      <c r="I67" s="2">
        <v>0.7</v>
      </c>
      <c r="J67" s="2">
        <v>0.61</v>
      </c>
      <c r="K67" s="2">
        <v>0.66</v>
      </c>
      <c r="L67" s="2">
        <v>0.64</v>
      </c>
      <c r="M67" s="2">
        <v>0.69</v>
      </c>
      <c r="N67" s="2">
        <v>0.61</v>
      </c>
      <c r="O67" s="2">
        <v>0.65</v>
      </c>
      <c r="P67" s="2">
        <v>0.65</v>
      </c>
      <c r="Q67" s="2">
        <v>0.64399999999999991</v>
      </c>
      <c r="R67" s="2" t="s">
        <v>28</v>
      </c>
      <c r="S67" s="18">
        <v>2</v>
      </c>
    </row>
    <row r="68" spans="1:19" x14ac:dyDescent="0.3">
      <c r="A68" t="s">
        <v>108</v>
      </c>
      <c r="B68" t="s">
        <v>95</v>
      </c>
      <c r="C68" t="s">
        <v>38</v>
      </c>
      <c r="D68" s="2">
        <v>0.65</v>
      </c>
      <c r="E68" s="2">
        <v>0.7</v>
      </c>
      <c r="F68" s="2">
        <v>0.69</v>
      </c>
      <c r="G68" s="2">
        <v>0.68</v>
      </c>
      <c r="H68" s="2">
        <v>0.69</v>
      </c>
      <c r="I68" s="2">
        <v>0.56999999999999995</v>
      </c>
      <c r="J68" s="2">
        <v>0.55000000000000004</v>
      </c>
      <c r="K68" s="2">
        <v>0.57999999999999996</v>
      </c>
      <c r="L68" s="2">
        <v>0.61</v>
      </c>
      <c r="M68" s="2">
        <v>0.56000000000000005</v>
      </c>
      <c r="N68" s="2">
        <v>0.56000000000000005</v>
      </c>
      <c r="O68" s="2">
        <v>0.65</v>
      </c>
      <c r="P68" s="2">
        <v>0.56999999999999995</v>
      </c>
      <c r="Q68" s="2">
        <v>0.64040000000000008</v>
      </c>
      <c r="R68" s="2" t="s">
        <v>28</v>
      </c>
      <c r="S68" s="18">
        <v>1</v>
      </c>
    </row>
    <row r="69" spans="1:19" x14ac:dyDescent="0.3">
      <c r="A69" t="s">
        <v>108</v>
      </c>
      <c r="B69" t="s">
        <v>92</v>
      </c>
      <c r="C69" t="s">
        <v>63</v>
      </c>
      <c r="D69" s="2">
        <v>0.7</v>
      </c>
      <c r="E69" s="2">
        <v>0.57999999999999996</v>
      </c>
      <c r="F69" s="2">
        <v>0.55000000000000004</v>
      </c>
      <c r="G69" s="2">
        <v>0.62</v>
      </c>
      <c r="H69" s="2">
        <v>0.64</v>
      </c>
      <c r="I69" s="2">
        <v>0.62</v>
      </c>
      <c r="J69" s="2">
        <v>0.67</v>
      </c>
      <c r="K69" s="2">
        <v>0.64</v>
      </c>
      <c r="L69" s="2">
        <v>0.62</v>
      </c>
      <c r="M69" s="2">
        <v>0.68</v>
      </c>
      <c r="N69" s="2">
        <v>0.66</v>
      </c>
      <c r="O69" s="2">
        <v>0.55000000000000004</v>
      </c>
      <c r="P69" s="2">
        <v>0.68</v>
      </c>
      <c r="Q69" s="2">
        <v>0.62350000000000017</v>
      </c>
      <c r="R69" s="2" t="s">
        <v>29</v>
      </c>
      <c r="S69" s="18">
        <v>4</v>
      </c>
    </row>
    <row r="70" spans="1:19" x14ac:dyDescent="0.3">
      <c r="A70" t="s">
        <v>108</v>
      </c>
      <c r="B70" t="s">
        <v>94</v>
      </c>
      <c r="C70" t="s">
        <v>67</v>
      </c>
      <c r="D70" s="2">
        <v>0.56999999999999995</v>
      </c>
      <c r="E70" s="2">
        <v>0.55000000000000004</v>
      </c>
      <c r="F70" s="2">
        <v>0.68</v>
      </c>
      <c r="G70" s="2">
        <v>0.69</v>
      </c>
      <c r="H70" s="2">
        <v>0.62</v>
      </c>
      <c r="I70" s="2">
        <v>0.66</v>
      </c>
      <c r="J70" s="2">
        <v>0.56999999999999995</v>
      </c>
      <c r="K70" s="2">
        <v>0.56999999999999995</v>
      </c>
      <c r="L70" s="2">
        <v>0.62</v>
      </c>
      <c r="M70" s="2">
        <v>0.7</v>
      </c>
      <c r="N70" s="2">
        <v>0.56000000000000005</v>
      </c>
      <c r="O70" s="2">
        <v>0.7</v>
      </c>
      <c r="P70" s="2">
        <v>0.56999999999999995</v>
      </c>
      <c r="Q70" s="2">
        <v>0.61399999999999988</v>
      </c>
      <c r="R70" s="2" t="s">
        <v>29</v>
      </c>
      <c r="S70" s="18">
        <v>2</v>
      </c>
    </row>
    <row r="71" spans="1:19" x14ac:dyDescent="0.3">
      <c r="A71" t="s">
        <v>108</v>
      </c>
      <c r="B71" t="s">
        <v>77</v>
      </c>
      <c r="C71" t="s">
        <v>61</v>
      </c>
      <c r="D71" s="2">
        <v>0.55000000000000004</v>
      </c>
      <c r="E71" s="2">
        <v>0.65</v>
      </c>
      <c r="F71" s="2">
        <v>0.66</v>
      </c>
      <c r="G71" s="2">
        <v>0.57999999999999996</v>
      </c>
      <c r="H71" s="2">
        <v>0.59</v>
      </c>
      <c r="I71" s="2">
        <v>0.56000000000000005</v>
      </c>
      <c r="J71" s="2">
        <v>0.69</v>
      </c>
      <c r="K71" s="2">
        <v>0.65</v>
      </c>
      <c r="L71" s="2">
        <v>0.62</v>
      </c>
      <c r="M71" s="2">
        <v>0.56000000000000005</v>
      </c>
      <c r="N71" s="2">
        <v>0.56000000000000005</v>
      </c>
      <c r="O71" s="2">
        <v>0.64</v>
      </c>
      <c r="P71" s="2">
        <v>0.56000000000000005</v>
      </c>
      <c r="Q71" s="2">
        <v>0.61019999999999996</v>
      </c>
      <c r="R71" s="2" t="s">
        <v>29</v>
      </c>
      <c r="S71" s="18">
        <v>3</v>
      </c>
    </row>
    <row r="72" spans="1:19" x14ac:dyDescent="0.3">
      <c r="A72" t="s">
        <v>108</v>
      </c>
      <c r="B72" t="s">
        <v>71</v>
      </c>
      <c r="C72" t="s">
        <v>59</v>
      </c>
      <c r="D72" s="2">
        <v>0.63</v>
      </c>
      <c r="E72" s="2">
        <v>0.56000000000000005</v>
      </c>
      <c r="F72" s="2">
        <v>0.56999999999999995</v>
      </c>
      <c r="G72" s="2">
        <v>0.55000000000000004</v>
      </c>
      <c r="H72" s="2">
        <v>0.67</v>
      </c>
      <c r="I72" s="2">
        <v>0.67</v>
      </c>
      <c r="J72" s="2">
        <v>0.66</v>
      </c>
      <c r="K72" s="2">
        <v>0.65</v>
      </c>
      <c r="L72" s="2">
        <v>0.67</v>
      </c>
      <c r="M72" s="2">
        <v>0.64</v>
      </c>
      <c r="N72" s="2">
        <v>0.62</v>
      </c>
      <c r="O72" s="2">
        <v>0.63</v>
      </c>
      <c r="P72" s="2">
        <v>0.57999999999999996</v>
      </c>
      <c r="Q72" s="2">
        <v>0.60640000000000005</v>
      </c>
      <c r="R72" s="2" t="s">
        <v>29</v>
      </c>
      <c r="S72" s="18">
        <v>5</v>
      </c>
    </row>
    <row r="73" spans="1:19" x14ac:dyDescent="0.3">
      <c r="A73" t="s">
        <v>109</v>
      </c>
      <c r="B73" t="s">
        <v>76</v>
      </c>
      <c r="C73" t="s">
        <v>44</v>
      </c>
      <c r="D73" s="2">
        <v>0.92</v>
      </c>
      <c r="E73" s="2">
        <v>0.98</v>
      </c>
      <c r="F73" s="2">
        <v>0.92</v>
      </c>
      <c r="G73" s="2">
        <v>0.96</v>
      </c>
      <c r="H73" s="2">
        <v>0.98</v>
      </c>
      <c r="I73" s="2">
        <v>0.91</v>
      </c>
      <c r="J73" s="2">
        <v>0.95</v>
      </c>
      <c r="K73" s="2">
        <v>0.97</v>
      </c>
      <c r="L73" s="2">
        <v>0.9</v>
      </c>
      <c r="M73" s="2">
        <v>1</v>
      </c>
      <c r="N73" s="2">
        <v>0.95</v>
      </c>
      <c r="O73" s="2">
        <v>0.98</v>
      </c>
      <c r="P73" s="2">
        <v>0.93</v>
      </c>
      <c r="Q73" s="2">
        <v>0.94400000000000028</v>
      </c>
      <c r="R73" s="2" t="s">
        <v>20</v>
      </c>
      <c r="S73" s="18">
        <v>0</v>
      </c>
    </row>
    <row r="74" spans="1:19" x14ac:dyDescent="0.3">
      <c r="A74" t="s">
        <v>109</v>
      </c>
      <c r="B74" t="s">
        <v>73</v>
      </c>
      <c r="C74" t="s">
        <v>39</v>
      </c>
      <c r="D74" s="2">
        <v>0.95</v>
      </c>
      <c r="E74" s="2">
        <v>0.93</v>
      </c>
      <c r="F74" s="2">
        <v>0.94</v>
      </c>
      <c r="G74" s="2">
        <v>0.98</v>
      </c>
      <c r="H74" s="2">
        <v>0.96</v>
      </c>
      <c r="I74" s="2">
        <v>0.98</v>
      </c>
      <c r="J74" s="2">
        <v>0.95</v>
      </c>
      <c r="K74" s="2">
        <v>0.96</v>
      </c>
      <c r="L74" s="2">
        <v>1</v>
      </c>
      <c r="M74" s="2">
        <v>0.98</v>
      </c>
      <c r="N74" s="2">
        <v>0.92</v>
      </c>
      <c r="O74" s="2">
        <v>0.9</v>
      </c>
      <c r="P74" s="2">
        <v>0.99</v>
      </c>
      <c r="Q74" s="2">
        <v>0.95290000000000008</v>
      </c>
      <c r="R74" s="2" t="s">
        <v>20</v>
      </c>
      <c r="S74" s="18">
        <v>1</v>
      </c>
    </row>
    <row r="75" spans="1:19" x14ac:dyDescent="0.3">
      <c r="A75" t="s">
        <v>109</v>
      </c>
      <c r="B75" t="s">
        <v>86</v>
      </c>
      <c r="C75" t="s">
        <v>38</v>
      </c>
      <c r="D75" s="2">
        <v>1</v>
      </c>
      <c r="E75" s="2">
        <v>0.94</v>
      </c>
      <c r="F75" s="2">
        <v>0.97</v>
      </c>
      <c r="G75" s="2">
        <v>0.9</v>
      </c>
      <c r="H75" s="2">
        <v>0.91</v>
      </c>
      <c r="I75" s="2">
        <v>1</v>
      </c>
      <c r="J75" s="2">
        <v>0.93</v>
      </c>
      <c r="K75" s="2">
        <v>0.94</v>
      </c>
      <c r="L75" s="2">
        <v>0.98</v>
      </c>
      <c r="M75" s="2">
        <v>0.96</v>
      </c>
      <c r="N75" s="2">
        <v>0.97</v>
      </c>
      <c r="O75" s="2">
        <v>1</v>
      </c>
      <c r="P75" s="2">
        <v>0.9</v>
      </c>
      <c r="Q75" s="2">
        <v>0.95600000000000007</v>
      </c>
      <c r="R75" s="2" t="s">
        <v>20</v>
      </c>
      <c r="S75" s="18">
        <v>0</v>
      </c>
    </row>
    <row r="76" spans="1:19" x14ac:dyDescent="0.3">
      <c r="A76" t="s">
        <v>109</v>
      </c>
      <c r="B76" t="s">
        <v>92</v>
      </c>
      <c r="C76" t="s">
        <v>40</v>
      </c>
      <c r="D76" s="2">
        <v>0.99</v>
      </c>
      <c r="E76" s="2">
        <v>0.85</v>
      </c>
      <c r="F76" s="2">
        <v>0.88</v>
      </c>
      <c r="G76" s="2">
        <v>0.85</v>
      </c>
      <c r="H76" s="2">
        <v>0.91</v>
      </c>
      <c r="I76" s="2">
        <v>0.96</v>
      </c>
      <c r="J76" s="2">
        <v>0.86</v>
      </c>
      <c r="K76" s="2">
        <v>0.95</v>
      </c>
      <c r="L76" s="2">
        <v>0.85</v>
      </c>
      <c r="M76" s="2">
        <v>0.86</v>
      </c>
      <c r="N76" s="2">
        <v>0.97</v>
      </c>
      <c r="O76" s="2">
        <v>0.91</v>
      </c>
      <c r="P76" s="2">
        <v>0.9</v>
      </c>
      <c r="Q76" s="2">
        <v>0.90260000000000018</v>
      </c>
      <c r="R76" s="2" t="s">
        <v>20</v>
      </c>
      <c r="S76" s="18">
        <v>3</v>
      </c>
    </row>
    <row r="77" spans="1:19" x14ac:dyDescent="0.3">
      <c r="A77" t="s">
        <v>109</v>
      </c>
      <c r="B77" t="s">
        <v>77</v>
      </c>
      <c r="C77" t="s">
        <v>42</v>
      </c>
      <c r="D77" s="2">
        <v>0.98</v>
      </c>
      <c r="E77" s="2">
        <v>0.86</v>
      </c>
      <c r="F77" s="2">
        <v>1</v>
      </c>
      <c r="G77" s="2">
        <v>0.95</v>
      </c>
      <c r="H77" s="2">
        <v>0.93</v>
      </c>
      <c r="I77" s="2">
        <v>0.92</v>
      </c>
      <c r="J77" s="2">
        <v>0.86</v>
      </c>
      <c r="K77" s="2">
        <v>1</v>
      </c>
      <c r="L77" s="2">
        <v>0.98</v>
      </c>
      <c r="M77" s="2">
        <v>0.97</v>
      </c>
      <c r="N77" s="2">
        <v>0.99</v>
      </c>
      <c r="O77" s="2">
        <v>0.95</v>
      </c>
      <c r="P77" s="2">
        <v>0.97</v>
      </c>
      <c r="Q77" s="2">
        <v>0.95160000000000011</v>
      </c>
      <c r="R77" s="2" t="s">
        <v>21</v>
      </c>
      <c r="S77" s="18">
        <v>2</v>
      </c>
    </row>
    <row r="78" spans="1:19" x14ac:dyDescent="0.3">
      <c r="A78" t="s">
        <v>109</v>
      </c>
      <c r="B78" t="s">
        <v>74</v>
      </c>
      <c r="C78" t="s">
        <v>41</v>
      </c>
      <c r="D78" s="2">
        <v>0.85</v>
      </c>
      <c r="E78" s="2">
        <v>0.92</v>
      </c>
      <c r="F78" s="2">
        <v>0.9</v>
      </c>
      <c r="G78" s="2">
        <v>0.93</v>
      </c>
      <c r="H78" s="2">
        <v>0.87</v>
      </c>
      <c r="I78" s="2">
        <v>1</v>
      </c>
      <c r="J78" s="2">
        <v>0.93</v>
      </c>
      <c r="K78" s="2">
        <v>0.86</v>
      </c>
      <c r="L78" s="2">
        <v>0.92</v>
      </c>
      <c r="M78" s="2">
        <v>0.94</v>
      </c>
      <c r="N78" s="2">
        <v>0.98</v>
      </c>
      <c r="O78" s="2">
        <v>0.99</v>
      </c>
      <c r="P78" s="2">
        <v>0.96</v>
      </c>
      <c r="Q78" s="2">
        <v>0.91559999999999997</v>
      </c>
      <c r="R78" s="2" t="s">
        <v>21</v>
      </c>
      <c r="S78" s="18">
        <v>2</v>
      </c>
    </row>
    <row r="79" spans="1:19" x14ac:dyDescent="0.3">
      <c r="A79" t="s">
        <v>109</v>
      </c>
      <c r="B79" t="s">
        <v>94</v>
      </c>
      <c r="C79" t="s">
        <v>46</v>
      </c>
      <c r="D79" s="2">
        <v>0.88</v>
      </c>
      <c r="E79" s="2">
        <v>0.88</v>
      </c>
      <c r="F79" s="2">
        <v>0.85</v>
      </c>
      <c r="G79" s="2">
        <v>0.92</v>
      </c>
      <c r="H79" s="2">
        <v>0.88</v>
      </c>
      <c r="I79" s="2">
        <v>0.85</v>
      </c>
      <c r="J79" s="2">
        <v>0.97</v>
      </c>
      <c r="K79" s="2">
        <v>0.9</v>
      </c>
      <c r="L79" s="2">
        <v>0.91</v>
      </c>
      <c r="M79" s="2">
        <v>0.98</v>
      </c>
      <c r="N79" s="2">
        <v>0.85</v>
      </c>
      <c r="O79" s="2">
        <v>1</v>
      </c>
      <c r="P79" s="2">
        <v>0.89</v>
      </c>
      <c r="Q79" s="2">
        <v>0.88960000000000006</v>
      </c>
      <c r="R79" s="2" t="s">
        <v>21</v>
      </c>
      <c r="S79" s="18">
        <v>2</v>
      </c>
    </row>
    <row r="80" spans="1:19" x14ac:dyDescent="0.3">
      <c r="A80" t="s">
        <v>109</v>
      </c>
      <c r="B80" t="s">
        <v>81</v>
      </c>
      <c r="C80" t="s">
        <v>43</v>
      </c>
      <c r="D80" s="2">
        <v>0.86</v>
      </c>
      <c r="E80" s="2">
        <v>0.89</v>
      </c>
      <c r="F80" s="2">
        <v>0.92</v>
      </c>
      <c r="G80" s="2">
        <v>0.91</v>
      </c>
      <c r="H80" s="2">
        <v>0.82</v>
      </c>
      <c r="I80" s="2">
        <v>0.88</v>
      </c>
      <c r="J80" s="2">
        <v>0.85</v>
      </c>
      <c r="K80" s="2">
        <v>0.81</v>
      </c>
      <c r="L80" s="2">
        <v>0.81</v>
      </c>
      <c r="M80" s="2">
        <v>0.86</v>
      </c>
      <c r="N80" s="2">
        <v>0.91</v>
      </c>
      <c r="O80" s="2">
        <v>0.9</v>
      </c>
      <c r="P80" s="2">
        <v>0.87</v>
      </c>
      <c r="Q80" s="2">
        <v>0.87809999999999999</v>
      </c>
      <c r="R80" s="2" t="s">
        <v>21</v>
      </c>
      <c r="S80" s="18">
        <v>1</v>
      </c>
    </row>
    <row r="81" spans="1:19" x14ac:dyDescent="0.3">
      <c r="A81" t="s">
        <v>109</v>
      </c>
      <c r="B81" t="s">
        <v>101</v>
      </c>
      <c r="C81" t="s">
        <v>47</v>
      </c>
      <c r="D81" s="2">
        <v>0.89</v>
      </c>
      <c r="E81" s="2">
        <v>0.86</v>
      </c>
      <c r="F81" s="2">
        <v>0.92</v>
      </c>
      <c r="G81" s="2">
        <v>0.8</v>
      </c>
      <c r="H81" s="2">
        <v>0.83</v>
      </c>
      <c r="I81" s="2">
        <v>0.8</v>
      </c>
      <c r="J81" s="2">
        <v>0.83</v>
      </c>
      <c r="K81" s="2">
        <v>0.9</v>
      </c>
      <c r="L81" s="2">
        <v>0.82</v>
      </c>
      <c r="M81" s="2">
        <v>0.92</v>
      </c>
      <c r="N81" s="2">
        <v>0.89</v>
      </c>
      <c r="O81" s="2">
        <v>0.82</v>
      </c>
      <c r="P81" s="2">
        <v>0.9</v>
      </c>
      <c r="Q81" s="2">
        <v>0.87350000000000005</v>
      </c>
      <c r="R81" s="2" t="s">
        <v>21</v>
      </c>
      <c r="S81" s="18">
        <v>0</v>
      </c>
    </row>
    <row r="82" spans="1:19" x14ac:dyDescent="0.3">
      <c r="A82" t="s">
        <v>109</v>
      </c>
      <c r="B82" t="s">
        <v>72</v>
      </c>
      <c r="C82" t="s">
        <v>54</v>
      </c>
      <c r="D82" s="2">
        <v>0.87</v>
      </c>
      <c r="E82" s="2">
        <v>0.8</v>
      </c>
      <c r="F82" s="2">
        <v>0.83</v>
      </c>
      <c r="G82" s="2">
        <v>0.87</v>
      </c>
      <c r="H82" s="2">
        <v>0.91</v>
      </c>
      <c r="I82" s="2">
        <v>0.9</v>
      </c>
      <c r="J82" s="2">
        <v>0.85</v>
      </c>
      <c r="K82" s="2">
        <v>0.9</v>
      </c>
      <c r="L82" s="2">
        <v>0.85</v>
      </c>
      <c r="M82" s="2">
        <v>0.9</v>
      </c>
      <c r="N82" s="2">
        <v>0.82</v>
      </c>
      <c r="O82" s="2">
        <v>0.82</v>
      </c>
      <c r="P82" s="2">
        <v>0.89</v>
      </c>
      <c r="Q82" s="2">
        <v>0.85359999999999991</v>
      </c>
      <c r="R82" s="2" t="s">
        <v>21</v>
      </c>
      <c r="S82" s="18">
        <v>2</v>
      </c>
    </row>
    <row r="83" spans="1:19" x14ac:dyDescent="0.3">
      <c r="A83" t="s">
        <v>109</v>
      </c>
      <c r="B83" t="s">
        <v>87</v>
      </c>
      <c r="C83" t="s">
        <v>45</v>
      </c>
      <c r="D83" s="2">
        <v>0.83</v>
      </c>
      <c r="E83" s="2">
        <v>0.82</v>
      </c>
      <c r="F83" s="2">
        <v>0.88</v>
      </c>
      <c r="G83" s="2">
        <v>0.83</v>
      </c>
      <c r="H83" s="2">
        <v>0.84</v>
      </c>
      <c r="I83" s="2">
        <v>0.81</v>
      </c>
      <c r="J83" s="2">
        <v>0.85</v>
      </c>
      <c r="K83" s="2">
        <v>0.86</v>
      </c>
      <c r="L83" s="2">
        <v>0.87</v>
      </c>
      <c r="M83" s="2">
        <v>0.91</v>
      </c>
      <c r="N83" s="2">
        <v>0.87</v>
      </c>
      <c r="O83" s="2">
        <v>0.88</v>
      </c>
      <c r="P83" s="2">
        <v>0.92</v>
      </c>
      <c r="Q83" s="2">
        <v>0.85759999999999992</v>
      </c>
      <c r="R83" s="2" t="s">
        <v>22</v>
      </c>
      <c r="S83" s="18">
        <v>0</v>
      </c>
    </row>
    <row r="84" spans="1:19" x14ac:dyDescent="0.3">
      <c r="A84" t="s">
        <v>109</v>
      </c>
      <c r="B84" t="s">
        <v>80</v>
      </c>
      <c r="C84" t="s">
        <v>50</v>
      </c>
      <c r="D84" s="2">
        <v>0.87</v>
      </c>
      <c r="E84" s="2">
        <v>0.91</v>
      </c>
      <c r="F84" s="2">
        <v>0.9</v>
      </c>
      <c r="G84" s="2">
        <v>0.8</v>
      </c>
      <c r="H84" s="2">
        <v>0.88</v>
      </c>
      <c r="I84" s="2">
        <v>0.92</v>
      </c>
      <c r="J84" s="2">
        <v>0.89</v>
      </c>
      <c r="K84" s="2">
        <v>0.81</v>
      </c>
      <c r="L84" s="2">
        <v>0.81</v>
      </c>
      <c r="M84" s="2">
        <v>0.83</v>
      </c>
      <c r="N84" s="2">
        <v>0.92</v>
      </c>
      <c r="O84" s="2">
        <v>0.9</v>
      </c>
      <c r="P84" s="2">
        <v>0.84</v>
      </c>
      <c r="Q84" s="2">
        <v>0.87630000000000019</v>
      </c>
      <c r="R84" s="2" t="s">
        <v>22</v>
      </c>
      <c r="S84" s="18">
        <v>2</v>
      </c>
    </row>
    <row r="85" spans="1:19" x14ac:dyDescent="0.3">
      <c r="A85" t="s">
        <v>109</v>
      </c>
      <c r="B85" t="s">
        <v>93</v>
      </c>
      <c r="C85" t="s">
        <v>48</v>
      </c>
      <c r="D85" s="2">
        <v>0.77</v>
      </c>
      <c r="E85" s="2">
        <v>0.8</v>
      </c>
      <c r="F85" s="2">
        <v>0.78</v>
      </c>
      <c r="G85" s="2">
        <v>0.83</v>
      </c>
      <c r="H85" s="2">
        <v>0.78</v>
      </c>
      <c r="I85" s="2">
        <v>0.79</v>
      </c>
      <c r="J85" s="2">
        <v>0.81</v>
      </c>
      <c r="K85" s="2">
        <v>0.78</v>
      </c>
      <c r="L85" s="2">
        <v>0.85</v>
      </c>
      <c r="M85" s="2">
        <v>0.78</v>
      </c>
      <c r="N85" s="2">
        <v>0.82</v>
      </c>
      <c r="O85" s="2">
        <v>0.85</v>
      </c>
      <c r="P85" s="2">
        <v>0.77</v>
      </c>
      <c r="Q85" s="2">
        <v>0.79220000000000002</v>
      </c>
      <c r="R85" s="2" t="s">
        <v>23</v>
      </c>
      <c r="S85" s="18">
        <v>2</v>
      </c>
    </row>
    <row r="86" spans="1:19" x14ac:dyDescent="0.3">
      <c r="A86" t="s">
        <v>109</v>
      </c>
      <c r="B86" t="s">
        <v>96</v>
      </c>
      <c r="C86" t="s">
        <v>53</v>
      </c>
      <c r="D86" s="2">
        <v>0.82</v>
      </c>
      <c r="E86" s="2">
        <v>0.84</v>
      </c>
      <c r="F86" s="2">
        <v>0.73</v>
      </c>
      <c r="G86" s="2">
        <v>0.85</v>
      </c>
      <c r="H86" s="2">
        <v>0.85</v>
      </c>
      <c r="I86" s="2">
        <v>0.8</v>
      </c>
      <c r="J86" s="2">
        <v>0.81</v>
      </c>
      <c r="K86" s="2">
        <v>0.73</v>
      </c>
      <c r="L86" s="2">
        <v>0.84</v>
      </c>
      <c r="M86" s="2">
        <v>0.79</v>
      </c>
      <c r="N86" s="2">
        <v>0.83</v>
      </c>
      <c r="O86" s="2">
        <v>0.84</v>
      </c>
      <c r="P86" s="2">
        <v>0.79</v>
      </c>
      <c r="Q86" s="2">
        <v>0.80069999999999997</v>
      </c>
      <c r="R86" s="2" t="s">
        <v>23</v>
      </c>
      <c r="S86" s="18">
        <v>2</v>
      </c>
    </row>
    <row r="87" spans="1:19" x14ac:dyDescent="0.3">
      <c r="A87" t="s">
        <v>109</v>
      </c>
      <c r="B87" t="s">
        <v>79</v>
      </c>
      <c r="C87" t="s">
        <v>51</v>
      </c>
      <c r="D87" s="2">
        <v>0.81</v>
      </c>
      <c r="E87" s="2">
        <v>0.77</v>
      </c>
      <c r="F87" s="2">
        <v>0.78</v>
      </c>
      <c r="G87" s="2">
        <v>0.73</v>
      </c>
      <c r="H87" s="2">
        <v>0.83</v>
      </c>
      <c r="I87" s="2">
        <v>0.82</v>
      </c>
      <c r="J87" s="2">
        <v>0.77</v>
      </c>
      <c r="K87" s="2">
        <v>0.73</v>
      </c>
      <c r="L87" s="2">
        <v>0.83</v>
      </c>
      <c r="M87" s="2">
        <v>0.74</v>
      </c>
      <c r="N87" s="2">
        <v>0.79</v>
      </c>
      <c r="O87" s="2">
        <v>0.82</v>
      </c>
      <c r="P87" s="2">
        <v>0.79</v>
      </c>
      <c r="Q87" s="2">
        <v>0.78589999999999982</v>
      </c>
      <c r="R87" s="2" t="s">
        <v>23</v>
      </c>
      <c r="S87" s="18">
        <v>1</v>
      </c>
    </row>
    <row r="88" spans="1:19" x14ac:dyDescent="0.3">
      <c r="A88" t="s">
        <v>109</v>
      </c>
      <c r="B88" t="s">
        <v>99</v>
      </c>
      <c r="C88" t="s">
        <v>56</v>
      </c>
      <c r="D88" s="2">
        <v>0.83</v>
      </c>
      <c r="E88" s="2">
        <v>0.8</v>
      </c>
      <c r="F88" s="2">
        <v>0.75</v>
      </c>
      <c r="G88" s="2">
        <v>0.79</v>
      </c>
      <c r="H88" s="2">
        <v>0.8</v>
      </c>
      <c r="I88" s="2">
        <v>0.84</v>
      </c>
      <c r="J88" s="2">
        <v>0.79</v>
      </c>
      <c r="K88" s="2">
        <v>0.73</v>
      </c>
      <c r="L88" s="2">
        <v>0.81</v>
      </c>
      <c r="M88" s="2">
        <v>0.85</v>
      </c>
      <c r="N88" s="2">
        <v>0.84</v>
      </c>
      <c r="O88" s="2">
        <v>0.81</v>
      </c>
      <c r="P88" s="2">
        <v>0.75</v>
      </c>
      <c r="Q88" s="2">
        <v>0.79210000000000003</v>
      </c>
      <c r="R88" s="2" t="s">
        <v>24</v>
      </c>
      <c r="S88" s="18">
        <v>1</v>
      </c>
    </row>
    <row r="89" spans="1:19" x14ac:dyDescent="0.3">
      <c r="A89" t="s">
        <v>109</v>
      </c>
      <c r="B89" t="s">
        <v>84</v>
      </c>
      <c r="C89" t="s">
        <v>55</v>
      </c>
      <c r="D89" s="2">
        <v>0.75</v>
      </c>
      <c r="E89" s="2">
        <v>0.69</v>
      </c>
      <c r="F89" s="2">
        <v>0.7</v>
      </c>
      <c r="G89" s="2">
        <v>0.66</v>
      </c>
      <c r="H89" s="2">
        <v>0.66</v>
      </c>
      <c r="I89" s="2">
        <v>0.71</v>
      </c>
      <c r="J89" s="2">
        <v>0.66</v>
      </c>
      <c r="K89" s="2">
        <v>0.74</v>
      </c>
      <c r="L89" s="2">
        <v>0.75</v>
      </c>
      <c r="M89" s="2">
        <v>0.72</v>
      </c>
      <c r="N89" s="2">
        <v>0.7</v>
      </c>
      <c r="O89" s="2">
        <v>0.69</v>
      </c>
      <c r="P89" s="2">
        <v>0.68</v>
      </c>
      <c r="Q89" s="2">
        <v>0.70250000000000012</v>
      </c>
      <c r="R89" s="2" t="s">
        <v>25</v>
      </c>
      <c r="S89" s="18">
        <v>1</v>
      </c>
    </row>
    <row r="90" spans="1:19" x14ac:dyDescent="0.3">
      <c r="A90" t="s">
        <v>109</v>
      </c>
      <c r="B90" t="s">
        <v>100</v>
      </c>
      <c r="C90" t="s">
        <v>59</v>
      </c>
      <c r="D90" s="2">
        <v>0.71</v>
      </c>
      <c r="E90" s="2">
        <v>0.67</v>
      </c>
      <c r="F90" s="2">
        <v>0.7</v>
      </c>
      <c r="G90" s="2">
        <v>0.71</v>
      </c>
      <c r="H90" s="2">
        <v>0.72</v>
      </c>
      <c r="I90" s="2">
        <v>0.71</v>
      </c>
      <c r="J90" s="2">
        <v>0.71</v>
      </c>
      <c r="K90" s="2">
        <v>0.75</v>
      </c>
      <c r="L90" s="2">
        <v>0.73</v>
      </c>
      <c r="M90" s="2">
        <v>0.68</v>
      </c>
      <c r="N90" s="2">
        <v>0.71</v>
      </c>
      <c r="O90" s="2">
        <v>0.66</v>
      </c>
      <c r="P90" s="2">
        <v>0.72</v>
      </c>
      <c r="Q90" s="2">
        <v>0.70269999999999977</v>
      </c>
      <c r="R90" s="2" t="s">
        <v>26</v>
      </c>
      <c r="S90" s="18">
        <v>3</v>
      </c>
    </row>
    <row r="91" spans="1:19" x14ac:dyDescent="0.3">
      <c r="A91" t="s">
        <v>109</v>
      </c>
      <c r="B91" t="s">
        <v>91</v>
      </c>
      <c r="C91" t="s">
        <v>61</v>
      </c>
      <c r="D91" s="2">
        <v>0.68</v>
      </c>
      <c r="E91" s="2">
        <v>0.69</v>
      </c>
      <c r="F91" s="2">
        <v>0.68</v>
      </c>
      <c r="G91" s="2">
        <v>0.69</v>
      </c>
      <c r="H91" s="2">
        <v>0.69</v>
      </c>
      <c r="I91" s="2">
        <v>0.68</v>
      </c>
      <c r="J91" s="2">
        <v>0.73</v>
      </c>
      <c r="K91" s="2">
        <v>0.68</v>
      </c>
      <c r="L91" s="2">
        <v>0.69</v>
      </c>
      <c r="M91" s="2">
        <v>0.69</v>
      </c>
      <c r="N91" s="2">
        <v>0.75</v>
      </c>
      <c r="O91" s="2">
        <v>0.71</v>
      </c>
      <c r="P91" s="2">
        <v>0.73</v>
      </c>
      <c r="Q91" s="2">
        <v>0.69479999999999986</v>
      </c>
      <c r="R91" s="2" t="s">
        <v>26</v>
      </c>
      <c r="S91" s="18">
        <v>1</v>
      </c>
    </row>
    <row r="92" spans="1:19" x14ac:dyDescent="0.3">
      <c r="A92" t="s">
        <v>109</v>
      </c>
      <c r="B92" t="s">
        <v>88</v>
      </c>
      <c r="C92" t="s">
        <v>49</v>
      </c>
      <c r="D92" s="2">
        <v>0.7</v>
      </c>
      <c r="E92" s="2">
        <v>0.73</v>
      </c>
      <c r="F92" s="2">
        <v>0.75</v>
      </c>
      <c r="G92" s="2">
        <v>0.68</v>
      </c>
      <c r="H92" s="2">
        <v>0.7</v>
      </c>
      <c r="I92" s="2">
        <v>0.7</v>
      </c>
      <c r="J92" s="2">
        <v>0.73</v>
      </c>
      <c r="K92" s="2">
        <v>0.72</v>
      </c>
      <c r="L92" s="2">
        <v>0.7</v>
      </c>
      <c r="M92" s="2">
        <v>0.7</v>
      </c>
      <c r="N92" s="2">
        <v>0.66</v>
      </c>
      <c r="O92" s="2">
        <v>0.68</v>
      </c>
      <c r="P92" s="2">
        <v>0.65</v>
      </c>
      <c r="Q92" s="2">
        <v>0.70840000000000014</v>
      </c>
      <c r="R92" s="2" t="s">
        <v>26</v>
      </c>
      <c r="S92" s="18">
        <v>3</v>
      </c>
    </row>
    <row r="93" spans="1:19" x14ac:dyDescent="0.3">
      <c r="A93" t="s">
        <v>109</v>
      </c>
      <c r="B93" t="s">
        <v>70</v>
      </c>
      <c r="C93" t="s">
        <v>57</v>
      </c>
      <c r="D93" s="2">
        <v>0.74</v>
      </c>
      <c r="E93" s="2">
        <v>0.75</v>
      </c>
      <c r="F93" s="2">
        <v>0.68</v>
      </c>
      <c r="G93" s="2">
        <v>0.72</v>
      </c>
      <c r="H93" s="2">
        <v>0.75</v>
      </c>
      <c r="I93" s="2">
        <v>0.65</v>
      </c>
      <c r="J93" s="2">
        <v>0.68</v>
      </c>
      <c r="K93" s="2">
        <v>0.74</v>
      </c>
      <c r="L93" s="2">
        <v>0.72</v>
      </c>
      <c r="M93" s="2">
        <v>0.71</v>
      </c>
      <c r="N93" s="2">
        <v>0.67</v>
      </c>
      <c r="O93" s="2">
        <v>0.68</v>
      </c>
      <c r="P93" s="2">
        <v>0.7</v>
      </c>
      <c r="Q93" s="2">
        <v>0.71029999999999993</v>
      </c>
      <c r="R93" s="2" t="s">
        <v>26</v>
      </c>
      <c r="S93" s="18">
        <v>3</v>
      </c>
    </row>
    <row r="94" spans="1:19" x14ac:dyDescent="0.3">
      <c r="A94" t="s">
        <v>109</v>
      </c>
      <c r="B94" t="s">
        <v>82</v>
      </c>
      <c r="C94" t="s">
        <v>58</v>
      </c>
      <c r="D94" s="2">
        <v>0.6</v>
      </c>
      <c r="E94" s="2">
        <v>0.68</v>
      </c>
      <c r="F94" s="2">
        <v>0.62</v>
      </c>
      <c r="G94" s="2">
        <v>0.64</v>
      </c>
      <c r="H94" s="2">
        <v>0.67</v>
      </c>
      <c r="I94" s="2">
        <v>0.61</v>
      </c>
      <c r="J94" s="2">
        <v>0.61</v>
      </c>
      <c r="K94" s="2">
        <v>0.62</v>
      </c>
      <c r="L94" s="2">
        <v>0.62</v>
      </c>
      <c r="M94" s="2">
        <v>0.63</v>
      </c>
      <c r="N94" s="2">
        <v>0.67</v>
      </c>
      <c r="O94" s="2">
        <v>0.66</v>
      </c>
      <c r="P94" s="2">
        <v>0.67</v>
      </c>
      <c r="Q94" s="2">
        <v>0.63749999999999996</v>
      </c>
      <c r="R94" s="2" t="s">
        <v>27</v>
      </c>
      <c r="S94" s="18">
        <v>4</v>
      </c>
    </row>
    <row r="95" spans="1:19" x14ac:dyDescent="0.3">
      <c r="A95" t="s">
        <v>109</v>
      </c>
      <c r="B95" t="s">
        <v>83</v>
      </c>
      <c r="C95" t="s">
        <v>60</v>
      </c>
      <c r="D95" s="2">
        <v>0.63</v>
      </c>
      <c r="E95" s="2">
        <v>0.61</v>
      </c>
      <c r="F95" s="2">
        <v>0.69</v>
      </c>
      <c r="G95" s="2">
        <v>0.68</v>
      </c>
      <c r="H95" s="2">
        <v>0.7</v>
      </c>
      <c r="I95" s="2">
        <v>0.7</v>
      </c>
      <c r="J95" s="2">
        <v>0.6</v>
      </c>
      <c r="K95" s="2">
        <v>0.61</v>
      </c>
      <c r="L95" s="2">
        <v>0.6</v>
      </c>
      <c r="M95" s="2">
        <v>0.62</v>
      </c>
      <c r="N95" s="2">
        <v>0.6</v>
      </c>
      <c r="O95" s="2">
        <v>0.66</v>
      </c>
      <c r="P95" s="2">
        <v>0.63</v>
      </c>
      <c r="Q95" s="2">
        <v>0.64460000000000006</v>
      </c>
      <c r="R95" s="2" t="s">
        <v>28</v>
      </c>
      <c r="S95" s="18">
        <v>5</v>
      </c>
    </row>
    <row r="96" spans="1:19" x14ac:dyDescent="0.3">
      <c r="A96" t="s">
        <v>109</v>
      </c>
      <c r="B96" t="s">
        <v>85</v>
      </c>
      <c r="C96" t="s">
        <v>65</v>
      </c>
      <c r="D96" s="2">
        <v>0.63</v>
      </c>
      <c r="E96" s="2">
        <v>0.7</v>
      </c>
      <c r="F96" s="2">
        <v>0.61</v>
      </c>
      <c r="G96" s="2">
        <v>0.62</v>
      </c>
      <c r="H96" s="2">
        <v>0.7</v>
      </c>
      <c r="I96" s="2">
        <v>0.69</v>
      </c>
      <c r="J96" s="2">
        <v>0.69</v>
      </c>
      <c r="K96" s="2">
        <v>0.7</v>
      </c>
      <c r="L96" s="2">
        <v>0.64</v>
      </c>
      <c r="M96" s="2">
        <v>0.6</v>
      </c>
      <c r="N96" s="2">
        <v>0.61</v>
      </c>
      <c r="O96" s="2">
        <v>0.63</v>
      </c>
      <c r="P96" s="2">
        <v>0.7</v>
      </c>
      <c r="Q96" s="2">
        <v>0.65369999999999984</v>
      </c>
      <c r="R96" s="2" t="s">
        <v>28</v>
      </c>
      <c r="S96" s="18">
        <v>5</v>
      </c>
    </row>
    <row r="97" spans="1:19" x14ac:dyDescent="0.3">
      <c r="A97" t="s">
        <v>109</v>
      </c>
      <c r="B97" t="s">
        <v>98</v>
      </c>
      <c r="C97" t="s">
        <v>47</v>
      </c>
      <c r="D97" s="2">
        <v>0.67</v>
      </c>
      <c r="E97" s="2">
        <v>0.64</v>
      </c>
      <c r="F97" s="2">
        <v>0.61</v>
      </c>
      <c r="G97" s="2">
        <v>0.62</v>
      </c>
      <c r="H97" s="2">
        <v>0.64</v>
      </c>
      <c r="I97" s="2">
        <v>0.64</v>
      </c>
      <c r="J97" s="2">
        <v>0.68</v>
      </c>
      <c r="K97" s="2">
        <v>0.63</v>
      </c>
      <c r="L97" s="2">
        <v>0.65</v>
      </c>
      <c r="M97" s="2">
        <v>0.68</v>
      </c>
      <c r="N97" s="2">
        <v>0.7</v>
      </c>
      <c r="O97" s="2">
        <v>0.64</v>
      </c>
      <c r="P97" s="2">
        <v>0.67</v>
      </c>
      <c r="Q97" s="2">
        <v>0.64650000000000007</v>
      </c>
      <c r="R97" s="2" t="s">
        <v>29</v>
      </c>
      <c r="S97" s="18">
        <v>3</v>
      </c>
    </row>
    <row r="98" spans="1:19" x14ac:dyDescent="0.3">
      <c r="A98" t="s">
        <v>110</v>
      </c>
      <c r="B98" t="s">
        <v>70</v>
      </c>
      <c r="C98" t="s">
        <v>48</v>
      </c>
      <c r="D98" s="2">
        <v>0.99</v>
      </c>
      <c r="E98" s="2">
        <v>1</v>
      </c>
      <c r="F98" s="2">
        <v>0.98</v>
      </c>
      <c r="G98" s="2">
        <v>0.91</v>
      </c>
      <c r="H98" s="2">
        <v>0.91</v>
      </c>
      <c r="I98" s="2">
        <v>0.98</v>
      </c>
      <c r="J98" s="2">
        <v>0.94</v>
      </c>
      <c r="K98" s="2">
        <v>0.96</v>
      </c>
      <c r="L98" s="2">
        <v>0.93</v>
      </c>
      <c r="M98" s="2">
        <v>0.97</v>
      </c>
      <c r="N98" s="2">
        <v>0.9</v>
      </c>
      <c r="O98" s="2">
        <v>0.99</v>
      </c>
      <c r="P98" s="2">
        <v>0.9</v>
      </c>
      <c r="Q98" s="2">
        <v>0.96150000000000002</v>
      </c>
      <c r="R98" s="2" t="s">
        <v>20</v>
      </c>
      <c r="S98" s="18">
        <v>0</v>
      </c>
    </row>
    <row r="99" spans="1:19" x14ac:dyDescent="0.3">
      <c r="A99" t="s">
        <v>110</v>
      </c>
      <c r="B99" t="s">
        <v>71</v>
      </c>
      <c r="C99" t="s">
        <v>66</v>
      </c>
      <c r="D99" s="2">
        <v>0.98</v>
      </c>
      <c r="E99" s="2">
        <v>0.91</v>
      </c>
      <c r="F99" s="2">
        <v>0.95</v>
      </c>
      <c r="G99" s="2">
        <v>0.98</v>
      </c>
      <c r="H99" s="2">
        <v>0.99</v>
      </c>
      <c r="I99" s="2">
        <v>0.94</v>
      </c>
      <c r="J99" s="2">
        <v>0.97</v>
      </c>
      <c r="K99" s="2">
        <v>0.95</v>
      </c>
      <c r="L99" s="2">
        <v>0.96</v>
      </c>
      <c r="M99" s="2">
        <v>0.91</v>
      </c>
      <c r="N99" s="2">
        <v>0.92</v>
      </c>
      <c r="O99" s="2">
        <v>0.99</v>
      </c>
      <c r="P99" s="2">
        <v>0.98</v>
      </c>
      <c r="Q99" s="2">
        <v>0.95469999999999988</v>
      </c>
      <c r="R99" s="2" t="s">
        <v>20</v>
      </c>
      <c r="S99" s="18">
        <v>0</v>
      </c>
    </row>
    <row r="100" spans="1:19" x14ac:dyDescent="0.3">
      <c r="A100" t="s">
        <v>110</v>
      </c>
      <c r="B100" t="s">
        <v>73</v>
      </c>
      <c r="C100" t="s">
        <v>42</v>
      </c>
      <c r="D100" s="2">
        <v>0.93</v>
      </c>
      <c r="E100" s="2">
        <v>1</v>
      </c>
      <c r="F100" s="2">
        <v>0.93</v>
      </c>
      <c r="G100" s="2">
        <v>0.94</v>
      </c>
      <c r="H100" s="2">
        <v>0.92</v>
      </c>
      <c r="I100" s="2">
        <v>0.98</v>
      </c>
      <c r="J100" s="2">
        <v>0.99</v>
      </c>
      <c r="K100" s="2">
        <v>0.9</v>
      </c>
      <c r="L100" s="2">
        <v>0.89</v>
      </c>
      <c r="M100" s="2">
        <v>0.91</v>
      </c>
      <c r="N100" s="2">
        <v>0.97</v>
      </c>
      <c r="O100" s="2">
        <v>0.94</v>
      </c>
      <c r="P100" s="2">
        <v>0.94</v>
      </c>
      <c r="Q100" s="2">
        <v>0.94540000000000002</v>
      </c>
      <c r="R100" s="2" t="s">
        <v>20</v>
      </c>
      <c r="S100" s="18">
        <v>0</v>
      </c>
    </row>
    <row r="101" spans="1:19" x14ac:dyDescent="0.3">
      <c r="A101" t="s">
        <v>110</v>
      </c>
      <c r="B101" t="s">
        <v>76</v>
      </c>
      <c r="C101" t="s">
        <v>53</v>
      </c>
      <c r="D101" s="2">
        <v>0.91</v>
      </c>
      <c r="E101" s="2">
        <v>0.92</v>
      </c>
      <c r="F101" s="2">
        <v>0.97</v>
      </c>
      <c r="G101" s="2">
        <v>0.93</v>
      </c>
      <c r="H101" s="2">
        <v>0.96</v>
      </c>
      <c r="I101" s="2">
        <v>0.98</v>
      </c>
      <c r="J101" s="2">
        <v>0.96</v>
      </c>
      <c r="K101" s="2">
        <v>0.94</v>
      </c>
      <c r="L101" s="2">
        <v>0.98</v>
      </c>
      <c r="M101" s="2">
        <v>0.97</v>
      </c>
      <c r="N101" s="2">
        <v>0.92</v>
      </c>
      <c r="O101" s="2">
        <v>0.97</v>
      </c>
      <c r="P101" s="2">
        <v>0.92</v>
      </c>
      <c r="Q101" s="2">
        <v>0.94319999999999993</v>
      </c>
      <c r="R101" s="2" t="s">
        <v>20</v>
      </c>
      <c r="S101" s="18">
        <v>1</v>
      </c>
    </row>
    <row r="102" spans="1:19" x14ac:dyDescent="0.3">
      <c r="A102" t="s">
        <v>110</v>
      </c>
      <c r="B102" t="s">
        <v>74</v>
      </c>
      <c r="C102" t="s">
        <v>47</v>
      </c>
      <c r="D102" s="2">
        <v>0.92</v>
      </c>
      <c r="E102" s="2">
        <v>0.92</v>
      </c>
      <c r="F102" s="2">
        <v>0.96</v>
      </c>
      <c r="G102" s="2">
        <v>0.98</v>
      </c>
      <c r="H102" s="2">
        <v>0.9</v>
      </c>
      <c r="I102" s="2">
        <v>0.95</v>
      </c>
      <c r="J102" s="2">
        <v>0.93</v>
      </c>
      <c r="K102" s="2">
        <v>0.85</v>
      </c>
      <c r="L102" s="2">
        <v>0.96</v>
      </c>
      <c r="M102" s="2">
        <v>0.98</v>
      </c>
      <c r="N102" s="2">
        <v>0.88</v>
      </c>
      <c r="O102" s="2">
        <v>0.97</v>
      </c>
      <c r="P102" s="2">
        <v>0.98</v>
      </c>
      <c r="Q102" s="2">
        <v>0.9396000000000001</v>
      </c>
      <c r="R102" s="2" t="s">
        <v>20</v>
      </c>
      <c r="S102" s="18">
        <v>1</v>
      </c>
    </row>
    <row r="103" spans="1:19" x14ac:dyDescent="0.3">
      <c r="A103" t="s">
        <v>110</v>
      </c>
      <c r="B103" t="s">
        <v>78</v>
      </c>
      <c r="C103" t="s">
        <v>47</v>
      </c>
      <c r="D103" s="2">
        <v>0.94</v>
      </c>
      <c r="E103" s="2">
        <v>0.87</v>
      </c>
      <c r="F103" s="2">
        <v>0.96</v>
      </c>
      <c r="G103" s="2">
        <v>0.98</v>
      </c>
      <c r="H103" s="2">
        <v>0.87</v>
      </c>
      <c r="I103" s="2">
        <v>0.92</v>
      </c>
      <c r="J103" s="2">
        <v>0.93</v>
      </c>
      <c r="K103" s="2">
        <v>0.92</v>
      </c>
      <c r="L103" s="2">
        <v>0.98</v>
      </c>
      <c r="M103" s="2">
        <v>0.9</v>
      </c>
      <c r="N103" s="2">
        <v>0.97</v>
      </c>
      <c r="O103" s="2">
        <v>0.96</v>
      </c>
      <c r="P103" s="2">
        <v>0.87</v>
      </c>
      <c r="Q103" s="2">
        <v>0.92470000000000008</v>
      </c>
      <c r="R103" s="2" t="s">
        <v>20</v>
      </c>
      <c r="S103" s="18">
        <v>2</v>
      </c>
    </row>
    <row r="104" spans="1:19" x14ac:dyDescent="0.3">
      <c r="A104" t="s">
        <v>110</v>
      </c>
      <c r="B104" t="s">
        <v>72</v>
      </c>
      <c r="C104" t="s">
        <v>59</v>
      </c>
      <c r="D104" s="2">
        <v>0.93</v>
      </c>
      <c r="E104" s="2">
        <v>0.85</v>
      </c>
      <c r="F104" s="2">
        <v>0.99</v>
      </c>
      <c r="G104" s="2">
        <v>0.9</v>
      </c>
      <c r="H104" s="2">
        <v>1</v>
      </c>
      <c r="I104" s="2">
        <v>0.98</v>
      </c>
      <c r="J104" s="2">
        <v>0.85</v>
      </c>
      <c r="K104" s="2">
        <v>0.86</v>
      </c>
      <c r="L104" s="2">
        <v>0.92</v>
      </c>
      <c r="M104" s="2">
        <v>1</v>
      </c>
      <c r="N104" s="2">
        <v>0.88</v>
      </c>
      <c r="O104" s="2">
        <v>0.87</v>
      </c>
      <c r="P104" s="2">
        <v>0.87</v>
      </c>
      <c r="Q104" s="2">
        <v>0.91970000000000018</v>
      </c>
      <c r="R104" s="2" t="s">
        <v>21</v>
      </c>
      <c r="S104" s="18">
        <v>2</v>
      </c>
    </row>
    <row r="105" spans="1:19" x14ac:dyDescent="0.3">
      <c r="A105" t="s">
        <v>110</v>
      </c>
      <c r="B105" t="s">
        <v>77</v>
      </c>
      <c r="C105" t="s">
        <v>38</v>
      </c>
      <c r="D105" s="2">
        <v>0.9</v>
      </c>
      <c r="E105" s="2">
        <v>0.91</v>
      </c>
      <c r="F105" s="2">
        <v>0.8</v>
      </c>
      <c r="G105" s="2">
        <v>0.87</v>
      </c>
      <c r="H105" s="2">
        <v>0.84</v>
      </c>
      <c r="I105" s="2">
        <v>0.83</v>
      </c>
      <c r="J105" s="2">
        <v>0.8</v>
      </c>
      <c r="K105" s="2">
        <v>0.92</v>
      </c>
      <c r="L105" s="2">
        <v>0.92</v>
      </c>
      <c r="M105" s="2">
        <v>0.82</v>
      </c>
      <c r="N105" s="2">
        <v>0.87</v>
      </c>
      <c r="O105" s="2">
        <v>0.81</v>
      </c>
      <c r="P105" s="2">
        <v>0.92</v>
      </c>
      <c r="Q105" s="2">
        <v>0.86409999999999976</v>
      </c>
      <c r="R105" s="2" t="s">
        <v>22</v>
      </c>
      <c r="S105" s="18">
        <v>3</v>
      </c>
    </row>
    <row r="106" spans="1:19" x14ac:dyDescent="0.3">
      <c r="A106" t="s">
        <v>110</v>
      </c>
      <c r="B106" t="s">
        <v>86</v>
      </c>
      <c r="C106" t="s">
        <v>67</v>
      </c>
      <c r="D106" s="2">
        <v>0.81</v>
      </c>
      <c r="E106" s="2">
        <v>0.9</v>
      </c>
      <c r="F106" s="2">
        <v>0.89</v>
      </c>
      <c r="G106" s="2">
        <v>0.91</v>
      </c>
      <c r="H106" s="2">
        <v>0.85</v>
      </c>
      <c r="I106" s="2">
        <v>0.82</v>
      </c>
      <c r="J106" s="2">
        <v>0.81</v>
      </c>
      <c r="K106" s="2">
        <v>0.8</v>
      </c>
      <c r="L106" s="2">
        <v>0.82</v>
      </c>
      <c r="M106" s="2">
        <v>0.82</v>
      </c>
      <c r="N106" s="2">
        <v>0.92</v>
      </c>
      <c r="O106" s="2">
        <v>0.82</v>
      </c>
      <c r="P106" s="2">
        <v>0.92</v>
      </c>
      <c r="Q106" s="2">
        <v>0.86319999999999986</v>
      </c>
      <c r="R106" s="2" t="s">
        <v>22</v>
      </c>
      <c r="S106" s="18">
        <v>3</v>
      </c>
    </row>
    <row r="107" spans="1:19" x14ac:dyDescent="0.3">
      <c r="A107" t="s">
        <v>110</v>
      </c>
      <c r="B107" t="s">
        <v>79</v>
      </c>
      <c r="C107" t="s">
        <v>62</v>
      </c>
      <c r="D107" s="2">
        <v>0.87</v>
      </c>
      <c r="E107" s="2">
        <v>0.81</v>
      </c>
      <c r="F107" s="2">
        <v>0.91</v>
      </c>
      <c r="G107" s="2">
        <v>0.87</v>
      </c>
      <c r="H107" s="2">
        <v>0.84</v>
      </c>
      <c r="I107" s="2">
        <v>0.86</v>
      </c>
      <c r="J107" s="2">
        <v>0.81</v>
      </c>
      <c r="K107" s="2">
        <v>0.81</v>
      </c>
      <c r="L107" s="2">
        <v>0.88</v>
      </c>
      <c r="M107" s="2">
        <v>0.9</v>
      </c>
      <c r="N107" s="2">
        <v>0.83</v>
      </c>
      <c r="O107" s="2">
        <v>0.88</v>
      </c>
      <c r="P107" s="2">
        <v>0.85</v>
      </c>
      <c r="Q107" s="2">
        <v>0.8600000000000001</v>
      </c>
      <c r="R107" s="2" t="s">
        <v>22</v>
      </c>
      <c r="S107" s="18">
        <v>3</v>
      </c>
    </row>
    <row r="108" spans="1:19" x14ac:dyDescent="0.3">
      <c r="A108" t="s">
        <v>110</v>
      </c>
      <c r="B108" t="s">
        <v>82</v>
      </c>
      <c r="C108" t="s">
        <v>61</v>
      </c>
      <c r="D108" s="2">
        <v>0.82</v>
      </c>
      <c r="E108" s="2">
        <v>0.8</v>
      </c>
      <c r="F108" s="2">
        <v>0.91</v>
      </c>
      <c r="G108" s="2">
        <v>0.8</v>
      </c>
      <c r="H108" s="2">
        <v>0.88</v>
      </c>
      <c r="I108" s="2">
        <v>0.91</v>
      </c>
      <c r="J108" s="2">
        <v>0.8</v>
      </c>
      <c r="K108" s="2">
        <v>0.88</v>
      </c>
      <c r="L108" s="2">
        <v>0.8</v>
      </c>
      <c r="M108" s="2">
        <v>0.82</v>
      </c>
      <c r="N108" s="2">
        <v>0.83</v>
      </c>
      <c r="O108" s="2">
        <v>0.84</v>
      </c>
      <c r="P108" s="2">
        <v>0.91</v>
      </c>
      <c r="Q108" s="2">
        <v>0.85230000000000006</v>
      </c>
      <c r="R108" s="2" t="s">
        <v>22</v>
      </c>
      <c r="S108" s="18">
        <v>1</v>
      </c>
    </row>
    <row r="109" spans="1:19" x14ac:dyDescent="0.3">
      <c r="A109" t="s">
        <v>110</v>
      </c>
      <c r="B109" t="s">
        <v>75</v>
      </c>
      <c r="C109" t="s">
        <v>63</v>
      </c>
      <c r="D109" s="2">
        <v>0.87</v>
      </c>
      <c r="E109" s="2">
        <v>0.8</v>
      </c>
      <c r="F109" s="2">
        <v>0.87</v>
      </c>
      <c r="G109" s="2">
        <v>0.86</v>
      </c>
      <c r="H109" s="2">
        <v>0.84</v>
      </c>
      <c r="I109" s="2">
        <v>0.91</v>
      </c>
      <c r="J109" s="2">
        <v>0.9</v>
      </c>
      <c r="K109" s="2">
        <v>0.82</v>
      </c>
      <c r="L109" s="2">
        <v>0.8</v>
      </c>
      <c r="M109" s="2">
        <v>0.89</v>
      </c>
      <c r="N109" s="2">
        <v>0.85</v>
      </c>
      <c r="O109" s="2">
        <v>0.83</v>
      </c>
      <c r="P109" s="2">
        <v>0.81</v>
      </c>
      <c r="Q109" s="2">
        <v>0.84860000000000002</v>
      </c>
      <c r="R109" s="2" t="s">
        <v>22</v>
      </c>
      <c r="S109" s="18">
        <v>1</v>
      </c>
    </row>
    <row r="110" spans="1:19" x14ac:dyDescent="0.3">
      <c r="A110" t="s">
        <v>110</v>
      </c>
      <c r="B110" t="s">
        <v>85</v>
      </c>
      <c r="C110" t="s">
        <v>39</v>
      </c>
      <c r="D110" s="2">
        <v>0.74</v>
      </c>
      <c r="E110" s="2">
        <v>0.83</v>
      </c>
      <c r="F110" s="2">
        <v>0.81</v>
      </c>
      <c r="G110" s="2">
        <v>0.84</v>
      </c>
      <c r="H110" s="2">
        <v>0.74</v>
      </c>
      <c r="I110" s="2">
        <v>0.83</v>
      </c>
      <c r="J110" s="2">
        <v>0.81</v>
      </c>
      <c r="K110" s="2">
        <v>0.78</v>
      </c>
      <c r="L110" s="2">
        <v>0.85</v>
      </c>
      <c r="M110" s="2">
        <v>0.78</v>
      </c>
      <c r="N110" s="2">
        <v>0.75</v>
      </c>
      <c r="O110" s="2">
        <v>0.81</v>
      </c>
      <c r="P110" s="2">
        <v>0.74</v>
      </c>
      <c r="Q110" s="2">
        <v>0.7913</v>
      </c>
      <c r="R110" s="2" t="s">
        <v>23</v>
      </c>
      <c r="S110" s="18">
        <v>1</v>
      </c>
    </row>
    <row r="111" spans="1:19" x14ac:dyDescent="0.3">
      <c r="A111" t="s">
        <v>110</v>
      </c>
      <c r="B111" t="s">
        <v>80</v>
      </c>
      <c r="C111" t="s">
        <v>56</v>
      </c>
      <c r="D111" s="2">
        <v>0.81</v>
      </c>
      <c r="E111" s="2">
        <v>0.82</v>
      </c>
      <c r="F111" s="2">
        <v>0.75</v>
      </c>
      <c r="G111" s="2">
        <v>0.85</v>
      </c>
      <c r="H111" s="2">
        <v>0.74</v>
      </c>
      <c r="I111" s="2">
        <v>0.82</v>
      </c>
      <c r="J111" s="2">
        <v>0.8</v>
      </c>
      <c r="K111" s="2">
        <v>0.8</v>
      </c>
      <c r="L111" s="2">
        <v>0.77</v>
      </c>
      <c r="M111" s="2">
        <v>0.82</v>
      </c>
      <c r="N111" s="2">
        <v>0.77</v>
      </c>
      <c r="O111" s="2">
        <v>0.74</v>
      </c>
      <c r="P111" s="2">
        <v>0.75</v>
      </c>
      <c r="Q111" s="2">
        <v>0.78600000000000003</v>
      </c>
      <c r="R111" s="2" t="s">
        <v>24</v>
      </c>
      <c r="S111" s="18">
        <v>1</v>
      </c>
    </row>
    <row r="112" spans="1:19" x14ac:dyDescent="0.3">
      <c r="A112" t="s">
        <v>110</v>
      </c>
      <c r="B112" t="s">
        <v>89</v>
      </c>
      <c r="C112" t="s">
        <v>45</v>
      </c>
      <c r="D112" s="2">
        <v>0.76</v>
      </c>
      <c r="E112" s="2">
        <v>0.75</v>
      </c>
      <c r="F112" s="2">
        <v>0.75</v>
      </c>
      <c r="G112" s="2">
        <v>0.84</v>
      </c>
      <c r="H112" s="2">
        <v>0.84</v>
      </c>
      <c r="I112" s="2">
        <v>0.74</v>
      </c>
      <c r="J112" s="2">
        <v>0.75</v>
      </c>
      <c r="K112" s="2">
        <v>0.75</v>
      </c>
      <c r="L112" s="2">
        <v>0.77</v>
      </c>
      <c r="M112" s="2">
        <v>0.74</v>
      </c>
      <c r="N112" s="2">
        <v>0.74</v>
      </c>
      <c r="O112" s="2">
        <v>0.76</v>
      </c>
      <c r="P112" s="2">
        <v>0.8</v>
      </c>
      <c r="Q112" s="2">
        <v>0.76539999999999986</v>
      </c>
      <c r="R112" s="2" t="s">
        <v>24</v>
      </c>
      <c r="S112" s="18">
        <v>2</v>
      </c>
    </row>
    <row r="113" spans="1:19" x14ac:dyDescent="0.3">
      <c r="A113" t="s">
        <v>110</v>
      </c>
      <c r="B113" t="s">
        <v>91</v>
      </c>
      <c r="C113" t="s">
        <v>69</v>
      </c>
      <c r="D113" s="2">
        <v>0.61</v>
      </c>
      <c r="E113" s="2">
        <v>0.66</v>
      </c>
      <c r="F113" s="2">
        <v>0.6</v>
      </c>
      <c r="G113" s="2">
        <v>0.61</v>
      </c>
      <c r="H113" s="2">
        <v>0.7</v>
      </c>
      <c r="I113" s="2">
        <v>0.69</v>
      </c>
      <c r="J113" s="2">
        <v>0.69</v>
      </c>
      <c r="K113" s="2">
        <v>0.67</v>
      </c>
      <c r="L113" s="2">
        <v>0.64</v>
      </c>
      <c r="M113" s="2">
        <v>0.69</v>
      </c>
      <c r="N113" s="2">
        <v>0.68</v>
      </c>
      <c r="O113" s="2">
        <v>0.65</v>
      </c>
      <c r="P113" s="2">
        <v>0.7</v>
      </c>
      <c r="Q113" s="2">
        <v>0.64819999999999989</v>
      </c>
      <c r="R113" s="2" t="s">
        <v>28</v>
      </c>
      <c r="S113" s="18">
        <v>4</v>
      </c>
    </row>
    <row r="114" spans="1:19" x14ac:dyDescent="0.3">
      <c r="A114" t="s">
        <v>110</v>
      </c>
      <c r="B114" t="s">
        <v>98</v>
      </c>
      <c r="C114" t="s">
        <v>44</v>
      </c>
      <c r="D114" s="2">
        <v>0.6</v>
      </c>
      <c r="E114" s="2">
        <v>0.69</v>
      </c>
      <c r="F114" s="2">
        <v>0.61</v>
      </c>
      <c r="G114" s="2">
        <v>0.6</v>
      </c>
      <c r="H114" s="2">
        <v>0.64</v>
      </c>
      <c r="I114" s="2">
        <v>0.68</v>
      </c>
      <c r="J114" s="2">
        <v>0.69</v>
      </c>
      <c r="K114" s="2">
        <v>0.67</v>
      </c>
      <c r="L114" s="2">
        <v>0.67</v>
      </c>
      <c r="M114" s="2">
        <v>0.62</v>
      </c>
      <c r="N114" s="2">
        <v>0.65</v>
      </c>
      <c r="O114" s="2">
        <v>0.65</v>
      </c>
      <c r="P114" s="2">
        <v>0.66</v>
      </c>
      <c r="Q114" s="2">
        <v>0.64240000000000008</v>
      </c>
      <c r="R114" s="2" t="s">
        <v>28</v>
      </c>
      <c r="S114" s="18">
        <v>5</v>
      </c>
    </row>
    <row r="115" spans="1:19" x14ac:dyDescent="0.3">
      <c r="A115" t="s">
        <v>110</v>
      </c>
      <c r="B115" t="s">
        <v>93</v>
      </c>
      <c r="C115" t="s">
        <v>60</v>
      </c>
      <c r="D115" s="2">
        <v>0.6</v>
      </c>
      <c r="E115" s="2">
        <v>0.6</v>
      </c>
      <c r="F115" s="2">
        <v>0.6</v>
      </c>
      <c r="G115" s="2">
        <v>0.66</v>
      </c>
      <c r="H115" s="2">
        <v>0.64</v>
      </c>
      <c r="I115" s="2">
        <v>0.65</v>
      </c>
      <c r="J115" s="2">
        <v>0.65</v>
      </c>
      <c r="K115" s="2">
        <v>0.69</v>
      </c>
      <c r="L115" s="2">
        <v>0.66</v>
      </c>
      <c r="M115" s="2">
        <v>0.67</v>
      </c>
      <c r="N115" s="2">
        <v>0.62</v>
      </c>
      <c r="O115" s="2">
        <v>0.7</v>
      </c>
      <c r="P115" s="2">
        <v>0.63</v>
      </c>
      <c r="Q115" s="2">
        <v>0.62660000000000005</v>
      </c>
      <c r="R115" s="2" t="s">
        <v>29</v>
      </c>
      <c r="S115" s="18">
        <v>4</v>
      </c>
    </row>
    <row r="116" spans="1:19" x14ac:dyDescent="0.3">
      <c r="A116" t="s">
        <v>110</v>
      </c>
      <c r="B116" t="s">
        <v>97</v>
      </c>
      <c r="C116" t="s">
        <v>50</v>
      </c>
      <c r="D116" s="2">
        <v>0.54</v>
      </c>
      <c r="E116" s="2">
        <v>0.6</v>
      </c>
      <c r="F116" s="2">
        <v>0.66</v>
      </c>
      <c r="G116" s="2">
        <v>0.71</v>
      </c>
      <c r="H116" s="2">
        <v>0.78</v>
      </c>
      <c r="I116" s="2">
        <v>0.79</v>
      </c>
      <c r="J116" s="2">
        <v>0.64</v>
      </c>
      <c r="K116" s="2">
        <v>0.75</v>
      </c>
      <c r="L116" s="2">
        <v>0.53</v>
      </c>
      <c r="M116" s="2">
        <v>0.55000000000000004</v>
      </c>
      <c r="N116" s="2">
        <v>0.5</v>
      </c>
      <c r="O116" s="2">
        <v>0.8</v>
      </c>
      <c r="P116" s="2">
        <v>0.52</v>
      </c>
      <c r="Q116" s="2">
        <v>0.62620000000000009</v>
      </c>
      <c r="R116" s="2" t="s">
        <v>29</v>
      </c>
      <c r="S116" s="18">
        <v>3</v>
      </c>
    </row>
    <row r="117" spans="1:19" x14ac:dyDescent="0.3">
      <c r="A117" t="s">
        <v>110</v>
      </c>
      <c r="B117" t="s">
        <v>95</v>
      </c>
      <c r="C117" t="s">
        <v>46</v>
      </c>
      <c r="D117" s="2">
        <v>0.65</v>
      </c>
      <c r="E117" s="2">
        <v>0.6</v>
      </c>
      <c r="F117" s="2">
        <v>0.51</v>
      </c>
      <c r="G117" s="2">
        <v>0.61</v>
      </c>
      <c r="H117" s="2">
        <v>0.76</v>
      </c>
      <c r="I117" s="2">
        <v>0.5</v>
      </c>
      <c r="J117" s="2">
        <v>0.56999999999999995</v>
      </c>
      <c r="K117" s="2">
        <v>0.51</v>
      </c>
      <c r="L117" s="2">
        <v>0.63</v>
      </c>
      <c r="M117" s="2">
        <v>0.77</v>
      </c>
      <c r="N117" s="2">
        <v>0.64</v>
      </c>
      <c r="O117" s="2">
        <v>0.76</v>
      </c>
      <c r="P117" s="2">
        <v>0.78</v>
      </c>
      <c r="Q117" s="2">
        <v>0.6218999999999999</v>
      </c>
      <c r="R117" s="2" t="s">
        <v>29</v>
      </c>
      <c r="S117" s="18">
        <v>3</v>
      </c>
    </row>
    <row r="118" spans="1:19" x14ac:dyDescent="0.3">
      <c r="A118" t="s">
        <v>110</v>
      </c>
      <c r="B118" t="s">
        <v>96</v>
      </c>
      <c r="C118" t="s">
        <v>68</v>
      </c>
      <c r="D118" s="2">
        <v>0.55000000000000004</v>
      </c>
      <c r="E118" s="2">
        <v>0.76</v>
      </c>
      <c r="F118" s="2">
        <v>0.47</v>
      </c>
      <c r="G118" s="2">
        <v>0.76</v>
      </c>
      <c r="H118" s="2">
        <v>0.61</v>
      </c>
      <c r="I118" s="2">
        <v>0.5</v>
      </c>
      <c r="J118" s="2">
        <v>0.56000000000000005</v>
      </c>
      <c r="K118" s="2">
        <v>0.57999999999999996</v>
      </c>
      <c r="L118" s="2">
        <v>0.54</v>
      </c>
      <c r="M118" s="2">
        <v>0.69</v>
      </c>
      <c r="N118" s="2">
        <v>0.72</v>
      </c>
      <c r="O118" s="2">
        <v>0.62</v>
      </c>
      <c r="P118" s="2">
        <v>0.78</v>
      </c>
      <c r="Q118" s="2">
        <v>0.6160000000000001</v>
      </c>
      <c r="R118" s="2" t="s">
        <v>29</v>
      </c>
      <c r="S118" s="18">
        <v>2</v>
      </c>
    </row>
    <row r="119" spans="1:19" x14ac:dyDescent="0.3">
      <c r="A119" t="s">
        <v>110</v>
      </c>
      <c r="B119" t="s">
        <v>102</v>
      </c>
      <c r="C119" t="s">
        <v>65</v>
      </c>
      <c r="D119" s="2">
        <v>0.52</v>
      </c>
      <c r="E119" s="2">
        <v>0.56999999999999995</v>
      </c>
      <c r="F119" s="2">
        <v>0.66</v>
      </c>
      <c r="G119" s="2">
        <v>0.68</v>
      </c>
      <c r="H119" s="2">
        <v>0.79</v>
      </c>
      <c r="I119" s="2">
        <v>0.72</v>
      </c>
      <c r="J119" s="2">
        <v>0.49</v>
      </c>
      <c r="K119" s="2">
        <v>0.51</v>
      </c>
      <c r="L119" s="2">
        <v>0.48</v>
      </c>
      <c r="M119" s="2">
        <v>0.8</v>
      </c>
      <c r="N119" s="2">
        <v>0.64</v>
      </c>
      <c r="O119" s="2">
        <v>0.64</v>
      </c>
      <c r="P119" s="2">
        <v>0.56999999999999995</v>
      </c>
      <c r="Q119" s="2">
        <v>0.60929999999999995</v>
      </c>
      <c r="R119" s="2" t="s">
        <v>29</v>
      </c>
      <c r="S119" s="18">
        <v>4</v>
      </c>
    </row>
    <row r="120" spans="1:19" x14ac:dyDescent="0.3">
      <c r="A120" t="s">
        <v>110</v>
      </c>
      <c r="B120" t="s">
        <v>100</v>
      </c>
      <c r="C120" t="s">
        <v>41</v>
      </c>
      <c r="D120" s="2">
        <v>0.57999999999999996</v>
      </c>
      <c r="E120" s="2">
        <v>0.67</v>
      </c>
      <c r="F120" s="2">
        <v>0.56999999999999995</v>
      </c>
      <c r="G120" s="2">
        <v>0.69</v>
      </c>
      <c r="H120" s="2">
        <v>0.45</v>
      </c>
      <c r="I120" s="2">
        <v>0.67</v>
      </c>
      <c r="J120" s="2">
        <v>0.64</v>
      </c>
      <c r="K120" s="2">
        <v>0.65</v>
      </c>
      <c r="L120" s="2">
        <v>0.49</v>
      </c>
      <c r="M120" s="2">
        <v>0.65</v>
      </c>
      <c r="N120" s="2">
        <v>0.65</v>
      </c>
      <c r="O120" s="2">
        <v>0.49</v>
      </c>
      <c r="P120" s="2">
        <v>0.67</v>
      </c>
      <c r="Q120" s="2">
        <v>0.60820000000000007</v>
      </c>
      <c r="R120" s="2" t="s">
        <v>29</v>
      </c>
      <c r="S120" s="18">
        <v>4</v>
      </c>
    </row>
    <row r="121" spans="1:19" x14ac:dyDescent="0.3">
      <c r="A121" t="s">
        <v>110</v>
      </c>
      <c r="B121" t="s">
        <v>101</v>
      </c>
      <c r="C121" t="s">
        <v>40</v>
      </c>
      <c r="D121" s="2">
        <v>0.67</v>
      </c>
      <c r="E121" s="2">
        <v>0.66</v>
      </c>
      <c r="F121" s="2">
        <v>0.45</v>
      </c>
      <c r="G121" s="2">
        <v>0.5</v>
      </c>
      <c r="H121" s="2">
        <v>0.51</v>
      </c>
      <c r="I121" s="2">
        <v>0.5</v>
      </c>
      <c r="J121" s="2">
        <v>0.74</v>
      </c>
      <c r="K121" s="2">
        <v>0.75</v>
      </c>
      <c r="L121" s="2">
        <v>0.56000000000000005</v>
      </c>
      <c r="M121" s="2">
        <v>0.59</v>
      </c>
      <c r="N121" s="2">
        <v>0.49</v>
      </c>
      <c r="O121" s="2">
        <v>0.57999999999999996</v>
      </c>
      <c r="P121" s="2">
        <v>0.45</v>
      </c>
      <c r="Q121" s="2">
        <v>0.56580000000000008</v>
      </c>
      <c r="R121" s="2" t="s">
        <v>29</v>
      </c>
      <c r="S121" s="18">
        <v>5</v>
      </c>
    </row>
    <row r="122" spans="1:19" x14ac:dyDescent="0.3">
      <c r="A122" t="s">
        <v>110</v>
      </c>
      <c r="B122" t="s">
        <v>84</v>
      </c>
      <c r="C122" t="s">
        <v>64</v>
      </c>
      <c r="D122" s="2">
        <v>0.57999999999999996</v>
      </c>
      <c r="E122" s="2">
        <v>0.68</v>
      </c>
      <c r="F122" s="2">
        <v>0.46</v>
      </c>
      <c r="G122" s="2">
        <v>0.73</v>
      </c>
      <c r="H122" s="2">
        <v>0.46</v>
      </c>
      <c r="I122" s="2">
        <v>0.62</v>
      </c>
      <c r="J122" s="2">
        <v>0.45</v>
      </c>
      <c r="K122" s="2">
        <v>0.57999999999999996</v>
      </c>
      <c r="L122" s="2">
        <v>0.45</v>
      </c>
      <c r="M122" s="2">
        <v>0.46</v>
      </c>
      <c r="N122" s="2">
        <v>0.56000000000000005</v>
      </c>
      <c r="O122" s="2">
        <v>0.72</v>
      </c>
      <c r="P122" s="2">
        <v>0.56999999999999995</v>
      </c>
      <c r="Q122" s="2">
        <v>0.56180000000000008</v>
      </c>
      <c r="R122" s="2" t="s">
        <v>29</v>
      </c>
      <c r="S122" s="18">
        <v>4</v>
      </c>
    </row>
  </sheetData>
  <mergeCells count="4">
    <mergeCell ref="A6:C6"/>
    <mergeCell ref="A4:C4"/>
    <mergeCell ref="A5:C5"/>
    <mergeCell ref="P8:R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fil">
                <anchor moveWithCells="1" sizeWithCells="1">
                  <from>
                    <xdr:col>17</xdr:col>
                    <xdr:colOff>146304</xdr:colOff>
                    <xdr:row>2</xdr:row>
                    <xdr:rowOff>131674</xdr:rowOff>
                  </from>
                  <to>
                    <xdr:col>20</xdr:col>
                    <xdr:colOff>102413</xdr:colOff>
                    <xdr:row>4</xdr:row>
                    <xdr:rowOff>124358</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4">
        <x14:dataValidation type="list" allowBlank="1" showInputMessage="1" showErrorMessage="1" xr:uid="{7661E789-BED2-4542-A468-4749BE38FF9E}">
          <x14:formula1>
            <xm:f>'Grade Book'!$BA$18:$BA$21</xm:f>
          </x14:formula1>
          <xm:sqref>A2</xm:sqref>
        </x14:dataValidation>
        <x14:dataValidation type="list" allowBlank="1" showInputMessage="1" showErrorMessage="1" xr:uid="{D62D4353-2F2C-4BB3-A6A2-8BE5591DA9B7}">
          <x14:formula1>
            <xm:f>'Grade Book'!$C$4:$C$36</xm:f>
          </x14:formula1>
          <xm:sqref>B2</xm:sqref>
        </x14:dataValidation>
        <x14:dataValidation type="list" allowBlank="1" showInputMessage="1" showErrorMessage="1" xr:uid="{73BDDE80-D3FC-472B-96DF-07490339528F}">
          <x14:formula1>
            <xm:f>'Grade Book'!$BB$4:$BB$13</xm:f>
          </x14:formula1>
          <xm:sqref>R2</xm:sqref>
        </x14:dataValidation>
        <x14:dataValidation type="list" allowBlank="1" showInputMessage="1" showErrorMessage="1" xr:uid="{BF2BD0BB-019E-4827-9FB6-04ED33A9DC38}">
          <x14:formula1>
            <xm:f>'Pivot Table'!$B$4:$B$10</xm:f>
          </x14:formula1>
          <xm:sqref>S2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6728C-ED05-41F7-9FEE-36AC27BF4277}">
  <dimension ref="B2:P16"/>
  <sheetViews>
    <sheetView workbookViewId="0">
      <selection activeCell="G11" sqref="G11"/>
    </sheetView>
  </sheetViews>
  <sheetFormatPr defaultRowHeight="14.4" x14ac:dyDescent="0.3"/>
  <cols>
    <col min="2" max="2" width="14.69921875" bestFit="1" customWidth="1"/>
    <col min="3" max="3" width="12.09765625" bestFit="1" customWidth="1"/>
    <col min="7" max="7" width="15.296875" bestFit="1" customWidth="1"/>
    <col min="8" max="11" width="11.09765625" bestFit="1" customWidth="1"/>
  </cols>
  <sheetData>
    <row r="2" spans="2:16" ht="15" thickBot="1" x14ac:dyDescent="0.35">
      <c r="M2" s="19" t="s">
        <v>166</v>
      </c>
      <c r="N2" s="19"/>
      <c r="O2" s="19"/>
      <c r="P2" s="19"/>
    </row>
    <row r="3" spans="2:16" x14ac:dyDescent="0.3">
      <c r="B3" s="109" t="s">
        <v>160</v>
      </c>
      <c r="C3" s="110">
        <v>60000</v>
      </c>
      <c r="M3" s="19"/>
      <c r="N3" s="19"/>
      <c r="O3" s="19"/>
      <c r="P3" s="19"/>
    </row>
    <row r="4" spans="2:16" x14ac:dyDescent="0.3">
      <c r="B4" s="111" t="s">
        <v>111</v>
      </c>
      <c r="C4" s="120" t="s">
        <v>108</v>
      </c>
      <c r="M4" s="19"/>
      <c r="N4" s="19"/>
      <c r="O4" s="19"/>
      <c r="P4" s="19"/>
    </row>
    <row r="5" spans="2:16" x14ac:dyDescent="0.3">
      <c r="B5" s="111" t="s">
        <v>169</v>
      </c>
      <c r="C5" s="112">
        <f>AVERAGEIF(Table4[Class],'Teacher Bonus Data Table'!C4,Table4[Overall GPA])</f>
        <v>0.76924666666666652</v>
      </c>
      <c r="M5" s="19"/>
      <c r="N5" s="19"/>
      <c r="O5" s="19"/>
      <c r="P5" s="19"/>
    </row>
    <row r="6" spans="2:16" x14ac:dyDescent="0.3">
      <c r="B6" s="111" t="s">
        <v>170</v>
      </c>
      <c r="C6" s="113">
        <f>INDEX(C10:C15,MATCH(C5,B10:B15,1))</f>
        <v>0.05</v>
      </c>
      <c r="M6" s="19"/>
      <c r="N6" s="19"/>
      <c r="O6" s="19"/>
      <c r="P6" s="19"/>
    </row>
    <row r="7" spans="2:16" x14ac:dyDescent="0.3">
      <c r="B7" s="111" t="s">
        <v>168</v>
      </c>
      <c r="C7" s="114">
        <f>SUBTOTAL(6,C3,C6)</f>
        <v>3000</v>
      </c>
    </row>
    <row r="8" spans="2:16" ht="15" thickBot="1" x14ac:dyDescent="0.35">
      <c r="B8" s="115" t="s">
        <v>171</v>
      </c>
      <c r="C8" s="116">
        <f>SUM(C3,C7)</f>
        <v>63000</v>
      </c>
    </row>
    <row r="9" spans="2:16" x14ac:dyDescent="0.3">
      <c r="C9" s="108"/>
      <c r="G9" s="20" t="s">
        <v>172</v>
      </c>
      <c r="H9" s="20"/>
      <c r="I9" s="20"/>
      <c r="J9" s="20"/>
    </row>
    <row r="10" spans="2:16" x14ac:dyDescent="0.3">
      <c r="B10" t="s">
        <v>167</v>
      </c>
      <c r="C10" t="s">
        <v>168</v>
      </c>
      <c r="G10" t="s">
        <v>173</v>
      </c>
      <c r="H10" s="20" t="s">
        <v>160</v>
      </c>
      <c r="I10" s="20"/>
      <c r="J10" s="20"/>
      <c r="K10" s="20"/>
    </row>
    <row r="11" spans="2:16" x14ac:dyDescent="0.3">
      <c r="B11" s="2">
        <v>0.7</v>
      </c>
      <c r="C11" s="2">
        <v>0</v>
      </c>
      <c r="G11" s="117">
        <f>C8</f>
        <v>63000</v>
      </c>
      <c r="H11" s="118">
        <v>60000</v>
      </c>
      <c r="I11" s="118">
        <v>70000</v>
      </c>
      <c r="J11" s="118">
        <v>75000</v>
      </c>
      <c r="K11" s="118">
        <v>80000</v>
      </c>
    </row>
    <row r="12" spans="2:16" x14ac:dyDescent="0.3">
      <c r="B12" s="2">
        <v>0.75</v>
      </c>
      <c r="C12" s="2">
        <v>0.05</v>
      </c>
      <c r="G12" s="3">
        <v>0.7</v>
      </c>
      <c r="H12" s="119">
        <f t="dataTable" ref="H12:K16" dt2D="1" dtr="1" r1="C3" r2="C5"/>
        <v>60000</v>
      </c>
      <c r="I12" s="119">
        <v>70000</v>
      </c>
      <c r="J12" s="119">
        <v>75000</v>
      </c>
      <c r="K12" s="119">
        <v>80000</v>
      </c>
    </row>
    <row r="13" spans="2:16" x14ac:dyDescent="0.3">
      <c r="B13" s="2">
        <v>0.8</v>
      </c>
      <c r="C13" s="2">
        <v>0.1</v>
      </c>
      <c r="G13" s="3">
        <v>0.75</v>
      </c>
      <c r="H13" s="119">
        <v>63000</v>
      </c>
      <c r="I13" s="119">
        <v>73500</v>
      </c>
      <c r="J13" s="119">
        <v>78750</v>
      </c>
      <c r="K13" s="119">
        <v>84000</v>
      </c>
    </row>
    <row r="14" spans="2:16" x14ac:dyDescent="0.3">
      <c r="B14" s="2">
        <v>0.85</v>
      </c>
      <c r="C14" s="2">
        <v>0.15</v>
      </c>
      <c r="G14" s="3">
        <v>0.8</v>
      </c>
      <c r="H14" s="119">
        <v>66000</v>
      </c>
      <c r="I14" s="119">
        <v>77000</v>
      </c>
      <c r="J14" s="119">
        <v>82500</v>
      </c>
      <c r="K14" s="119">
        <v>88000</v>
      </c>
    </row>
    <row r="15" spans="2:16" x14ac:dyDescent="0.3">
      <c r="B15" s="2">
        <v>0.9</v>
      </c>
      <c r="C15" s="2">
        <v>0.2</v>
      </c>
      <c r="G15" s="3">
        <v>0.85</v>
      </c>
      <c r="H15" s="119">
        <v>69000</v>
      </c>
      <c r="I15" s="119">
        <v>80500</v>
      </c>
      <c r="J15" s="119">
        <v>86250</v>
      </c>
      <c r="K15" s="119">
        <v>92000</v>
      </c>
    </row>
    <row r="16" spans="2:16" x14ac:dyDescent="0.3">
      <c r="G16" s="3">
        <v>0.9</v>
      </c>
      <c r="H16" s="119">
        <v>72000</v>
      </c>
      <c r="I16" s="119">
        <v>84000</v>
      </c>
      <c r="J16" s="119">
        <v>90000</v>
      </c>
      <c r="K16" s="119">
        <v>96000</v>
      </c>
    </row>
  </sheetData>
  <mergeCells count="3">
    <mergeCell ref="M2:P6"/>
    <mergeCell ref="G9:J9"/>
    <mergeCell ref="H10:K10"/>
  </mergeCell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B7F28C56-41FD-495E-BCF7-3CE92FE4E4E6}">
          <x14:formula1>
            <xm:f>'Grade Book'!$BA$18:$BA$21</xm:f>
          </x14:formula1>
          <xm:sqref>C4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F3E76-8A48-4291-8F6A-DBC868B76EE5}">
  <sheetPr codeName="Sheet3"/>
  <dimension ref="A1:BB69"/>
  <sheetViews>
    <sheetView topLeftCell="AU1" workbookViewId="0">
      <pane ySplit="1" topLeftCell="A2" activePane="bottomLeft" state="frozen"/>
      <selection pane="bottomLeft" activeCell="AC33" sqref="AC33"/>
    </sheetView>
  </sheetViews>
  <sheetFormatPr defaultRowHeight="14.4" x14ac:dyDescent="0.3"/>
  <cols>
    <col min="1" max="1" width="7.296875" bestFit="1" customWidth="1"/>
    <col min="4" max="4" width="11.59765625" bestFit="1" customWidth="1"/>
    <col min="17" max="17" width="9.3984375" customWidth="1"/>
    <col min="18" max="18" width="14" bestFit="1" customWidth="1"/>
    <col min="22" max="22" width="9.09765625" customWidth="1"/>
    <col min="23" max="23" width="8" customWidth="1"/>
    <col min="24" max="26" width="9.09765625" customWidth="1"/>
    <col min="27" max="27" width="10" customWidth="1"/>
    <col min="28" max="29" width="11.09765625" customWidth="1"/>
    <col min="30" max="30" width="9.09765625" customWidth="1"/>
    <col min="31" max="32" width="11.09765625" customWidth="1"/>
    <col min="33" max="33" width="9.09765625" customWidth="1"/>
    <col min="34" max="34" width="11.09765625" customWidth="1"/>
    <col min="35" max="50" width="9.09765625" customWidth="1"/>
  </cols>
  <sheetData>
    <row r="1" spans="1:54" s="1" customFormat="1" x14ac:dyDescent="0.3">
      <c r="A1" s="1" t="s">
        <v>0</v>
      </c>
      <c r="E1" s="6">
        <v>0.15</v>
      </c>
      <c r="F1" s="6">
        <v>0.15</v>
      </c>
      <c r="G1" s="6">
        <v>0.2</v>
      </c>
      <c r="H1" s="6">
        <v>0.05</v>
      </c>
      <c r="I1" s="6">
        <v>0.05</v>
      </c>
      <c r="J1" s="6">
        <v>0.05</v>
      </c>
      <c r="K1" s="6">
        <v>0.05</v>
      </c>
      <c r="L1" s="6">
        <v>0.04</v>
      </c>
      <c r="M1" s="6">
        <v>0.04</v>
      </c>
      <c r="N1" s="6">
        <v>0.04</v>
      </c>
      <c r="O1" s="6">
        <v>0.04</v>
      </c>
      <c r="P1" s="6">
        <v>0.04</v>
      </c>
      <c r="Q1" s="6">
        <v>0.1</v>
      </c>
      <c r="R1" s="3">
        <f>SUM(E1:Q1)</f>
        <v>1.0000000000000004</v>
      </c>
      <c r="Z1" s="6">
        <v>0.15</v>
      </c>
      <c r="AA1" s="6">
        <v>0.15</v>
      </c>
      <c r="AB1" s="6">
        <v>0.2</v>
      </c>
      <c r="AC1" s="6">
        <v>0.05</v>
      </c>
      <c r="AD1" s="6">
        <v>0.05</v>
      </c>
      <c r="AE1" s="6">
        <v>0.05</v>
      </c>
      <c r="AF1" s="6">
        <v>0.05</v>
      </c>
      <c r="AG1" s="6">
        <v>0.04</v>
      </c>
      <c r="AH1" s="6">
        <v>0.04</v>
      </c>
      <c r="AI1" s="6">
        <v>0.04</v>
      </c>
      <c r="AJ1" s="6">
        <v>0.04</v>
      </c>
      <c r="AK1" s="6">
        <v>0.04</v>
      </c>
      <c r="AL1" s="6">
        <v>0.1</v>
      </c>
      <c r="AM1" s="3">
        <f>SUM(Z1:AL1)</f>
        <v>1.0000000000000004</v>
      </c>
      <c r="AN1"/>
      <c r="AO1"/>
      <c r="AQ1" s="1" t="s">
        <v>4</v>
      </c>
      <c r="AT1" s="1" t="s">
        <v>5</v>
      </c>
      <c r="AW1" s="1" t="s">
        <v>6</v>
      </c>
    </row>
    <row r="2" spans="1:54" s="1" customFormat="1" x14ac:dyDescent="0.3">
      <c r="B2" s="22" t="s">
        <v>107</v>
      </c>
      <c r="C2" s="22"/>
      <c r="D2" s="11"/>
      <c r="E2"/>
      <c r="F2"/>
      <c r="G2"/>
      <c r="H2"/>
      <c r="I2"/>
      <c r="J2"/>
      <c r="K2"/>
      <c r="L2"/>
      <c r="M2"/>
      <c r="N2"/>
      <c r="O2"/>
      <c r="P2"/>
      <c r="Q2"/>
      <c r="R2" s="3"/>
      <c r="W2" s="22" t="s">
        <v>109</v>
      </c>
      <c r="X2" s="22"/>
      <c r="Y2" s="11"/>
      <c r="Z2"/>
      <c r="AA2"/>
      <c r="AB2"/>
      <c r="AC2"/>
      <c r="AD2"/>
      <c r="AE2"/>
      <c r="AF2"/>
      <c r="AG2"/>
      <c r="AH2"/>
      <c r="AI2"/>
      <c r="AJ2"/>
      <c r="AK2"/>
      <c r="AL2"/>
      <c r="AM2" s="3"/>
    </row>
    <row r="3" spans="1:54" s="1" customFormat="1" x14ac:dyDescent="0.3">
      <c r="A3" s="5" t="s">
        <v>32</v>
      </c>
      <c r="B3" s="1" t="s">
        <v>1</v>
      </c>
      <c r="C3" s="1" t="s">
        <v>2</v>
      </c>
      <c r="D3" s="1" t="s">
        <v>3</v>
      </c>
      <c r="E3" s="1" t="s">
        <v>4</v>
      </c>
      <c r="F3" s="1" t="s">
        <v>5</v>
      </c>
      <c r="G3" s="1" t="s">
        <v>6</v>
      </c>
      <c r="H3" s="1" t="s">
        <v>7</v>
      </c>
      <c r="I3" s="1" t="s">
        <v>8</v>
      </c>
      <c r="J3" s="1" t="s">
        <v>9</v>
      </c>
      <c r="K3" s="1" t="s">
        <v>10</v>
      </c>
      <c r="L3" s="1" t="s">
        <v>11</v>
      </c>
      <c r="M3" s="1" t="s">
        <v>12</v>
      </c>
      <c r="N3" s="1" t="s">
        <v>13</v>
      </c>
      <c r="O3" s="1" t="s">
        <v>14</v>
      </c>
      <c r="P3" s="1" t="s">
        <v>15</v>
      </c>
      <c r="Q3" s="1" t="s">
        <v>16</v>
      </c>
      <c r="R3" s="1" t="s">
        <v>30</v>
      </c>
      <c r="S3" s="1" t="s">
        <v>18</v>
      </c>
      <c r="T3" s="1" t="s">
        <v>121</v>
      </c>
      <c r="V3" s="5" t="s">
        <v>32</v>
      </c>
      <c r="W3" s="1" t="s">
        <v>1</v>
      </c>
      <c r="X3" s="1" t="s">
        <v>2</v>
      </c>
      <c r="Y3" s="1" t="s">
        <v>3</v>
      </c>
      <c r="Z3" s="1" t="s">
        <v>4</v>
      </c>
      <c r="AA3" s="1" t="s">
        <v>5</v>
      </c>
      <c r="AB3" s="1" t="s">
        <v>6</v>
      </c>
      <c r="AC3" s="1" t="s">
        <v>7</v>
      </c>
      <c r="AD3" s="1" t="s">
        <v>8</v>
      </c>
      <c r="AE3" s="1" t="s">
        <v>9</v>
      </c>
      <c r="AF3" s="1" t="s">
        <v>10</v>
      </c>
      <c r="AG3" s="1" t="s">
        <v>11</v>
      </c>
      <c r="AH3" s="1" t="s">
        <v>12</v>
      </c>
      <c r="AI3" s="1" t="s">
        <v>13</v>
      </c>
      <c r="AJ3" s="1" t="s">
        <v>14</v>
      </c>
      <c r="AK3" s="1" t="s">
        <v>15</v>
      </c>
      <c r="AL3" s="1" t="s">
        <v>16</v>
      </c>
      <c r="AM3" s="1" t="s">
        <v>30</v>
      </c>
      <c r="AN3" s="1" t="s">
        <v>18</v>
      </c>
      <c r="AO3" s="1" t="s">
        <v>121</v>
      </c>
      <c r="AQ3" s="1" t="s">
        <v>103</v>
      </c>
      <c r="AR3" s="1" t="s">
        <v>31</v>
      </c>
      <c r="AT3" s="1" t="s">
        <v>103</v>
      </c>
      <c r="AU3" s="1" t="s">
        <v>31</v>
      </c>
      <c r="AW3" s="1" t="s">
        <v>103</v>
      </c>
      <c r="AX3" s="1" t="s">
        <v>31</v>
      </c>
      <c r="BA3" s="1" t="s">
        <v>19</v>
      </c>
    </row>
    <row r="4" spans="1:54" x14ac:dyDescent="0.3">
      <c r="A4" s="4">
        <v>1</v>
      </c>
      <c r="B4">
        <v>2133071</v>
      </c>
      <c r="C4" t="s">
        <v>76</v>
      </c>
      <c r="D4" t="s">
        <v>44</v>
      </c>
      <c r="E4" s="8">
        <v>0.99</v>
      </c>
      <c r="F4" s="8">
        <v>0.92</v>
      </c>
      <c r="G4" s="8">
        <v>0.98</v>
      </c>
      <c r="H4" s="8">
        <v>0.88</v>
      </c>
      <c r="I4" s="8">
        <v>0.77</v>
      </c>
      <c r="J4" s="8">
        <v>0.98</v>
      </c>
      <c r="K4" s="8">
        <v>1</v>
      </c>
      <c r="L4" s="8">
        <v>0.76</v>
      </c>
      <c r="M4" s="8">
        <v>0.76</v>
      </c>
      <c r="N4" s="8">
        <v>0.87</v>
      </c>
      <c r="O4" s="8">
        <v>0.77</v>
      </c>
      <c r="P4" s="8">
        <v>0.96</v>
      </c>
      <c r="Q4" s="8">
        <v>0.77</v>
      </c>
      <c r="R4" s="13">
        <f t="shared" ref="R4:R36" si="0">SUMPRODUCT($E$1:$Q$1,E4:Q4)</f>
        <v>0.90580000000000016</v>
      </c>
      <c r="S4" t="str">
        <f>INDEX($BB$4:$BB$13,MATCH(Grades[[#This Row],[Overall GPA]],$BA$4:$BA$13,-1))</f>
        <v>A</v>
      </c>
      <c r="T4" s="18">
        <v>0</v>
      </c>
      <c r="V4" s="4">
        <v>1</v>
      </c>
      <c r="W4" s="14">
        <v>3914459</v>
      </c>
      <c r="X4" s="8" t="s">
        <v>86</v>
      </c>
      <c r="Y4" t="s">
        <v>38</v>
      </c>
      <c r="Z4" s="8">
        <v>1</v>
      </c>
      <c r="AA4" s="8">
        <v>0.94</v>
      </c>
      <c r="AB4" s="8">
        <v>0.97</v>
      </c>
      <c r="AC4" s="8">
        <v>0.9</v>
      </c>
      <c r="AD4" s="8">
        <v>0.91</v>
      </c>
      <c r="AE4" s="8">
        <v>1</v>
      </c>
      <c r="AF4" s="8">
        <v>0.93</v>
      </c>
      <c r="AG4" s="8">
        <v>0.94</v>
      </c>
      <c r="AH4" s="8">
        <v>0.98</v>
      </c>
      <c r="AI4" s="8">
        <v>0.96</v>
      </c>
      <c r="AJ4" s="8">
        <v>0.97</v>
      </c>
      <c r="AK4" s="8">
        <v>1</v>
      </c>
      <c r="AL4" s="8">
        <v>0.9</v>
      </c>
      <c r="AM4" s="13">
        <f>SUMPRODUCT(Grades3[[#This Row],[Test 1]:[Project]],$E$1:$Q$1)</f>
        <v>0.95600000000000007</v>
      </c>
      <c r="AN4" t="str">
        <f>INDEX($BB$4:$BB$13,MATCH(Grades3[[#This Row],[Overall GPA]],$BA$4:$BA$13,-1))</f>
        <v>A+</v>
      </c>
      <c r="AO4" s="18">
        <v>0</v>
      </c>
      <c r="AQ4">
        <v>1</v>
      </c>
      <c r="AR4">
        <f ca="1">RANDBETWEEN(0,9)</f>
        <v>6</v>
      </c>
      <c r="AT4">
        <v>1</v>
      </c>
      <c r="AU4">
        <f ca="1">RANDBETWEEN(0,7)</f>
        <v>6</v>
      </c>
      <c r="AW4">
        <v>1</v>
      </c>
      <c r="AX4">
        <f ca="1">RANDBETWEEN(0,5)</f>
        <v>5</v>
      </c>
      <c r="BA4" s="2">
        <v>1</v>
      </c>
      <c r="BB4" t="s">
        <v>20</v>
      </c>
    </row>
    <row r="5" spans="1:54" x14ac:dyDescent="0.3">
      <c r="A5" s="4">
        <v>2</v>
      </c>
      <c r="B5">
        <v>2433188</v>
      </c>
      <c r="C5" t="s">
        <v>71</v>
      </c>
      <c r="D5" t="s">
        <v>39</v>
      </c>
      <c r="E5" s="8">
        <v>0.94</v>
      </c>
      <c r="F5" s="8">
        <v>0.94</v>
      </c>
      <c r="G5" s="8">
        <v>0.83</v>
      </c>
      <c r="H5" s="8">
        <v>0.96</v>
      </c>
      <c r="I5" s="8">
        <v>0.72</v>
      </c>
      <c r="J5" s="8">
        <v>0.79</v>
      </c>
      <c r="K5" s="8">
        <v>0.93</v>
      </c>
      <c r="L5" s="8">
        <v>0.78</v>
      </c>
      <c r="M5" s="8">
        <v>0.86</v>
      </c>
      <c r="N5" s="8">
        <v>0.93</v>
      </c>
      <c r="O5" s="8">
        <v>0.99</v>
      </c>
      <c r="P5" s="8">
        <v>0.98</v>
      </c>
      <c r="Q5" s="8">
        <v>0.95</v>
      </c>
      <c r="R5" s="13">
        <f t="shared" si="0"/>
        <v>0.89459999999999984</v>
      </c>
      <c r="S5" t="str">
        <f>INDEX($BB$4:$BB$13,MATCH(Grades[[#This Row],[Overall GPA]],$BA$4:$BA$13,-1))</f>
        <v>A</v>
      </c>
      <c r="T5" s="18">
        <v>3</v>
      </c>
      <c r="V5" s="4">
        <v>2</v>
      </c>
      <c r="W5" s="14">
        <v>3950869</v>
      </c>
      <c r="X5" s="8" t="s">
        <v>73</v>
      </c>
      <c r="Y5" t="s">
        <v>39</v>
      </c>
      <c r="Z5" s="8">
        <v>0.95</v>
      </c>
      <c r="AA5" s="8">
        <v>0.93</v>
      </c>
      <c r="AB5" s="8">
        <v>0.94</v>
      </c>
      <c r="AC5" s="8">
        <v>0.98</v>
      </c>
      <c r="AD5" s="8">
        <v>0.96</v>
      </c>
      <c r="AE5" s="8">
        <v>0.98</v>
      </c>
      <c r="AF5" s="8">
        <v>0.95</v>
      </c>
      <c r="AG5" s="8">
        <v>0.96</v>
      </c>
      <c r="AH5" s="8">
        <v>1</v>
      </c>
      <c r="AI5" s="8">
        <v>0.98</v>
      </c>
      <c r="AJ5" s="8">
        <v>0.92</v>
      </c>
      <c r="AK5" s="8">
        <v>0.9</v>
      </c>
      <c r="AL5" s="8">
        <v>0.99</v>
      </c>
      <c r="AM5" s="13">
        <f>SUMPRODUCT(Grades3[[#This Row],[Test 1]:[Project]],$E$1:$Q$1)</f>
        <v>0.95290000000000008</v>
      </c>
      <c r="AN5" t="str">
        <f>INDEX($BB$4:$BB$13,MATCH(Grades3[[#This Row],[Overall GPA]],$BA$4:$BA$13,-1))</f>
        <v>A+</v>
      </c>
      <c r="AO5" s="18">
        <v>1</v>
      </c>
      <c r="AQ5">
        <v>2</v>
      </c>
      <c r="AR5">
        <f t="shared" ref="AR5:AR53" ca="1" si="1">RANDBETWEEN(0,9)</f>
        <v>5</v>
      </c>
      <c r="AT5">
        <v>2</v>
      </c>
      <c r="AU5">
        <f t="shared" ref="AU5:AU53" ca="1" si="2">RANDBETWEEN(0,7)</f>
        <v>5</v>
      </c>
      <c r="AW5">
        <v>2</v>
      </c>
      <c r="AX5">
        <f t="shared" ref="AX5:AX53" ca="1" si="3">RANDBETWEEN(0,5)</f>
        <v>3</v>
      </c>
      <c r="BA5" s="2">
        <v>0.92</v>
      </c>
      <c r="BB5" t="s">
        <v>21</v>
      </c>
    </row>
    <row r="6" spans="1:54" x14ac:dyDescent="0.3">
      <c r="A6" s="4">
        <v>3</v>
      </c>
      <c r="B6">
        <v>2215181</v>
      </c>
      <c r="C6" t="s">
        <v>70</v>
      </c>
      <c r="D6" t="s">
        <v>38</v>
      </c>
      <c r="E6" s="8">
        <v>0.93</v>
      </c>
      <c r="F6" s="8">
        <v>0.84</v>
      </c>
      <c r="G6" s="8">
        <v>0.97</v>
      </c>
      <c r="H6" s="8">
        <v>0.7</v>
      </c>
      <c r="I6" s="8">
        <v>0.79</v>
      </c>
      <c r="J6" s="8">
        <v>0.83</v>
      </c>
      <c r="K6" s="8">
        <v>0.82</v>
      </c>
      <c r="L6" s="8">
        <v>0.82</v>
      </c>
      <c r="M6" s="8">
        <v>0.74</v>
      </c>
      <c r="N6" s="8">
        <v>0.81</v>
      </c>
      <c r="O6" s="8">
        <v>0.92</v>
      </c>
      <c r="P6" s="8">
        <v>0.92</v>
      </c>
      <c r="Q6" s="8">
        <v>0.8</v>
      </c>
      <c r="R6" s="13">
        <f t="shared" si="0"/>
        <v>0.8649</v>
      </c>
      <c r="S6" t="str">
        <f>INDEX($BB$4:$BB$13,MATCH(Grades[[#This Row],[Overall GPA]],$BA$4:$BA$13,-1))</f>
        <v>A-</v>
      </c>
      <c r="T6" s="18">
        <v>2</v>
      </c>
      <c r="V6" s="4">
        <v>3</v>
      </c>
      <c r="W6" s="14">
        <v>3644577</v>
      </c>
      <c r="X6" s="8" t="s">
        <v>77</v>
      </c>
      <c r="Y6" t="s">
        <v>42</v>
      </c>
      <c r="Z6" s="8">
        <v>0.98</v>
      </c>
      <c r="AA6" s="8">
        <v>0.86</v>
      </c>
      <c r="AB6" s="8">
        <v>1</v>
      </c>
      <c r="AC6" s="8">
        <v>0.95</v>
      </c>
      <c r="AD6" s="8">
        <v>0.93</v>
      </c>
      <c r="AE6" s="8">
        <v>0.92</v>
      </c>
      <c r="AF6" s="8">
        <v>0.86</v>
      </c>
      <c r="AG6" s="8">
        <v>1</v>
      </c>
      <c r="AH6" s="8">
        <v>0.98</v>
      </c>
      <c r="AI6" s="8">
        <v>0.97</v>
      </c>
      <c r="AJ6" s="8">
        <v>0.99</v>
      </c>
      <c r="AK6" s="8">
        <v>0.95</v>
      </c>
      <c r="AL6" s="8">
        <v>0.97</v>
      </c>
      <c r="AM6" s="13">
        <f>SUMPRODUCT(Grades3[[#This Row],[Test 1]:[Project]],$E$1:$Q$1)</f>
        <v>0.95160000000000011</v>
      </c>
      <c r="AN6" t="str">
        <f>INDEX($BB$4:$BB$13,MATCH(Grades3[[#This Row],[Overall GPA]],$BA$4:$BA$13,-1))</f>
        <v>A+</v>
      </c>
      <c r="AO6" s="18">
        <v>0</v>
      </c>
      <c r="AQ6">
        <v>3</v>
      </c>
      <c r="AR6">
        <f t="shared" ca="1" si="1"/>
        <v>6</v>
      </c>
      <c r="AT6">
        <v>3</v>
      </c>
      <c r="AU6">
        <f t="shared" ca="1" si="2"/>
        <v>3</v>
      </c>
      <c r="AW6">
        <v>3</v>
      </c>
      <c r="AX6">
        <f t="shared" ca="1" si="3"/>
        <v>2</v>
      </c>
      <c r="BA6" s="2">
        <v>0.87</v>
      </c>
      <c r="BB6" t="s">
        <v>22</v>
      </c>
    </row>
    <row r="7" spans="1:54" x14ac:dyDescent="0.3">
      <c r="A7" s="4">
        <v>4</v>
      </c>
      <c r="B7">
        <v>2405391</v>
      </c>
      <c r="C7" t="s">
        <v>72</v>
      </c>
      <c r="D7" t="s">
        <v>40</v>
      </c>
      <c r="E7" s="8">
        <v>0.81</v>
      </c>
      <c r="F7" s="8">
        <v>0.91</v>
      </c>
      <c r="G7" s="8">
        <v>0.95</v>
      </c>
      <c r="H7" s="8">
        <v>0.78</v>
      </c>
      <c r="I7" s="8">
        <v>0.99</v>
      </c>
      <c r="J7" s="8">
        <v>0.88</v>
      </c>
      <c r="K7" s="8">
        <v>0.9</v>
      </c>
      <c r="L7" s="8">
        <v>0.76</v>
      </c>
      <c r="M7" s="8">
        <v>0.87</v>
      </c>
      <c r="N7" s="8">
        <v>1</v>
      </c>
      <c r="O7" s="8">
        <v>0.74</v>
      </c>
      <c r="P7" s="8">
        <v>0.76</v>
      </c>
      <c r="Q7" s="8">
        <v>0.74</v>
      </c>
      <c r="R7" s="13">
        <f t="shared" si="0"/>
        <v>0.86470000000000002</v>
      </c>
      <c r="S7" t="str">
        <f>INDEX($BB$4:$BB$13,MATCH(Grades[[#This Row],[Overall GPA]],$BA$4:$BA$13,-1))</f>
        <v>A-</v>
      </c>
      <c r="T7" s="18">
        <v>0</v>
      </c>
      <c r="V7" s="4">
        <v>4</v>
      </c>
      <c r="W7" s="14">
        <v>3808169</v>
      </c>
      <c r="X7" s="8" t="s">
        <v>76</v>
      </c>
      <c r="Y7" t="s">
        <v>44</v>
      </c>
      <c r="Z7" s="8">
        <v>0.92</v>
      </c>
      <c r="AA7" s="8">
        <v>0.98</v>
      </c>
      <c r="AB7" s="8">
        <v>0.92</v>
      </c>
      <c r="AC7" s="8">
        <v>0.96</v>
      </c>
      <c r="AD7" s="8">
        <v>0.98</v>
      </c>
      <c r="AE7" s="8">
        <v>0.91</v>
      </c>
      <c r="AF7" s="8">
        <v>0.95</v>
      </c>
      <c r="AG7" s="8">
        <v>0.97</v>
      </c>
      <c r="AH7" s="8">
        <v>0.9</v>
      </c>
      <c r="AI7" s="8">
        <v>1</v>
      </c>
      <c r="AJ7" s="8">
        <v>0.95</v>
      </c>
      <c r="AK7" s="8">
        <v>0.98</v>
      </c>
      <c r="AL7" s="8">
        <v>0.93</v>
      </c>
      <c r="AM7" s="13">
        <f>SUMPRODUCT(Grades3[[#This Row],[Test 1]:[Project]],$E$1:$Q$1)</f>
        <v>0.94400000000000028</v>
      </c>
      <c r="AN7" t="str">
        <f>INDEX($BB$4:$BB$13,MATCH(Grades3[[#This Row],[Overall GPA]],$BA$4:$BA$13,-1))</f>
        <v>A+</v>
      </c>
      <c r="AO7" s="18">
        <v>3</v>
      </c>
      <c r="AQ7">
        <v>4</v>
      </c>
      <c r="AR7">
        <f t="shared" ca="1" si="1"/>
        <v>1</v>
      </c>
      <c r="AT7">
        <v>4</v>
      </c>
      <c r="AU7">
        <f t="shared" ca="1" si="2"/>
        <v>2</v>
      </c>
      <c r="AW7">
        <v>4</v>
      </c>
      <c r="AX7">
        <f t="shared" ca="1" si="3"/>
        <v>3</v>
      </c>
      <c r="BA7" s="2">
        <v>0.84</v>
      </c>
      <c r="BB7" t="s">
        <v>23</v>
      </c>
    </row>
    <row r="8" spans="1:54" x14ac:dyDescent="0.3">
      <c r="A8" s="4">
        <v>5</v>
      </c>
      <c r="B8">
        <v>2377320</v>
      </c>
      <c r="C8" t="s">
        <v>74</v>
      </c>
      <c r="D8" t="s">
        <v>42</v>
      </c>
      <c r="E8" s="8">
        <v>0.76</v>
      </c>
      <c r="F8" s="8">
        <v>0.83</v>
      </c>
      <c r="G8" s="8">
        <v>0.89</v>
      </c>
      <c r="H8" s="8">
        <v>0.74</v>
      </c>
      <c r="I8" s="8">
        <v>1</v>
      </c>
      <c r="J8" s="8">
        <v>0.9</v>
      </c>
      <c r="K8" s="8">
        <v>0.95</v>
      </c>
      <c r="L8" s="8">
        <v>0.81</v>
      </c>
      <c r="M8" s="8">
        <v>0.7</v>
      </c>
      <c r="N8" s="8">
        <v>0.97</v>
      </c>
      <c r="O8" s="8">
        <v>0.97</v>
      </c>
      <c r="P8" s="8">
        <v>0.88</v>
      </c>
      <c r="Q8" s="8">
        <v>0.7</v>
      </c>
      <c r="R8" s="13">
        <f t="shared" si="0"/>
        <v>0.83919999999999995</v>
      </c>
      <c r="S8" t="str">
        <f>INDEX($BB$4:$BB$13,MATCH(Grades[[#This Row],[Overall GPA]],$BA$4:$BA$13,-1))</f>
        <v>B+</v>
      </c>
      <c r="T8" s="18">
        <v>3</v>
      </c>
      <c r="V8" s="4">
        <v>5</v>
      </c>
      <c r="W8" s="14">
        <v>3731370</v>
      </c>
      <c r="X8" s="8" t="s">
        <v>74</v>
      </c>
      <c r="Y8" t="s">
        <v>41</v>
      </c>
      <c r="Z8" s="8">
        <v>0.85</v>
      </c>
      <c r="AA8" s="8">
        <v>0.92</v>
      </c>
      <c r="AB8" s="8">
        <v>0.9</v>
      </c>
      <c r="AC8" s="8">
        <v>0.93</v>
      </c>
      <c r="AD8" s="8">
        <v>0.87</v>
      </c>
      <c r="AE8" s="8">
        <v>1</v>
      </c>
      <c r="AF8" s="8">
        <v>0.93</v>
      </c>
      <c r="AG8" s="8">
        <v>0.86</v>
      </c>
      <c r="AH8" s="8">
        <v>0.92</v>
      </c>
      <c r="AI8" s="8">
        <v>0.94</v>
      </c>
      <c r="AJ8" s="8">
        <v>0.98</v>
      </c>
      <c r="AK8" s="8">
        <v>0.99</v>
      </c>
      <c r="AL8" s="8">
        <v>0.96</v>
      </c>
      <c r="AM8" s="13">
        <f>SUMPRODUCT(Grades3[[#This Row],[Test 1]:[Project]],$E$1:$Q$1)</f>
        <v>0.91559999999999997</v>
      </c>
      <c r="AN8" t="str">
        <f>INDEX($BB$4:$BB$13,MATCH(Grades3[[#This Row],[Overall GPA]],$BA$4:$BA$13,-1))</f>
        <v>A</v>
      </c>
      <c r="AO8" s="18">
        <v>2</v>
      </c>
      <c r="AQ8">
        <v>5</v>
      </c>
      <c r="AR8">
        <f t="shared" ca="1" si="1"/>
        <v>7</v>
      </c>
      <c r="AT8">
        <v>5</v>
      </c>
      <c r="AU8">
        <f t="shared" ca="1" si="2"/>
        <v>6</v>
      </c>
      <c r="AW8">
        <v>5</v>
      </c>
      <c r="AX8">
        <f t="shared" ca="1" si="3"/>
        <v>5</v>
      </c>
      <c r="BA8" s="2">
        <v>0.79</v>
      </c>
      <c r="BB8" t="s">
        <v>24</v>
      </c>
    </row>
    <row r="9" spans="1:54" x14ac:dyDescent="0.3">
      <c r="A9" s="4">
        <v>6</v>
      </c>
      <c r="B9">
        <v>2238453</v>
      </c>
      <c r="C9" t="s">
        <v>73</v>
      </c>
      <c r="D9" t="s">
        <v>41</v>
      </c>
      <c r="E9" s="8">
        <v>0.7</v>
      </c>
      <c r="F9" s="8">
        <v>0.93</v>
      </c>
      <c r="G9" s="8">
        <v>0.88</v>
      </c>
      <c r="H9" s="8">
        <v>0.72</v>
      </c>
      <c r="I9" s="8">
        <v>0.92</v>
      </c>
      <c r="J9" s="8">
        <v>0.76</v>
      </c>
      <c r="K9" s="8">
        <v>0.9</v>
      </c>
      <c r="L9" s="8">
        <v>0.78</v>
      </c>
      <c r="M9" s="8">
        <v>0.78</v>
      </c>
      <c r="N9" s="8">
        <v>0.93</v>
      </c>
      <c r="O9" s="8">
        <v>0.79</v>
      </c>
      <c r="P9" s="8">
        <v>0.98</v>
      </c>
      <c r="Q9" s="8">
        <v>0.77</v>
      </c>
      <c r="R9" s="13">
        <f t="shared" si="0"/>
        <v>0.83289999999999997</v>
      </c>
      <c r="S9" t="str">
        <f>INDEX($BB$4:$BB$13,MATCH(Grades[[#This Row],[Overall GPA]],$BA$4:$BA$13,-1))</f>
        <v>B+</v>
      </c>
      <c r="T9" s="18">
        <v>0</v>
      </c>
      <c r="V9" s="4">
        <v>6</v>
      </c>
      <c r="W9" s="14">
        <v>3520832</v>
      </c>
      <c r="X9" s="8" t="s">
        <v>92</v>
      </c>
      <c r="Y9" t="s">
        <v>40</v>
      </c>
      <c r="Z9" s="8">
        <v>0.99</v>
      </c>
      <c r="AA9" s="8">
        <v>0.85</v>
      </c>
      <c r="AB9" s="8">
        <v>0.88</v>
      </c>
      <c r="AC9" s="8">
        <v>0.85</v>
      </c>
      <c r="AD9" s="8">
        <v>0.91</v>
      </c>
      <c r="AE9" s="8">
        <v>0.96</v>
      </c>
      <c r="AF9" s="8">
        <v>0.86</v>
      </c>
      <c r="AG9" s="8">
        <v>0.95</v>
      </c>
      <c r="AH9" s="8">
        <v>0.85</v>
      </c>
      <c r="AI9" s="8">
        <v>0.86</v>
      </c>
      <c r="AJ9" s="8">
        <v>0.97</v>
      </c>
      <c r="AK9" s="8">
        <v>0.91</v>
      </c>
      <c r="AL9" s="8">
        <v>0.9</v>
      </c>
      <c r="AM9" s="13">
        <f>SUMPRODUCT(Grades3[[#This Row],[Test 1]:[Project]],$E$1:$Q$1)</f>
        <v>0.90260000000000018</v>
      </c>
      <c r="AN9" t="str">
        <f>INDEX($BB$4:$BB$13,MATCH(Grades3[[#This Row],[Overall GPA]],$BA$4:$BA$13,-1))</f>
        <v>A</v>
      </c>
      <c r="AO9" s="18">
        <v>2</v>
      </c>
      <c r="AQ9">
        <v>6</v>
      </c>
      <c r="AR9">
        <f t="shared" ca="1" si="1"/>
        <v>5</v>
      </c>
      <c r="AT9">
        <v>6</v>
      </c>
      <c r="AU9">
        <f t="shared" ca="1" si="2"/>
        <v>3</v>
      </c>
      <c r="AW9">
        <v>6</v>
      </c>
      <c r="AX9">
        <f t="shared" ca="1" si="3"/>
        <v>3</v>
      </c>
      <c r="BA9" s="2">
        <v>0.76</v>
      </c>
      <c r="BB9" t="s">
        <v>25</v>
      </c>
    </row>
    <row r="10" spans="1:54" x14ac:dyDescent="0.3">
      <c r="A10" s="4">
        <v>7</v>
      </c>
      <c r="B10">
        <v>2485038</v>
      </c>
      <c r="C10" t="s">
        <v>78</v>
      </c>
      <c r="D10" t="s">
        <v>46</v>
      </c>
      <c r="E10" s="8">
        <v>0.77</v>
      </c>
      <c r="F10" s="8">
        <v>0.94</v>
      </c>
      <c r="G10" s="8">
        <v>0.79</v>
      </c>
      <c r="H10" s="8">
        <v>0.98</v>
      </c>
      <c r="I10" s="8">
        <v>0.77</v>
      </c>
      <c r="J10" s="8">
        <v>0.92</v>
      </c>
      <c r="K10" s="8">
        <v>0.76</v>
      </c>
      <c r="L10" s="8">
        <v>0.82</v>
      </c>
      <c r="M10" s="8">
        <v>0.79</v>
      </c>
      <c r="N10" s="8">
        <v>0.96</v>
      </c>
      <c r="O10" s="8">
        <v>0.8</v>
      </c>
      <c r="P10" s="8">
        <v>0.77</v>
      </c>
      <c r="Q10" s="8">
        <v>0.73</v>
      </c>
      <c r="R10" s="13">
        <f t="shared" si="0"/>
        <v>0.8246</v>
      </c>
      <c r="S10" t="str">
        <f>INDEX($BB$4:$BB$13,MATCH(Grades[[#This Row],[Overall GPA]],$BA$4:$BA$13,-1))</f>
        <v>B+</v>
      </c>
      <c r="T10" s="18">
        <v>1</v>
      </c>
      <c r="V10" s="4">
        <v>7</v>
      </c>
      <c r="W10" s="14">
        <v>3715479</v>
      </c>
      <c r="X10" s="8" t="s">
        <v>94</v>
      </c>
      <c r="Y10" t="s">
        <v>46</v>
      </c>
      <c r="Z10" s="8">
        <v>0.88</v>
      </c>
      <c r="AA10" s="8">
        <v>0.88</v>
      </c>
      <c r="AB10" s="8">
        <v>0.85</v>
      </c>
      <c r="AC10" s="8">
        <v>0.92</v>
      </c>
      <c r="AD10" s="8">
        <v>0.88</v>
      </c>
      <c r="AE10" s="8">
        <v>0.85</v>
      </c>
      <c r="AF10" s="8">
        <v>0.97</v>
      </c>
      <c r="AG10" s="8">
        <v>0.9</v>
      </c>
      <c r="AH10" s="8">
        <v>0.91</v>
      </c>
      <c r="AI10" s="8">
        <v>0.98</v>
      </c>
      <c r="AJ10" s="8">
        <v>0.85</v>
      </c>
      <c r="AK10" s="8">
        <v>1</v>
      </c>
      <c r="AL10" s="8">
        <v>0.89</v>
      </c>
      <c r="AM10" s="13">
        <f>SUMPRODUCT(Grades3[[#This Row],[Test 1]:[Project]],$E$1:$Q$1)</f>
        <v>0.88960000000000006</v>
      </c>
      <c r="AN10" t="str">
        <f>INDEX($BB$4:$BB$13,MATCH(Grades3[[#This Row],[Overall GPA]],$BA$4:$BA$13,-1))</f>
        <v>A</v>
      </c>
      <c r="AO10" s="18">
        <v>2</v>
      </c>
      <c r="AQ10">
        <v>7</v>
      </c>
      <c r="AR10">
        <f t="shared" ca="1" si="1"/>
        <v>4</v>
      </c>
      <c r="AT10">
        <v>7</v>
      </c>
      <c r="AU10">
        <f t="shared" ca="1" si="2"/>
        <v>5</v>
      </c>
      <c r="AW10">
        <v>7</v>
      </c>
      <c r="AX10">
        <f t="shared" ca="1" si="3"/>
        <v>2</v>
      </c>
      <c r="BA10" s="2">
        <v>0.71</v>
      </c>
      <c r="BB10" t="s">
        <v>26</v>
      </c>
    </row>
    <row r="11" spans="1:54" x14ac:dyDescent="0.3">
      <c r="A11" s="4">
        <v>8</v>
      </c>
      <c r="B11">
        <v>2357440</v>
      </c>
      <c r="C11" t="s">
        <v>75</v>
      </c>
      <c r="D11" t="s">
        <v>43</v>
      </c>
      <c r="E11" s="8">
        <v>0.7</v>
      </c>
      <c r="F11" s="8">
        <v>0.93</v>
      </c>
      <c r="G11" s="8">
        <v>0.81</v>
      </c>
      <c r="H11" s="8">
        <v>0.9</v>
      </c>
      <c r="I11" s="8">
        <v>0.89</v>
      </c>
      <c r="J11" s="8">
        <v>0.85</v>
      </c>
      <c r="K11" s="8">
        <v>0.72</v>
      </c>
      <c r="L11" s="8">
        <v>0.72</v>
      </c>
      <c r="M11" s="8">
        <v>0.92</v>
      </c>
      <c r="N11" s="8">
        <v>1</v>
      </c>
      <c r="O11" s="8">
        <v>0.94</v>
      </c>
      <c r="P11" s="8">
        <v>0.7</v>
      </c>
      <c r="Q11" s="8">
        <v>0.71</v>
      </c>
      <c r="R11" s="13">
        <f t="shared" si="0"/>
        <v>0.81670000000000009</v>
      </c>
      <c r="S11" t="str">
        <f>INDEX($BB$4:$BB$13,MATCH(Grades[[#This Row],[Overall GPA]],$BA$4:$BA$13,-1))</f>
        <v>B+</v>
      </c>
      <c r="T11" s="18">
        <v>0</v>
      </c>
      <c r="V11" s="4">
        <v>8</v>
      </c>
      <c r="W11" s="14">
        <v>3541167</v>
      </c>
      <c r="X11" s="8" t="s">
        <v>81</v>
      </c>
      <c r="Y11" t="s">
        <v>43</v>
      </c>
      <c r="Z11" s="8">
        <v>0.86</v>
      </c>
      <c r="AA11" s="8">
        <v>0.89</v>
      </c>
      <c r="AB11" s="8">
        <v>0.92</v>
      </c>
      <c r="AC11" s="8">
        <v>0.91</v>
      </c>
      <c r="AD11" s="8">
        <v>0.82</v>
      </c>
      <c r="AE11" s="8">
        <v>0.88</v>
      </c>
      <c r="AF11" s="8">
        <v>0.85</v>
      </c>
      <c r="AG11" s="8">
        <v>0.81</v>
      </c>
      <c r="AH11" s="8">
        <v>0.81</v>
      </c>
      <c r="AI11" s="8">
        <v>0.86</v>
      </c>
      <c r="AJ11" s="8">
        <v>0.91</v>
      </c>
      <c r="AK11" s="8">
        <v>0.9</v>
      </c>
      <c r="AL11" s="8">
        <v>0.87</v>
      </c>
      <c r="AM11" s="13">
        <f>SUMPRODUCT(Grades3[[#This Row],[Test 1]:[Project]],$E$1:$Q$1)</f>
        <v>0.87809999999999999</v>
      </c>
      <c r="AN11" t="str">
        <f>INDEX($BB$4:$BB$13,MATCH(Grades3[[#This Row],[Overall GPA]],$BA$4:$BA$13,-1))</f>
        <v>A</v>
      </c>
      <c r="AO11" s="18">
        <v>1</v>
      </c>
      <c r="AQ11">
        <v>8</v>
      </c>
      <c r="AR11">
        <f t="shared" ca="1" si="1"/>
        <v>2</v>
      </c>
      <c r="AT11">
        <v>8</v>
      </c>
      <c r="AU11">
        <f t="shared" ca="1" si="2"/>
        <v>7</v>
      </c>
      <c r="AW11">
        <v>8</v>
      </c>
      <c r="AX11">
        <f t="shared" ca="1" si="3"/>
        <v>1</v>
      </c>
      <c r="BA11" s="2">
        <v>0.68</v>
      </c>
      <c r="BB11" t="s">
        <v>27</v>
      </c>
    </row>
    <row r="12" spans="1:54" x14ac:dyDescent="0.3">
      <c r="A12" s="4">
        <v>9</v>
      </c>
      <c r="B12">
        <v>2147885</v>
      </c>
      <c r="C12" t="s">
        <v>79</v>
      </c>
      <c r="D12" t="s">
        <v>47</v>
      </c>
      <c r="E12" s="8">
        <v>0.89</v>
      </c>
      <c r="F12" s="8">
        <v>0.63</v>
      </c>
      <c r="G12" s="8">
        <v>0.81</v>
      </c>
      <c r="H12" s="8">
        <v>0.61</v>
      </c>
      <c r="I12" s="8">
        <v>0.6</v>
      </c>
      <c r="J12" s="8">
        <v>0.82</v>
      </c>
      <c r="K12" s="8">
        <v>0.74</v>
      </c>
      <c r="L12" s="8">
        <v>0.88</v>
      </c>
      <c r="M12" s="8">
        <v>0.73</v>
      </c>
      <c r="N12" s="8">
        <v>0.88</v>
      </c>
      <c r="O12" s="8">
        <v>0.76</v>
      </c>
      <c r="P12" s="8">
        <v>0.67</v>
      </c>
      <c r="Q12" s="8">
        <v>0.82</v>
      </c>
      <c r="R12" s="13">
        <f t="shared" si="0"/>
        <v>0.76729999999999998</v>
      </c>
      <c r="S12" t="str">
        <f>INDEX($BB$4:$BB$13,MATCH(Grades[[#This Row],[Overall GPA]],$BA$4:$BA$13,-1))</f>
        <v>B</v>
      </c>
      <c r="T12" s="18">
        <v>1</v>
      </c>
      <c r="V12" s="4">
        <v>9</v>
      </c>
      <c r="W12" s="14">
        <v>4457905</v>
      </c>
      <c r="X12" s="8" t="s">
        <v>80</v>
      </c>
      <c r="Y12" t="s">
        <v>50</v>
      </c>
      <c r="Z12" s="8">
        <v>0.87</v>
      </c>
      <c r="AA12" s="8">
        <v>0.91</v>
      </c>
      <c r="AB12" s="8">
        <v>0.9</v>
      </c>
      <c r="AC12" s="8">
        <v>0.8</v>
      </c>
      <c r="AD12" s="8">
        <v>0.88</v>
      </c>
      <c r="AE12" s="8">
        <v>0.92</v>
      </c>
      <c r="AF12" s="8">
        <v>0.89</v>
      </c>
      <c r="AG12" s="8">
        <v>0.81</v>
      </c>
      <c r="AH12" s="8">
        <v>0.81</v>
      </c>
      <c r="AI12" s="8">
        <v>0.83</v>
      </c>
      <c r="AJ12" s="8">
        <v>0.92</v>
      </c>
      <c r="AK12" s="8">
        <v>0.9</v>
      </c>
      <c r="AL12" s="8">
        <v>0.84</v>
      </c>
      <c r="AM12" s="13">
        <f>SUMPRODUCT(Grades3[[#This Row],[Test 1]:[Project]],$E$1:$Q$1)</f>
        <v>0.87630000000000019</v>
      </c>
      <c r="AN12" t="str">
        <f>INDEX($BB$4:$BB$13,MATCH(Grades3[[#This Row],[Overall GPA]],$BA$4:$BA$13,-1))</f>
        <v>A</v>
      </c>
      <c r="AO12" s="18">
        <v>0</v>
      </c>
      <c r="AQ12">
        <v>9</v>
      </c>
      <c r="AR12">
        <f t="shared" ca="1" si="1"/>
        <v>9</v>
      </c>
      <c r="AT12">
        <v>9</v>
      </c>
      <c r="AU12">
        <f t="shared" ca="1" si="2"/>
        <v>1</v>
      </c>
      <c r="AW12">
        <v>9</v>
      </c>
      <c r="AX12">
        <f t="shared" ca="1" si="3"/>
        <v>5</v>
      </c>
      <c r="BA12" s="2">
        <v>0.65</v>
      </c>
      <c r="BB12" t="s">
        <v>28</v>
      </c>
    </row>
    <row r="13" spans="1:54" x14ac:dyDescent="0.3">
      <c r="A13" s="4">
        <v>10</v>
      </c>
      <c r="B13">
        <v>2232908</v>
      </c>
      <c r="C13" t="s">
        <v>86</v>
      </c>
      <c r="D13" t="s">
        <v>54</v>
      </c>
      <c r="E13" s="8">
        <v>0.85</v>
      </c>
      <c r="F13" s="8">
        <v>0.78</v>
      </c>
      <c r="G13" s="8">
        <v>0.84</v>
      </c>
      <c r="H13" s="8">
        <v>0.63</v>
      </c>
      <c r="I13" s="8">
        <v>0.65</v>
      </c>
      <c r="J13" s="8">
        <v>0.64</v>
      </c>
      <c r="K13" s="8">
        <v>0.69</v>
      </c>
      <c r="L13" s="8">
        <v>0.88</v>
      </c>
      <c r="M13" s="8">
        <v>0.69</v>
      </c>
      <c r="N13" s="8">
        <v>0.65</v>
      </c>
      <c r="O13" s="8">
        <v>0.64</v>
      </c>
      <c r="P13" s="8">
        <v>0.66</v>
      </c>
      <c r="Q13" s="8">
        <v>0.83</v>
      </c>
      <c r="R13" s="13">
        <f t="shared" si="0"/>
        <v>0.76679999999999982</v>
      </c>
      <c r="S13" t="str">
        <f>INDEX($BB$4:$BB$13,MATCH(Grades[[#This Row],[Overall GPA]],$BA$4:$BA$13,-1))</f>
        <v>B</v>
      </c>
      <c r="T13" s="18">
        <v>1</v>
      </c>
      <c r="V13" s="4">
        <v>10</v>
      </c>
      <c r="W13" s="14">
        <v>4039404</v>
      </c>
      <c r="X13" s="8" t="s">
        <v>101</v>
      </c>
      <c r="Y13" t="s">
        <v>47</v>
      </c>
      <c r="Z13" s="8">
        <v>0.89</v>
      </c>
      <c r="AA13" s="8">
        <v>0.86</v>
      </c>
      <c r="AB13" s="8">
        <v>0.92</v>
      </c>
      <c r="AC13" s="8">
        <v>0.8</v>
      </c>
      <c r="AD13" s="8">
        <v>0.83</v>
      </c>
      <c r="AE13" s="8">
        <v>0.8</v>
      </c>
      <c r="AF13" s="8">
        <v>0.83</v>
      </c>
      <c r="AG13" s="8">
        <v>0.9</v>
      </c>
      <c r="AH13" s="8">
        <v>0.82</v>
      </c>
      <c r="AI13" s="8">
        <v>0.92</v>
      </c>
      <c r="AJ13" s="8">
        <v>0.89</v>
      </c>
      <c r="AK13" s="8">
        <v>0.82</v>
      </c>
      <c r="AL13" s="8">
        <v>0.9</v>
      </c>
      <c r="AM13" s="13">
        <f>SUMPRODUCT(Grades3[[#This Row],[Test 1]:[Project]],$E$1:$Q$1)</f>
        <v>0.87350000000000005</v>
      </c>
      <c r="AN13" t="str">
        <f>INDEX($BB$4:$BB$13,MATCH(Grades3[[#This Row],[Overall GPA]],$BA$4:$BA$13,-1))</f>
        <v>A</v>
      </c>
      <c r="AO13" s="18">
        <v>2</v>
      </c>
      <c r="AQ13">
        <v>10</v>
      </c>
      <c r="AR13">
        <f t="shared" ca="1" si="1"/>
        <v>6</v>
      </c>
      <c r="AT13">
        <v>10</v>
      </c>
      <c r="AU13">
        <f t="shared" ca="1" si="2"/>
        <v>7</v>
      </c>
      <c r="AW13">
        <v>10</v>
      </c>
      <c r="AX13">
        <f t="shared" ca="1" si="3"/>
        <v>1</v>
      </c>
      <c r="BA13" s="2">
        <v>0.64</v>
      </c>
      <c r="BB13" t="s">
        <v>29</v>
      </c>
    </row>
    <row r="14" spans="1:54" x14ac:dyDescent="0.3">
      <c r="A14" s="4">
        <v>11</v>
      </c>
      <c r="B14">
        <v>2480565</v>
      </c>
      <c r="C14" t="s">
        <v>77</v>
      </c>
      <c r="D14" t="s">
        <v>45</v>
      </c>
      <c r="E14" s="8">
        <v>0.64</v>
      </c>
      <c r="F14" s="8">
        <v>0.81</v>
      </c>
      <c r="G14" s="8">
        <v>0.81</v>
      </c>
      <c r="H14" s="8">
        <v>0.6</v>
      </c>
      <c r="I14" s="8">
        <v>0.9</v>
      </c>
      <c r="J14" s="8">
        <v>0.9</v>
      </c>
      <c r="K14" s="8">
        <v>0.81</v>
      </c>
      <c r="L14" s="8">
        <v>0.61</v>
      </c>
      <c r="M14" s="8">
        <v>0.6</v>
      </c>
      <c r="N14" s="8">
        <v>0.65</v>
      </c>
      <c r="O14" s="8">
        <v>0.61</v>
      </c>
      <c r="P14" s="8">
        <v>0.88</v>
      </c>
      <c r="Q14" s="8">
        <v>0.89</v>
      </c>
      <c r="R14" s="13">
        <f t="shared" si="0"/>
        <v>0.76300000000000001</v>
      </c>
      <c r="S14" t="str">
        <f>INDEX($BB$4:$BB$13,MATCH(Grades[[#This Row],[Overall GPA]],$BA$4:$BA$13,-1))</f>
        <v>B</v>
      </c>
      <c r="T14" s="18">
        <v>1</v>
      </c>
      <c r="V14" s="4">
        <v>11</v>
      </c>
      <c r="W14" s="14">
        <v>3803736</v>
      </c>
      <c r="X14" s="8" t="s">
        <v>87</v>
      </c>
      <c r="Y14" t="s">
        <v>45</v>
      </c>
      <c r="Z14" s="8">
        <v>0.83</v>
      </c>
      <c r="AA14" s="8">
        <v>0.82</v>
      </c>
      <c r="AB14" s="8">
        <v>0.88</v>
      </c>
      <c r="AC14" s="8">
        <v>0.83</v>
      </c>
      <c r="AD14" s="8">
        <v>0.84</v>
      </c>
      <c r="AE14" s="8">
        <v>0.81</v>
      </c>
      <c r="AF14" s="8">
        <v>0.85</v>
      </c>
      <c r="AG14" s="8">
        <v>0.86</v>
      </c>
      <c r="AH14" s="8">
        <v>0.87</v>
      </c>
      <c r="AI14" s="8">
        <v>0.91</v>
      </c>
      <c r="AJ14" s="8">
        <v>0.87</v>
      </c>
      <c r="AK14" s="8">
        <v>0.88</v>
      </c>
      <c r="AL14" s="8">
        <v>0.92</v>
      </c>
      <c r="AM14" s="13">
        <f>SUMPRODUCT(Grades3[[#This Row],[Test 1]:[Project]],$E$1:$Q$1)</f>
        <v>0.85759999999999992</v>
      </c>
      <c r="AN14" t="str">
        <f>INDEX($BB$4:$BB$13,MATCH(Grades3[[#This Row],[Overall GPA]],$BA$4:$BA$13,-1))</f>
        <v>A-</v>
      </c>
      <c r="AO14" s="18">
        <v>0</v>
      </c>
      <c r="AQ14">
        <v>11</v>
      </c>
      <c r="AR14">
        <f t="shared" ca="1" si="1"/>
        <v>5</v>
      </c>
      <c r="AT14">
        <v>11</v>
      </c>
      <c r="AU14">
        <f t="shared" ca="1" si="2"/>
        <v>5</v>
      </c>
      <c r="AW14">
        <v>11</v>
      </c>
      <c r="AX14">
        <f t="shared" ca="1" si="3"/>
        <v>4</v>
      </c>
    </row>
    <row r="15" spans="1:54" x14ac:dyDescent="0.3">
      <c r="A15" s="4">
        <v>12</v>
      </c>
      <c r="B15">
        <v>2093607</v>
      </c>
      <c r="C15" t="s">
        <v>82</v>
      </c>
      <c r="D15" t="s">
        <v>50</v>
      </c>
      <c r="E15" s="8">
        <v>0.75</v>
      </c>
      <c r="F15" s="8">
        <v>0.72</v>
      </c>
      <c r="G15" s="8">
        <v>0.81</v>
      </c>
      <c r="H15" s="8">
        <v>0.69</v>
      </c>
      <c r="I15" s="8">
        <v>0.77</v>
      </c>
      <c r="J15" s="8">
        <v>0.69</v>
      </c>
      <c r="K15" s="8">
        <v>0.87</v>
      </c>
      <c r="L15" s="8">
        <v>0.82</v>
      </c>
      <c r="M15" s="8">
        <v>0.61</v>
      </c>
      <c r="N15" s="8">
        <v>0.67</v>
      </c>
      <c r="O15" s="8">
        <v>0.87</v>
      </c>
      <c r="P15" s="8">
        <v>0.7</v>
      </c>
      <c r="Q15" s="8">
        <v>0.8</v>
      </c>
      <c r="R15" s="13">
        <f t="shared" si="0"/>
        <v>0.7603000000000002</v>
      </c>
      <c r="S15" t="str">
        <f>INDEX($BB$4:$BB$13,MATCH(Grades[[#This Row],[Overall GPA]],$BA$4:$BA$13,-1))</f>
        <v>B</v>
      </c>
      <c r="T15" s="18">
        <v>2</v>
      </c>
      <c r="V15" s="4">
        <v>12</v>
      </c>
      <c r="W15" s="14">
        <v>4512539</v>
      </c>
      <c r="X15" s="8" t="s">
        <v>72</v>
      </c>
      <c r="Y15" t="s">
        <v>54</v>
      </c>
      <c r="Z15" s="8">
        <v>0.87</v>
      </c>
      <c r="AA15" s="8">
        <v>0.8</v>
      </c>
      <c r="AB15" s="8">
        <v>0.83</v>
      </c>
      <c r="AC15" s="8">
        <v>0.87</v>
      </c>
      <c r="AD15" s="8">
        <v>0.91</v>
      </c>
      <c r="AE15" s="8">
        <v>0.9</v>
      </c>
      <c r="AF15" s="8">
        <v>0.85</v>
      </c>
      <c r="AG15" s="8">
        <v>0.9</v>
      </c>
      <c r="AH15" s="8">
        <v>0.85</v>
      </c>
      <c r="AI15" s="8">
        <v>0.9</v>
      </c>
      <c r="AJ15" s="8">
        <v>0.82</v>
      </c>
      <c r="AK15" s="8">
        <v>0.82</v>
      </c>
      <c r="AL15" s="8">
        <v>0.89</v>
      </c>
      <c r="AM15" s="13">
        <f>SUMPRODUCT(Grades3[[#This Row],[Test 1]:[Project]],$E$1:$Q$1)</f>
        <v>0.85359999999999991</v>
      </c>
      <c r="AN15" t="str">
        <f>INDEX($BB$4:$BB$13,MATCH(Grades3[[#This Row],[Overall GPA]],$BA$4:$BA$13,-1))</f>
        <v>A-</v>
      </c>
      <c r="AO15" s="18">
        <v>2</v>
      </c>
      <c r="AQ15">
        <v>12</v>
      </c>
      <c r="AR15">
        <f t="shared" ca="1" si="1"/>
        <v>7</v>
      </c>
      <c r="AT15">
        <v>12</v>
      </c>
      <c r="AU15">
        <f t="shared" ca="1" si="2"/>
        <v>2</v>
      </c>
      <c r="AW15">
        <v>12</v>
      </c>
      <c r="AX15">
        <f t="shared" ca="1" si="3"/>
        <v>2</v>
      </c>
    </row>
    <row r="16" spans="1:54" x14ac:dyDescent="0.3">
      <c r="A16" s="4">
        <v>13</v>
      </c>
      <c r="B16">
        <v>2378730</v>
      </c>
      <c r="C16" t="s">
        <v>80</v>
      </c>
      <c r="D16" t="s">
        <v>48</v>
      </c>
      <c r="E16" s="8">
        <v>0.69</v>
      </c>
      <c r="F16" s="8">
        <v>0.64</v>
      </c>
      <c r="G16" s="8">
        <v>0.89</v>
      </c>
      <c r="H16" s="8">
        <v>0.85</v>
      </c>
      <c r="I16" s="8">
        <v>0.75</v>
      </c>
      <c r="J16" s="8">
        <v>0.65</v>
      </c>
      <c r="K16" s="8">
        <v>0.7</v>
      </c>
      <c r="L16" s="8">
        <v>0.68</v>
      </c>
      <c r="M16" s="8">
        <v>0.79</v>
      </c>
      <c r="N16" s="8">
        <v>0.88</v>
      </c>
      <c r="O16" s="8">
        <v>0.82</v>
      </c>
      <c r="P16" s="8">
        <v>0.83</v>
      </c>
      <c r="Q16" s="8">
        <v>0.7</v>
      </c>
      <c r="R16" s="13">
        <f t="shared" si="0"/>
        <v>0.75499999999999989</v>
      </c>
      <c r="S16" t="str">
        <f>INDEX($BB$4:$BB$13,MATCH(Grades[[#This Row],[Overall GPA]],$BA$4:$BA$13,-1))</f>
        <v>B-</v>
      </c>
      <c r="T16" s="18">
        <v>2</v>
      </c>
      <c r="V16" s="4">
        <v>13</v>
      </c>
      <c r="W16" s="14">
        <v>3911859</v>
      </c>
      <c r="X16" s="8" t="s">
        <v>96</v>
      </c>
      <c r="Y16" t="s">
        <v>53</v>
      </c>
      <c r="Z16" s="8">
        <v>0.82</v>
      </c>
      <c r="AA16" s="8">
        <v>0.84</v>
      </c>
      <c r="AB16" s="8">
        <v>0.73</v>
      </c>
      <c r="AC16" s="8">
        <v>0.85</v>
      </c>
      <c r="AD16" s="8">
        <v>0.85</v>
      </c>
      <c r="AE16" s="8">
        <v>0.8</v>
      </c>
      <c r="AF16" s="8">
        <v>0.81</v>
      </c>
      <c r="AG16" s="8">
        <v>0.73</v>
      </c>
      <c r="AH16" s="8">
        <v>0.84</v>
      </c>
      <c r="AI16" s="8">
        <v>0.79</v>
      </c>
      <c r="AJ16" s="8">
        <v>0.83</v>
      </c>
      <c r="AK16" s="8">
        <v>0.84</v>
      </c>
      <c r="AL16" s="8">
        <v>0.79</v>
      </c>
      <c r="AM16" s="13">
        <f>SUMPRODUCT(Grades3[[#This Row],[Test 1]:[Project]],$E$1:$Q$1)</f>
        <v>0.80069999999999997</v>
      </c>
      <c r="AN16" t="str">
        <f>INDEX($BB$4:$BB$13,MATCH(Grades3[[#This Row],[Overall GPA]],$BA$4:$BA$13,-1))</f>
        <v>B+</v>
      </c>
      <c r="AO16" s="18">
        <v>2</v>
      </c>
      <c r="AQ16">
        <v>13</v>
      </c>
      <c r="AR16">
        <f t="shared" ca="1" si="1"/>
        <v>0</v>
      </c>
      <c r="AT16">
        <v>13</v>
      </c>
      <c r="AU16">
        <f t="shared" ca="1" si="2"/>
        <v>5</v>
      </c>
      <c r="AW16">
        <v>13</v>
      </c>
      <c r="AX16">
        <f t="shared" ca="1" si="3"/>
        <v>5</v>
      </c>
    </row>
    <row r="17" spans="1:54" x14ac:dyDescent="0.3">
      <c r="A17" s="4">
        <v>14</v>
      </c>
      <c r="B17">
        <v>2209243</v>
      </c>
      <c r="C17" t="s">
        <v>85</v>
      </c>
      <c r="D17" t="s">
        <v>53</v>
      </c>
      <c r="E17" s="8">
        <v>0.68</v>
      </c>
      <c r="F17" s="8">
        <v>0.74</v>
      </c>
      <c r="G17" s="8">
        <v>0.84</v>
      </c>
      <c r="H17" s="8">
        <v>0.74</v>
      </c>
      <c r="I17" s="8">
        <v>0.62</v>
      </c>
      <c r="J17" s="8">
        <v>0.84</v>
      </c>
      <c r="K17" s="8">
        <v>0.77</v>
      </c>
      <c r="L17" s="8">
        <v>0.61</v>
      </c>
      <c r="M17" s="8">
        <v>0.64</v>
      </c>
      <c r="N17" s="8">
        <v>0.77</v>
      </c>
      <c r="O17" s="8">
        <v>0.66</v>
      </c>
      <c r="P17" s="8">
        <v>0.8</v>
      </c>
      <c r="Q17" s="8">
        <v>0.82</v>
      </c>
      <c r="R17" s="13">
        <f t="shared" si="0"/>
        <v>0.75069999999999992</v>
      </c>
      <c r="S17" t="str">
        <f>INDEX($BB$4:$BB$13,MATCH(Grades[[#This Row],[Overall GPA]],$BA$4:$BA$13,-1))</f>
        <v>B-</v>
      </c>
      <c r="T17" s="18">
        <v>2</v>
      </c>
      <c r="V17" s="4">
        <v>14</v>
      </c>
      <c r="W17" s="14">
        <v>4169744</v>
      </c>
      <c r="X17" s="8" t="s">
        <v>93</v>
      </c>
      <c r="Y17" t="s">
        <v>48</v>
      </c>
      <c r="Z17" s="8">
        <v>0.77</v>
      </c>
      <c r="AA17" s="8">
        <v>0.8</v>
      </c>
      <c r="AB17" s="8">
        <v>0.78</v>
      </c>
      <c r="AC17" s="8">
        <v>0.83</v>
      </c>
      <c r="AD17" s="8">
        <v>0.78</v>
      </c>
      <c r="AE17" s="8">
        <v>0.79</v>
      </c>
      <c r="AF17" s="8">
        <v>0.81</v>
      </c>
      <c r="AG17" s="8">
        <v>0.78</v>
      </c>
      <c r="AH17" s="8">
        <v>0.85</v>
      </c>
      <c r="AI17" s="8">
        <v>0.78</v>
      </c>
      <c r="AJ17" s="8">
        <v>0.82</v>
      </c>
      <c r="AK17" s="8">
        <v>0.85</v>
      </c>
      <c r="AL17" s="8">
        <v>0.77</v>
      </c>
      <c r="AM17" s="13">
        <f>SUMPRODUCT(Grades3[[#This Row],[Test 1]:[Project]],$E$1:$Q$1)</f>
        <v>0.79220000000000002</v>
      </c>
      <c r="AN17" t="str">
        <f>INDEX($BB$4:$BB$13,MATCH(Grades3[[#This Row],[Overall GPA]],$BA$4:$BA$13,-1))</f>
        <v>B+</v>
      </c>
      <c r="AO17" s="18">
        <v>2</v>
      </c>
      <c r="AQ17">
        <v>14</v>
      </c>
      <c r="AR17">
        <f t="shared" ca="1" si="1"/>
        <v>7</v>
      </c>
      <c r="AT17">
        <v>14</v>
      </c>
      <c r="AU17">
        <f t="shared" ca="1" si="2"/>
        <v>7</v>
      </c>
      <c r="AW17">
        <v>14</v>
      </c>
      <c r="AX17">
        <f t="shared" ca="1" si="3"/>
        <v>2</v>
      </c>
      <c r="BA17" s="20" t="s">
        <v>106</v>
      </c>
      <c r="BB17" s="20"/>
    </row>
    <row r="18" spans="1:54" x14ac:dyDescent="0.3">
      <c r="A18" s="4">
        <v>15</v>
      </c>
      <c r="B18">
        <v>2542256</v>
      </c>
      <c r="C18" t="s">
        <v>83</v>
      </c>
      <c r="D18" t="s">
        <v>51</v>
      </c>
      <c r="E18" s="8">
        <v>0.67</v>
      </c>
      <c r="F18" s="8">
        <v>0.6</v>
      </c>
      <c r="G18" s="8">
        <v>0.85</v>
      </c>
      <c r="H18" s="8">
        <v>0.67</v>
      </c>
      <c r="I18" s="8">
        <v>0.73</v>
      </c>
      <c r="J18" s="8">
        <v>0.74</v>
      </c>
      <c r="K18" s="8">
        <v>0.62</v>
      </c>
      <c r="L18" s="8">
        <v>0.71</v>
      </c>
      <c r="M18" s="8">
        <v>0.79</v>
      </c>
      <c r="N18" s="8">
        <v>0.75</v>
      </c>
      <c r="O18" s="8">
        <v>0.89</v>
      </c>
      <c r="P18" s="8">
        <v>0.6</v>
      </c>
      <c r="Q18" s="8">
        <v>0.9</v>
      </c>
      <c r="R18" s="13">
        <f t="shared" si="0"/>
        <v>0.73809999999999987</v>
      </c>
      <c r="S18" t="str">
        <f>INDEX($BB$4:$BB$13,MATCH(Grades[[#This Row],[Overall GPA]],$BA$4:$BA$13,-1))</f>
        <v>B-</v>
      </c>
      <c r="T18" s="18">
        <v>3</v>
      </c>
      <c r="V18" s="4">
        <v>15</v>
      </c>
      <c r="W18" s="14">
        <v>4363243</v>
      </c>
      <c r="X18" s="8" t="s">
        <v>99</v>
      </c>
      <c r="Y18" t="s">
        <v>56</v>
      </c>
      <c r="Z18" s="8">
        <v>0.83</v>
      </c>
      <c r="AA18" s="8">
        <v>0.8</v>
      </c>
      <c r="AB18" s="8">
        <v>0.75</v>
      </c>
      <c r="AC18" s="8">
        <v>0.79</v>
      </c>
      <c r="AD18" s="8">
        <v>0.8</v>
      </c>
      <c r="AE18" s="8">
        <v>0.84</v>
      </c>
      <c r="AF18" s="8">
        <v>0.79</v>
      </c>
      <c r="AG18" s="8">
        <v>0.73</v>
      </c>
      <c r="AH18" s="8">
        <v>0.81</v>
      </c>
      <c r="AI18" s="8">
        <v>0.85</v>
      </c>
      <c r="AJ18" s="8">
        <v>0.84</v>
      </c>
      <c r="AK18" s="8">
        <v>0.81</v>
      </c>
      <c r="AL18" s="8">
        <v>0.75</v>
      </c>
      <c r="AM18" s="13">
        <f>SUMPRODUCT(Grades3[[#This Row],[Test 1]:[Project]],$E$1:$Q$1)</f>
        <v>0.79210000000000003</v>
      </c>
      <c r="AN18" t="str">
        <f>INDEX($BB$4:$BB$13,MATCH(Grades3[[#This Row],[Overall GPA]],$BA$4:$BA$13,-1))</f>
        <v>B+</v>
      </c>
      <c r="AO18" s="18">
        <v>1</v>
      </c>
      <c r="AQ18">
        <v>15</v>
      </c>
      <c r="AR18">
        <f t="shared" ca="1" si="1"/>
        <v>7</v>
      </c>
      <c r="AT18">
        <v>15</v>
      </c>
      <c r="AU18">
        <f t="shared" ca="1" si="2"/>
        <v>7</v>
      </c>
      <c r="AW18">
        <v>15</v>
      </c>
      <c r="AX18">
        <f t="shared" ca="1" si="3"/>
        <v>5</v>
      </c>
      <c r="BA18" s="11" t="s">
        <v>107</v>
      </c>
      <c r="BB18" s="11"/>
    </row>
    <row r="19" spans="1:54" x14ac:dyDescent="0.3">
      <c r="A19" s="4">
        <v>16</v>
      </c>
      <c r="B19">
        <v>2089376</v>
      </c>
      <c r="C19" t="s">
        <v>89</v>
      </c>
      <c r="D19" t="s">
        <v>56</v>
      </c>
      <c r="E19" s="8">
        <v>0.85</v>
      </c>
      <c r="F19" s="8">
        <v>0.68</v>
      </c>
      <c r="G19" s="8">
        <v>0.67</v>
      </c>
      <c r="H19" s="8">
        <v>0.77</v>
      </c>
      <c r="I19" s="8">
        <v>0.7</v>
      </c>
      <c r="J19" s="8">
        <v>0.61</v>
      </c>
      <c r="K19" s="8">
        <v>0.81</v>
      </c>
      <c r="L19" s="8">
        <v>0.74</v>
      </c>
      <c r="M19" s="8">
        <v>0.6</v>
      </c>
      <c r="N19" s="8">
        <v>0.75</v>
      </c>
      <c r="O19" s="8">
        <v>0.83</v>
      </c>
      <c r="P19" s="8">
        <v>0.82</v>
      </c>
      <c r="Q19" s="8">
        <v>0.67</v>
      </c>
      <c r="R19" s="13">
        <f t="shared" si="0"/>
        <v>0.72459999999999991</v>
      </c>
      <c r="S19" t="str">
        <f>INDEX($BB$4:$BB$13,MATCH(Grades[[#This Row],[Overall GPA]],$BA$4:$BA$13,-1))</f>
        <v>B-</v>
      </c>
      <c r="T19" s="18">
        <v>0</v>
      </c>
      <c r="V19" s="4">
        <v>16</v>
      </c>
      <c r="W19" s="14">
        <v>3791670</v>
      </c>
      <c r="X19" s="8" t="s">
        <v>79</v>
      </c>
      <c r="Y19" t="s">
        <v>51</v>
      </c>
      <c r="Z19" s="8">
        <v>0.81</v>
      </c>
      <c r="AA19" s="8">
        <v>0.77</v>
      </c>
      <c r="AB19" s="8">
        <v>0.78</v>
      </c>
      <c r="AC19" s="8">
        <v>0.73</v>
      </c>
      <c r="AD19" s="8">
        <v>0.83</v>
      </c>
      <c r="AE19" s="8">
        <v>0.82</v>
      </c>
      <c r="AF19" s="8">
        <v>0.77</v>
      </c>
      <c r="AG19" s="8">
        <v>0.73</v>
      </c>
      <c r="AH19" s="8">
        <v>0.83</v>
      </c>
      <c r="AI19" s="8">
        <v>0.74</v>
      </c>
      <c r="AJ19" s="8">
        <v>0.79</v>
      </c>
      <c r="AK19" s="8">
        <v>0.82</v>
      </c>
      <c r="AL19" s="8">
        <v>0.79</v>
      </c>
      <c r="AM19" s="13">
        <f>SUMPRODUCT(Grades3[[#This Row],[Test 1]:[Project]],$E$1:$Q$1)</f>
        <v>0.78589999999999982</v>
      </c>
      <c r="AN19" t="str">
        <f>INDEX($BB$4:$BB$13,MATCH(Grades3[[#This Row],[Overall GPA]],$BA$4:$BA$13,-1))</f>
        <v>B</v>
      </c>
      <c r="AO19" s="18">
        <v>1</v>
      </c>
      <c r="AQ19">
        <v>16</v>
      </c>
      <c r="AR19">
        <f t="shared" ca="1" si="1"/>
        <v>4</v>
      </c>
      <c r="AT19">
        <v>16</v>
      </c>
      <c r="AU19">
        <f t="shared" ca="1" si="2"/>
        <v>3</v>
      </c>
      <c r="AW19">
        <v>16</v>
      </c>
      <c r="AX19">
        <f t="shared" ca="1" si="3"/>
        <v>1</v>
      </c>
      <c r="BA19" s="11" t="s">
        <v>108</v>
      </c>
      <c r="BB19" s="11"/>
    </row>
    <row r="20" spans="1:54" x14ac:dyDescent="0.3">
      <c r="A20" s="4">
        <v>17</v>
      </c>
      <c r="B20">
        <v>2043217</v>
      </c>
      <c r="C20" t="s">
        <v>87</v>
      </c>
      <c r="D20" t="s">
        <v>55</v>
      </c>
      <c r="E20" s="8">
        <v>0.64</v>
      </c>
      <c r="F20" s="8">
        <v>0.84</v>
      </c>
      <c r="G20" s="8">
        <v>0.75</v>
      </c>
      <c r="H20" s="8">
        <v>0.63</v>
      </c>
      <c r="I20" s="8">
        <v>0.62</v>
      </c>
      <c r="J20" s="8">
        <v>0.8</v>
      </c>
      <c r="K20" s="8">
        <v>0.56999999999999995</v>
      </c>
      <c r="L20" s="8">
        <v>0.71</v>
      </c>
      <c r="M20" s="8">
        <v>0.82</v>
      </c>
      <c r="N20" s="8">
        <v>0.85</v>
      </c>
      <c r="O20" s="8">
        <v>0.75</v>
      </c>
      <c r="P20" s="8">
        <v>0.8</v>
      </c>
      <c r="Q20" s="8">
        <v>0.64</v>
      </c>
      <c r="R20" s="13">
        <f t="shared" si="0"/>
        <v>0.72420000000000018</v>
      </c>
      <c r="S20" t="str">
        <f>INDEX($BB$4:$BB$13,MATCH(Grades[[#This Row],[Overall GPA]],$BA$4:$BA$13,-1))</f>
        <v>B-</v>
      </c>
      <c r="T20" s="18">
        <v>1</v>
      </c>
      <c r="V20" s="4">
        <v>17</v>
      </c>
      <c r="W20" s="14">
        <v>3366282</v>
      </c>
      <c r="X20" s="8" t="s">
        <v>70</v>
      </c>
      <c r="Y20" t="s">
        <v>57</v>
      </c>
      <c r="Z20" s="8">
        <v>0.74</v>
      </c>
      <c r="AA20" s="8">
        <v>0.75</v>
      </c>
      <c r="AB20" s="8">
        <v>0.68</v>
      </c>
      <c r="AC20" s="8">
        <v>0.72</v>
      </c>
      <c r="AD20" s="8">
        <v>0.75</v>
      </c>
      <c r="AE20" s="8">
        <v>0.65</v>
      </c>
      <c r="AF20" s="8">
        <v>0.68</v>
      </c>
      <c r="AG20" s="8">
        <v>0.74</v>
      </c>
      <c r="AH20" s="8">
        <v>0.72</v>
      </c>
      <c r="AI20" s="8">
        <v>0.71</v>
      </c>
      <c r="AJ20" s="8">
        <v>0.67</v>
      </c>
      <c r="AK20" s="8">
        <v>0.68</v>
      </c>
      <c r="AL20" s="8">
        <v>0.7</v>
      </c>
      <c r="AM20" s="13">
        <f>SUMPRODUCT(Grades3[[#This Row],[Test 1]:[Project]],$E$1:$Q$1)</f>
        <v>0.71029999999999993</v>
      </c>
      <c r="AN20" t="str">
        <f>INDEX($BB$4:$BB$13,MATCH(Grades3[[#This Row],[Overall GPA]],$BA$4:$BA$13,-1))</f>
        <v>B-</v>
      </c>
      <c r="AO20" s="18">
        <v>1</v>
      </c>
      <c r="AQ20">
        <v>17</v>
      </c>
      <c r="AR20">
        <f t="shared" ca="1" si="1"/>
        <v>8</v>
      </c>
      <c r="AT20">
        <v>17</v>
      </c>
      <c r="AU20">
        <f t="shared" ca="1" si="2"/>
        <v>3</v>
      </c>
      <c r="AW20">
        <v>17</v>
      </c>
      <c r="AX20">
        <f t="shared" ca="1" si="3"/>
        <v>5</v>
      </c>
      <c r="BA20" s="11" t="s">
        <v>109</v>
      </c>
      <c r="BB20" s="11"/>
    </row>
    <row r="21" spans="1:54" x14ac:dyDescent="0.3">
      <c r="A21" s="4">
        <v>18</v>
      </c>
      <c r="B21">
        <v>2331620</v>
      </c>
      <c r="C21" t="s">
        <v>92</v>
      </c>
      <c r="D21" t="s">
        <v>59</v>
      </c>
      <c r="E21" s="8">
        <v>0.75</v>
      </c>
      <c r="F21" s="8">
        <v>0.75</v>
      </c>
      <c r="G21" s="8">
        <v>0.64</v>
      </c>
      <c r="H21" s="8">
        <v>0.81</v>
      </c>
      <c r="I21" s="8">
        <v>0.62</v>
      </c>
      <c r="J21" s="8">
        <v>0.81</v>
      </c>
      <c r="K21" s="8">
        <v>0.71</v>
      </c>
      <c r="L21" s="8">
        <v>0.73</v>
      </c>
      <c r="M21" s="8">
        <v>0.81</v>
      </c>
      <c r="N21" s="8">
        <v>0.75</v>
      </c>
      <c r="O21" s="8">
        <v>0.67</v>
      </c>
      <c r="P21" s="8">
        <v>0.55000000000000004</v>
      </c>
      <c r="Q21" s="8">
        <v>0.83</v>
      </c>
      <c r="R21" s="13">
        <f t="shared" si="0"/>
        <v>0.72389999999999999</v>
      </c>
      <c r="S21" t="str">
        <f>INDEX($BB$4:$BB$13,MATCH(Grades[[#This Row],[Overall GPA]],$BA$4:$BA$13,-1))</f>
        <v>B-</v>
      </c>
      <c r="T21" s="18">
        <v>0</v>
      </c>
      <c r="V21" s="4">
        <v>18</v>
      </c>
      <c r="W21" s="14">
        <v>3782656</v>
      </c>
      <c r="X21" s="8" t="s">
        <v>88</v>
      </c>
      <c r="Y21" t="s">
        <v>49</v>
      </c>
      <c r="Z21" s="8">
        <v>0.7</v>
      </c>
      <c r="AA21" s="8">
        <v>0.73</v>
      </c>
      <c r="AB21" s="8">
        <v>0.75</v>
      </c>
      <c r="AC21" s="8">
        <v>0.68</v>
      </c>
      <c r="AD21" s="8">
        <v>0.7</v>
      </c>
      <c r="AE21" s="8">
        <v>0.7</v>
      </c>
      <c r="AF21" s="8">
        <v>0.73</v>
      </c>
      <c r="AG21" s="8">
        <v>0.72</v>
      </c>
      <c r="AH21" s="8">
        <v>0.7</v>
      </c>
      <c r="AI21" s="8">
        <v>0.7</v>
      </c>
      <c r="AJ21" s="8">
        <v>0.66</v>
      </c>
      <c r="AK21" s="8">
        <v>0.68</v>
      </c>
      <c r="AL21" s="8">
        <v>0.65</v>
      </c>
      <c r="AM21" s="13">
        <f>SUMPRODUCT(Grades3[[#This Row],[Test 1]:[Project]],$E$1:$Q$1)</f>
        <v>0.70840000000000014</v>
      </c>
      <c r="AN21" t="str">
        <f>INDEX($BB$4:$BB$13,MATCH(Grades3[[#This Row],[Overall GPA]],$BA$4:$BA$13,-1))</f>
        <v>C</v>
      </c>
      <c r="AO21" s="18">
        <v>3</v>
      </c>
      <c r="AQ21">
        <v>18</v>
      </c>
      <c r="AR21">
        <f t="shared" ca="1" si="1"/>
        <v>9</v>
      </c>
      <c r="AT21">
        <v>18</v>
      </c>
      <c r="AU21">
        <f t="shared" ca="1" si="2"/>
        <v>7</v>
      </c>
      <c r="AW21">
        <v>18</v>
      </c>
      <c r="AX21">
        <f t="shared" ca="1" si="3"/>
        <v>3</v>
      </c>
      <c r="BA21" s="11" t="s">
        <v>110</v>
      </c>
      <c r="BB21" s="11"/>
    </row>
    <row r="22" spans="1:54" x14ac:dyDescent="0.3">
      <c r="A22" s="4">
        <v>19</v>
      </c>
      <c r="B22">
        <v>2401793</v>
      </c>
      <c r="C22" t="s">
        <v>94</v>
      </c>
      <c r="D22" t="s">
        <v>61</v>
      </c>
      <c r="E22" s="8">
        <v>0.66</v>
      </c>
      <c r="F22" s="8">
        <v>0.6</v>
      </c>
      <c r="G22" s="8">
        <v>0.75</v>
      </c>
      <c r="H22" s="8">
        <v>0.76</v>
      </c>
      <c r="I22" s="8">
        <v>0.59</v>
      </c>
      <c r="J22" s="8">
        <v>0.84</v>
      </c>
      <c r="K22" s="8">
        <v>0.79</v>
      </c>
      <c r="L22" s="8">
        <v>0.74</v>
      </c>
      <c r="M22" s="8">
        <v>0.78</v>
      </c>
      <c r="N22" s="8">
        <v>0.74</v>
      </c>
      <c r="O22" s="8">
        <v>0.69</v>
      </c>
      <c r="P22" s="8">
        <v>0.79</v>
      </c>
      <c r="Q22" s="8">
        <v>0.84</v>
      </c>
      <c r="R22" s="13">
        <f t="shared" si="0"/>
        <v>0.7215999999999998</v>
      </c>
      <c r="S22" t="str">
        <f>INDEX($BB$4:$BB$13,MATCH(Grades[[#This Row],[Overall GPA]],$BA$4:$BA$13,-1))</f>
        <v>B-</v>
      </c>
      <c r="T22" s="18">
        <v>3</v>
      </c>
      <c r="V22" s="4">
        <v>19</v>
      </c>
      <c r="W22" s="14">
        <v>4370002</v>
      </c>
      <c r="X22" s="8" t="s">
        <v>100</v>
      </c>
      <c r="Y22" t="s">
        <v>59</v>
      </c>
      <c r="Z22" s="8">
        <v>0.71</v>
      </c>
      <c r="AA22" s="8">
        <v>0.67</v>
      </c>
      <c r="AB22" s="8">
        <v>0.7</v>
      </c>
      <c r="AC22" s="8">
        <v>0.71</v>
      </c>
      <c r="AD22" s="8">
        <v>0.72</v>
      </c>
      <c r="AE22" s="8">
        <v>0.71</v>
      </c>
      <c r="AF22" s="8">
        <v>0.71</v>
      </c>
      <c r="AG22" s="8">
        <v>0.75</v>
      </c>
      <c r="AH22" s="8">
        <v>0.73</v>
      </c>
      <c r="AI22" s="8">
        <v>0.68</v>
      </c>
      <c r="AJ22" s="8">
        <v>0.71</v>
      </c>
      <c r="AK22" s="8">
        <v>0.66</v>
      </c>
      <c r="AL22" s="8">
        <v>0.72</v>
      </c>
      <c r="AM22" s="13">
        <f>SUMPRODUCT(Grades3[[#This Row],[Test 1]:[Project]],$E$1:$Q$1)</f>
        <v>0.70269999999999977</v>
      </c>
      <c r="AN22" t="str">
        <f>INDEX($BB$4:$BB$13,MATCH(Grades3[[#This Row],[Overall GPA]],$BA$4:$BA$13,-1))</f>
        <v>C</v>
      </c>
      <c r="AO22" s="18">
        <v>1</v>
      </c>
      <c r="AQ22">
        <v>19</v>
      </c>
      <c r="AR22">
        <f t="shared" ca="1" si="1"/>
        <v>1</v>
      </c>
      <c r="AT22">
        <v>19</v>
      </c>
      <c r="AU22">
        <f t="shared" ca="1" si="2"/>
        <v>6</v>
      </c>
      <c r="AW22">
        <v>19</v>
      </c>
      <c r="AX22">
        <f t="shared" ca="1" si="3"/>
        <v>1</v>
      </c>
    </row>
    <row r="23" spans="1:54" x14ac:dyDescent="0.3">
      <c r="A23" s="4">
        <v>20</v>
      </c>
      <c r="B23">
        <v>2026207</v>
      </c>
      <c r="C23" t="s">
        <v>81</v>
      </c>
      <c r="D23" t="s">
        <v>49</v>
      </c>
      <c r="E23" s="8">
        <v>0.74</v>
      </c>
      <c r="F23" s="8">
        <v>0.73</v>
      </c>
      <c r="G23" s="8">
        <v>0.68</v>
      </c>
      <c r="H23" s="8">
        <v>0.6</v>
      </c>
      <c r="I23" s="8">
        <v>0.75</v>
      </c>
      <c r="J23" s="8">
        <v>0.72</v>
      </c>
      <c r="K23" s="8">
        <v>0.86</v>
      </c>
      <c r="L23" s="8">
        <v>0.71</v>
      </c>
      <c r="M23" s="8">
        <v>0.6</v>
      </c>
      <c r="N23" s="8">
        <v>0.7</v>
      </c>
      <c r="O23" s="8">
        <v>0.62</v>
      </c>
      <c r="P23" s="8">
        <v>0.88</v>
      </c>
      <c r="Q23" s="8">
        <v>0.73</v>
      </c>
      <c r="R23" s="13">
        <f t="shared" si="0"/>
        <v>0.71640000000000004</v>
      </c>
      <c r="S23" t="str">
        <f>INDEX($BB$4:$BB$13,MATCH(Grades[[#This Row],[Overall GPA]],$BA$4:$BA$13,-1))</f>
        <v>B-</v>
      </c>
      <c r="T23" s="18">
        <v>2</v>
      </c>
      <c r="V23" s="4">
        <v>20</v>
      </c>
      <c r="W23" s="14">
        <v>4556201</v>
      </c>
      <c r="X23" s="8" t="s">
        <v>84</v>
      </c>
      <c r="Y23" t="s">
        <v>55</v>
      </c>
      <c r="Z23" s="8">
        <v>0.75</v>
      </c>
      <c r="AA23" s="8">
        <v>0.69</v>
      </c>
      <c r="AB23" s="8">
        <v>0.7</v>
      </c>
      <c r="AC23" s="8">
        <v>0.66</v>
      </c>
      <c r="AD23" s="8">
        <v>0.66</v>
      </c>
      <c r="AE23" s="8">
        <v>0.71</v>
      </c>
      <c r="AF23" s="8">
        <v>0.66</v>
      </c>
      <c r="AG23" s="8">
        <v>0.74</v>
      </c>
      <c r="AH23" s="8">
        <v>0.75</v>
      </c>
      <c r="AI23" s="8">
        <v>0.72</v>
      </c>
      <c r="AJ23" s="8">
        <v>0.7</v>
      </c>
      <c r="AK23" s="8">
        <v>0.69</v>
      </c>
      <c r="AL23" s="8">
        <v>0.68</v>
      </c>
      <c r="AM23" s="13">
        <f>SUMPRODUCT(Grades3[[#This Row],[Test 1]:[Project]],$E$1:$Q$1)</f>
        <v>0.70250000000000012</v>
      </c>
      <c r="AN23" t="str">
        <f>INDEX($BB$4:$BB$13,MATCH(Grades3[[#This Row],[Overall GPA]],$BA$4:$BA$13,-1))</f>
        <v>C</v>
      </c>
      <c r="AO23" s="18">
        <v>3</v>
      </c>
      <c r="AQ23">
        <v>20</v>
      </c>
      <c r="AR23">
        <f t="shared" ca="1" si="1"/>
        <v>4</v>
      </c>
      <c r="AT23">
        <v>20</v>
      </c>
      <c r="AU23">
        <f t="shared" ca="1" si="2"/>
        <v>3</v>
      </c>
      <c r="AW23">
        <v>20</v>
      </c>
      <c r="AX23">
        <f t="shared" ca="1" si="3"/>
        <v>2</v>
      </c>
    </row>
    <row r="24" spans="1:54" x14ac:dyDescent="0.3">
      <c r="A24" s="4">
        <v>21</v>
      </c>
      <c r="B24">
        <v>2033743</v>
      </c>
      <c r="C24" t="s">
        <v>90</v>
      </c>
      <c r="D24" t="s">
        <v>57</v>
      </c>
      <c r="E24" s="8">
        <v>0.56000000000000005</v>
      </c>
      <c r="F24" s="8">
        <v>0.82</v>
      </c>
      <c r="G24" s="8">
        <v>0.84</v>
      </c>
      <c r="H24" s="8">
        <v>0.66</v>
      </c>
      <c r="I24" s="8">
        <v>0.69</v>
      </c>
      <c r="J24" s="8">
        <v>0.79</v>
      </c>
      <c r="K24" s="8">
        <v>0.76</v>
      </c>
      <c r="L24" s="8">
        <v>0.74</v>
      </c>
      <c r="M24" s="8">
        <v>0.72</v>
      </c>
      <c r="N24" s="8">
        <v>0.83</v>
      </c>
      <c r="O24" s="8">
        <v>0.55000000000000004</v>
      </c>
      <c r="P24" s="8">
        <v>0.67</v>
      </c>
      <c r="Q24" s="8">
        <v>0.55000000000000004</v>
      </c>
      <c r="R24" s="13">
        <f t="shared" si="0"/>
        <v>0.71540000000000015</v>
      </c>
      <c r="S24" t="str">
        <f>INDEX($BB$4:$BB$13,MATCH(Grades[[#This Row],[Overall GPA]],$BA$4:$BA$13,-1))</f>
        <v>B-</v>
      </c>
      <c r="T24" s="18">
        <v>2</v>
      </c>
      <c r="V24" s="4">
        <v>21</v>
      </c>
      <c r="W24" s="14">
        <v>3901701</v>
      </c>
      <c r="X24" s="8" t="s">
        <v>91</v>
      </c>
      <c r="Y24" t="s">
        <v>61</v>
      </c>
      <c r="Z24" s="8">
        <v>0.68</v>
      </c>
      <c r="AA24" s="8">
        <v>0.69</v>
      </c>
      <c r="AB24" s="8">
        <v>0.68</v>
      </c>
      <c r="AC24" s="8">
        <v>0.69</v>
      </c>
      <c r="AD24" s="8">
        <v>0.69</v>
      </c>
      <c r="AE24" s="8">
        <v>0.68</v>
      </c>
      <c r="AF24" s="8">
        <v>0.73</v>
      </c>
      <c r="AG24" s="8">
        <v>0.68</v>
      </c>
      <c r="AH24" s="8">
        <v>0.69</v>
      </c>
      <c r="AI24" s="8">
        <v>0.69</v>
      </c>
      <c r="AJ24" s="8">
        <v>0.75</v>
      </c>
      <c r="AK24" s="8">
        <v>0.71</v>
      </c>
      <c r="AL24" s="8">
        <v>0.73</v>
      </c>
      <c r="AM24" s="13">
        <f>SUMPRODUCT(Grades3[[#This Row],[Test 1]:[Project]],$E$1:$Q$1)</f>
        <v>0.69479999999999986</v>
      </c>
      <c r="AN24" t="str">
        <f>INDEX($BB$4:$BB$13,MATCH(Grades3[[#This Row],[Overall GPA]],$BA$4:$BA$13,-1))</f>
        <v>C</v>
      </c>
      <c r="AO24" s="18">
        <v>3</v>
      </c>
      <c r="AQ24">
        <v>21</v>
      </c>
      <c r="AR24">
        <f t="shared" ca="1" si="1"/>
        <v>5</v>
      </c>
      <c r="AT24">
        <v>21</v>
      </c>
      <c r="AU24">
        <f t="shared" ca="1" si="2"/>
        <v>2</v>
      </c>
      <c r="AW24">
        <v>21</v>
      </c>
      <c r="AX24">
        <f t="shared" ca="1" si="3"/>
        <v>3</v>
      </c>
    </row>
    <row r="25" spans="1:54" x14ac:dyDescent="0.3">
      <c r="A25" s="4">
        <v>22</v>
      </c>
      <c r="B25">
        <v>2040728</v>
      </c>
      <c r="C25" t="s">
        <v>91</v>
      </c>
      <c r="D25" t="s">
        <v>58</v>
      </c>
      <c r="E25" s="8">
        <v>0.85</v>
      </c>
      <c r="F25" s="8">
        <v>0.7</v>
      </c>
      <c r="G25" s="8">
        <v>0.84</v>
      </c>
      <c r="H25" s="8">
        <v>0.69</v>
      </c>
      <c r="I25" s="8">
        <v>0.55000000000000004</v>
      </c>
      <c r="J25" s="8">
        <v>0.55000000000000004</v>
      </c>
      <c r="K25" s="8">
        <v>0.6</v>
      </c>
      <c r="L25" s="8">
        <v>0.61</v>
      </c>
      <c r="M25" s="8">
        <v>0.56999999999999995</v>
      </c>
      <c r="N25" s="8">
        <v>0.59</v>
      </c>
      <c r="O25" s="8">
        <v>0.67</v>
      </c>
      <c r="P25" s="8">
        <v>0.59</v>
      </c>
      <c r="Q25" s="8">
        <v>0.7</v>
      </c>
      <c r="R25" s="13">
        <f t="shared" si="0"/>
        <v>0.71119999999999994</v>
      </c>
      <c r="S25" t="str">
        <f>INDEX($BB$4:$BB$13,MATCH(Grades[[#This Row],[Overall GPA]],$BA$4:$BA$13,-1))</f>
        <v>B-</v>
      </c>
      <c r="T25" s="18">
        <v>2</v>
      </c>
      <c r="V25" s="4">
        <v>22</v>
      </c>
      <c r="W25" s="14">
        <v>4313703</v>
      </c>
      <c r="X25" s="8" t="s">
        <v>85</v>
      </c>
      <c r="Y25" t="s">
        <v>65</v>
      </c>
      <c r="Z25" s="8">
        <v>0.63</v>
      </c>
      <c r="AA25" s="8">
        <v>0.7</v>
      </c>
      <c r="AB25" s="8">
        <v>0.61</v>
      </c>
      <c r="AC25" s="8">
        <v>0.62</v>
      </c>
      <c r="AD25" s="8">
        <v>0.7</v>
      </c>
      <c r="AE25" s="8">
        <v>0.69</v>
      </c>
      <c r="AF25" s="8">
        <v>0.69</v>
      </c>
      <c r="AG25" s="8">
        <v>0.7</v>
      </c>
      <c r="AH25" s="8">
        <v>0.64</v>
      </c>
      <c r="AI25" s="8">
        <v>0.6</v>
      </c>
      <c r="AJ25" s="8">
        <v>0.61</v>
      </c>
      <c r="AK25" s="8">
        <v>0.63</v>
      </c>
      <c r="AL25" s="8">
        <v>0.7</v>
      </c>
      <c r="AM25" s="13">
        <f>SUMPRODUCT(Grades3[[#This Row],[Test 1]:[Project]],$E$1:$Q$1)</f>
        <v>0.65369999999999984</v>
      </c>
      <c r="AN25" t="str">
        <f>INDEX($BB$4:$BB$13,MATCH(Grades3[[#This Row],[Overall GPA]],$BA$4:$BA$13,-1))</f>
        <v>C-</v>
      </c>
      <c r="AO25" s="18">
        <v>4</v>
      </c>
      <c r="AQ25">
        <v>22</v>
      </c>
      <c r="AR25">
        <f t="shared" ca="1" si="1"/>
        <v>4</v>
      </c>
      <c r="AT25">
        <v>22</v>
      </c>
      <c r="AU25">
        <f t="shared" ca="1" si="2"/>
        <v>0</v>
      </c>
      <c r="AW25">
        <v>22</v>
      </c>
      <c r="AX25">
        <f t="shared" ca="1" si="3"/>
        <v>4</v>
      </c>
    </row>
    <row r="26" spans="1:54" x14ac:dyDescent="0.3">
      <c r="A26" s="4">
        <v>23</v>
      </c>
      <c r="B26">
        <v>2427992</v>
      </c>
      <c r="C26" t="s">
        <v>93</v>
      </c>
      <c r="D26" t="s">
        <v>60</v>
      </c>
      <c r="E26" s="8">
        <v>0.66</v>
      </c>
      <c r="F26" s="8">
        <v>0.67</v>
      </c>
      <c r="G26" s="8">
        <v>0.77</v>
      </c>
      <c r="H26" s="8">
        <v>0.67</v>
      </c>
      <c r="I26" s="8">
        <v>0.82</v>
      </c>
      <c r="J26" s="8">
        <v>0.7</v>
      </c>
      <c r="K26" s="8">
        <v>0.57999999999999996</v>
      </c>
      <c r="L26" s="8">
        <v>0.82</v>
      </c>
      <c r="M26" s="8">
        <v>0.82</v>
      </c>
      <c r="N26" s="8">
        <v>0.6</v>
      </c>
      <c r="O26" s="8">
        <v>0.82</v>
      </c>
      <c r="P26" s="8">
        <v>0.61</v>
      </c>
      <c r="Q26" s="8">
        <v>0.63</v>
      </c>
      <c r="R26" s="13">
        <f t="shared" si="0"/>
        <v>0.70179999999999976</v>
      </c>
      <c r="S26" t="str">
        <f>INDEX($BB$4:$BB$13,MATCH(Grades[[#This Row],[Overall GPA]],$BA$4:$BA$13,-1))</f>
        <v>C</v>
      </c>
      <c r="T26" s="18">
        <v>4</v>
      </c>
      <c r="V26" s="4">
        <v>23</v>
      </c>
      <c r="W26" s="14">
        <v>4616254</v>
      </c>
      <c r="X26" s="8" t="s">
        <v>98</v>
      </c>
      <c r="Y26" t="s">
        <v>47</v>
      </c>
      <c r="Z26" s="8">
        <v>0.67</v>
      </c>
      <c r="AA26" s="8">
        <v>0.64</v>
      </c>
      <c r="AB26" s="8">
        <v>0.61</v>
      </c>
      <c r="AC26" s="8">
        <v>0.62</v>
      </c>
      <c r="AD26" s="8">
        <v>0.64</v>
      </c>
      <c r="AE26" s="8">
        <v>0.64</v>
      </c>
      <c r="AF26" s="8">
        <v>0.68</v>
      </c>
      <c r="AG26" s="8">
        <v>0.63</v>
      </c>
      <c r="AH26" s="8">
        <v>0.65</v>
      </c>
      <c r="AI26" s="8">
        <v>0.68</v>
      </c>
      <c r="AJ26" s="8">
        <v>0.7</v>
      </c>
      <c r="AK26" s="8">
        <v>0.64</v>
      </c>
      <c r="AL26" s="8">
        <v>0.67</v>
      </c>
      <c r="AM26" s="13">
        <f>SUMPRODUCT(Grades3[[#This Row],[Test 1]:[Project]],$E$1:$Q$1)</f>
        <v>0.64650000000000007</v>
      </c>
      <c r="AN26" t="str">
        <f>INDEX($BB$4:$BB$13,MATCH(Grades3[[#This Row],[Overall GPA]],$BA$4:$BA$13,-1))</f>
        <v>D</v>
      </c>
      <c r="AO26" s="18">
        <v>5</v>
      </c>
      <c r="AQ26">
        <v>23</v>
      </c>
      <c r="AR26">
        <f t="shared" ca="1" si="1"/>
        <v>7</v>
      </c>
      <c r="AT26">
        <v>23</v>
      </c>
      <c r="AU26">
        <f t="shared" ca="1" si="2"/>
        <v>3</v>
      </c>
      <c r="AW26">
        <v>23</v>
      </c>
      <c r="AX26">
        <f t="shared" ca="1" si="3"/>
        <v>4</v>
      </c>
    </row>
    <row r="27" spans="1:54" x14ac:dyDescent="0.3">
      <c r="A27" s="4">
        <v>24</v>
      </c>
      <c r="B27">
        <v>2061899</v>
      </c>
      <c r="C27" t="s">
        <v>98</v>
      </c>
      <c r="D27" t="s">
        <v>65</v>
      </c>
      <c r="E27" s="8">
        <v>0.66</v>
      </c>
      <c r="F27" s="8">
        <v>0.75</v>
      </c>
      <c r="G27" s="8">
        <v>0.66</v>
      </c>
      <c r="H27" s="8">
        <v>0.69</v>
      </c>
      <c r="I27" s="8">
        <v>0.46</v>
      </c>
      <c r="J27" s="8">
        <v>0.78</v>
      </c>
      <c r="K27" s="8">
        <v>0.77</v>
      </c>
      <c r="L27" s="8">
        <v>0.73</v>
      </c>
      <c r="M27" s="8">
        <v>0.52</v>
      </c>
      <c r="N27" s="8">
        <v>0.74</v>
      </c>
      <c r="O27" s="8">
        <v>0.49</v>
      </c>
      <c r="P27" s="8">
        <v>0.62</v>
      </c>
      <c r="Q27" s="8">
        <v>0.73</v>
      </c>
      <c r="R27" s="13">
        <f t="shared" si="0"/>
        <v>0.67549999999999999</v>
      </c>
      <c r="S27" t="str">
        <f>INDEX($BB$4:$BB$13,MATCH(Grades[[#This Row],[Overall GPA]],$BA$4:$BA$13,-1))</f>
        <v>C-</v>
      </c>
      <c r="T27" s="18">
        <v>5</v>
      </c>
      <c r="V27" s="4">
        <v>24</v>
      </c>
      <c r="W27" s="14">
        <v>4653223</v>
      </c>
      <c r="X27" s="8" t="s">
        <v>83</v>
      </c>
      <c r="Y27" t="s">
        <v>60</v>
      </c>
      <c r="Z27" s="8">
        <v>0.63</v>
      </c>
      <c r="AA27" s="8">
        <v>0.61</v>
      </c>
      <c r="AB27" s="8">
        <v>0.69</v>
      </c>
      <c r="AC27" s="8">
        <v>0.68</v>
      </c>
      <c r="AD27" s="8">
        <v>0.7</v>
      </c>
      <c r="AE27" s="8">
        <v>0.7</v>
      </c>
      <c r="AF27" s="8">
        <v>0.6</v>
      </c>
      <c r="AG27" s="8">
        <v>0.61</v>
      </c>
      <c r="AH27" s="8">
        <v>0.6</v>
      </c>
      <c r="AI27" s="8">
        <v>0.62</v>
      </c>
      <c r="AJ27" s="8">
        <v>0.6</v>
      </c>
      <c r="AK27" s="8">
        <v>0.66</v>
      </c>
      <c r="AL27" s="8">
        <v>0.63</v>
      </c>
      <c r="AM27" s="13">
        <f>SUMPRODUCT(Grades3[[#This Row],[Test 1]:[Project]],$E$1:$Q$1)</f>
        <v>0.64460000000000006</v>
      </c>
      <c r="AN27" t="str">
        <f>INDEX($BB$4:$BB$13,MATCH(Grades3[[#This Row],[Overall GPA]],$BA$4:$BA$13,-1))</f>
        <v>D</v>
      </c>
      <c r="AO27" s="18">
        <v>5</v>
      </c>
      <c r="AQ27">
        <v>24</v>
      </c>
      <c r="AR27">
        <f t="shared" ca="1" si="1"/>
        <v>6</v>
      </c>
      <c r="AT27">
        <v>24</v>
      </c>
      <c r="AU27">
        <f t="shared" ca="1" si="2"/>
        <v>2</v>
      </c>
      <c r="AW27">
        <v>24</v>
      </c>
      <c r="AX27">
        <f t="shared" ca="1" si="3"/>
        <v>5</v>
      </c>
    </row>
    <row r="28" spans="1:54" x14ac:dyDescent="0.3">
      <c r="A28" s="4">
        <v>25</v>
      </c>
      <c r="B28">
        <v>2309257</v>
      </c>
      <c r="C28" t="s">
        <v>88</v>
      </c>
      <c r="D28" t="s">
        <v>47</v>
      </c>
      <c r="E28" s="8">
        <v>0.67</v>
      </c>
      <c r="F28" s="8">
        <v>0.68</v>
      </c>
      <c r="G28" s="8">
        <v>0.64</v>
      </c>
      <c r="H28" s="8">
        <v>0.85</v>
      </c>
      <c r="I28" s="8">
        <v>0.63</v>
      </c>
      <c r="J28" s="8">
        <v>0.77</v>
      </c>
      <c r="K28" s="8">
        <v>0.79</v>
      </c>
      <c r="L28" s="8">
        <v>0.56999999999999995</v>
      </c>
      <c r="M28" s="8">
        <v>0.59</v>
      </c>
      <c r="N28" s="8">
        <v>0.78</v>
      </c>
      <c r="O28" s="8">
        <v>0.81</v>
      </c>
      <c r="P28" s="8">
        <v>0.56999999999999995</v>
      </c>
      <c r="Q28" s="8">
        <v>0.55000000000000004</v>
      </c>
      <c r="R28" s="13">
        <f t="shared" si="0"/>
        <v>0.67030000000000001</v>
      </c>
      <c r="S28" t="str">
        <f>INDEX($BB$4:$BB$13,MATCH(Grades[[#This Row],[Overall GPA]],$BA$4:$BA$13,-1))</f>
        <v>C-</v>
      </c>
      <c r="T28" s="18">
        <v>2</v>
      </c>
      <c r="V28" s="4">
        <v>25</v>
      </c>
      <c r="W28" s="14">
        <v>3881589</v>
      </c>
      <c r="X28" s="8" t="s">
        <v>82</v>
      </c>
      <c r="Y28" t="s">
        <v>58</v>
      </c>
      <c r="Z28" s="8">
        <v>0.6</v>
      </c>
      <c r="AA28" s="8">
        <v>0.68</v>
      </c>
      <c r="AB28" s="8">
        <v>0.62</v>
      </c>
      <c r="AC28" s="8">
        <v>0.64</v>
      </c>
      <c r="AD28" s="8">
        <v>0.67</v>
      </c>
      <c r="AE28" s="8">
        <v>0.61</v>
      </c>
      <c r="AF28" s="8">
        <v>0.61</v>
      </c>
      <c r="AG28" s="8">
        <v>0.62</v>
      </c>
      <c r="AH28" s="8">
        <v>0.62</v>
      </c>
      <c r="AI28" s="8">
        <v>0.63</v>
      </c>
      <c r="AJ28" s="8">
        <v>0.67</v>
      </c>
      <c r="AK28" s="8">
        <v>0.66</v>
      </c>
      <c r="AL28" s="8">
        <v>0.67</v>
      </c>
      <c r="AM28" s="13">
        <f>SUMPRODUCT(Grades3[[#This Row],[Test 1]:[Project]],$E$1:$Q$1)</f>
        <v>0.63749999999999996</v>
      </c>
      <c r="AN28" t="str">
        <f>INDEX($BB$4:$BB$13,MATCH(Grades3[[#This Row],[Overall GPA]],$BA$4:$BA$13,-1))</f>
        <v>F</v>
      </c>
      <c r="AO28" s="18">
        <v>3</v>
      </c>
      <c r="AQ28">
        <v>25</v>
      </c>
      <c r="AR28">
        <f t="shared" ca="1" si="1"/>
        <v>7</v>
      </c>
      <c r="AT28">
        <v>25</v>
      </c>
      <c r="AU28">
        <f t="shared" ca="1" si="2"/>
        <v>7</v>
      </c>
      <c r="AW28">
        <v>25</v>
      </c>
      <c r="AX28">
        <f t="shared" ca="1" si="3"/>
        <v>0</v>
      </c>
    </row>
    <row r="29" spans="1:54" x14ac:dyDescent="0.3">
      <c r="A29" s="4">
        <v>26</v>
      </c>
      <c r="B29">
        <v>2507060</v>
      </c>
      <c r="C29" t="s">
        <v>99</v>
      </c>
      <c r="D29" t="s">
        <v>68</v>
      </c>
      <c r="E29" s="8">
        <v>0.77</v>
      </c>
      <c r="F29" s="8">
        <v>0.54</v>
      </c>
      <c r="G29" s="8">
        <v>0.8</v>
      </c>
      <c r="H29" s="8">
        <v>0.7</v>
      </c>
      <c r="I29" s="8">
        <v>0.56000000000000005</v>
      </c>
      <c r="J29" s="8">
        <v>0.76</v>
      </c>
      <c r="K29" s="8">
        <v>0.56999999999999995</v>
      </c>
      <c r="L29" s="8">
        <v>0.56999999999999995</v>
      </c>
      <c r="M29" s="8">
        <v>0.46</v>
      </c>
      <c r="N29" s="8">
        <v>0.47</v>
      </c>
      <c r="O29" s="8">
        <v>0.68</v>
      </c>
      <c r="P29" s="8">
        <v>0.45</v>
      </c>
      <c r="Q29" s="8">
        <v>0.73</v>
      </c>
      <c r="R29" s="13">
        <f t="shared" si="0"/>
        <v>0.66420000000000001</v>
      </c>
      <c r="S29" t="str">
        <f>INDEX($BB$4:$BB$13,MATCH(Grades[[#This Row],[Overall GPA]],$BA$4:$BA$13,-1))</f>
        <v>C-</v>
      </c>
      <c r="T29" s="18">
        <v>3</v>
      </c>
      <c r="AQ29">
        <v>26</v>
      </c>
      <c r="AR29">
        <f t="shared" ca="1" si="1"/>
        <v>8</v>
      </c>
      <c r="AT29">
        <v>26</v>
      </c>
      <c r="AU29">
        <f t="shared" ca="1" si="2"/>
        <v>0</v>
      </c>
      <c r="AW29">
        <v>26</v>
      </c>
      <c r="AX29">
        <f t="shared" ca="1" si="3"/>
        <v>0</v>
      </c>
    </row>
    <row r="30" spans="1:54" x14ac:dyDescent="0.3">
      <c r="A30" s="4">
        <v>27</v>
      </c>
      <c r="B30">
        <v>2185557</v>
      </c>
      <c r="C30" t="s">
        <v>97</v>
      </c>
      <c r="D30" t="s">
        <v>64</v>
      </c>
      <c r="E30" s="8">
        <v>0.54</v>
      </c>
      <c r="F30" s="8">
        <v>0.6</v>
      </c>
      <c r="G30" s="8">
        <v>0.66</v>
      </c>
      <c r="H30" s="8">
        <v>0.71</v>
      </c>
      <c r="I30" s="8">
        <v>0.78</v>
      </c>
      <c r="J30" s="8">
        <v>0.79</v>
      </c>
      <c r="K30" s="8">
        <v>0.64</v>
      </c>
      <c r="L30" s="8">
        <v>0.75</v>
      </c>
      <c r="M30" s="8">
        <v>0.53</v>
      </c>
      <c r="N30" s="8">
        <v>0.55000000000000004</v>
      </c>
      <c r="O30" s="8">
        <v>0.5</v>
      </c>
      <c r="P30" s="8">
        <v>0.8</v>
      </c>
      <c r="Q30" s="8">
        <v>0.52</v>
      </c>
      <c r="R30" s="13">
        <f t="shared" si="0"/>
        <v>0.62620000000000009</v>
      </c>
      <c r="S30" t="str">
        <f>INDEX($BB$4:$BB$13,MATCH(Grades[[#This Row],[Overall GPA]],$BA$4:$BA$13,-1))</f>
        <v>F</v>
      </c>
      <c r="T30" s="18">
        <v>5</v>
      </c>
      <c r="AQ30">
        <v>27</v>
      </c>
      <c r="AR30">
        <f t="shared" ca="1" si="1"/>
        <v>7</v>
      </c>
      <c r="AT30">
        <v>27</v>
      </c>
      <c r="AU30">
        <f t="shared" ca="1" si="2"/>
        <v>0</v>
      </c>
      <c r="AW30">
        <v>27</v>
      </c>
      <c r="AX30">
        <f t="shared" ca="1" si="3"/>
        <v>4</v>
      </c>
    </row>
    <row r="31" spans="1:54" x14ac:dyDescent="0.3">
      <c r="A31" s="4">
        <v>28</v>
      </c>
      <c r="B31">
        <v>2211064</v>
      </c>
      <c r="C31" t="s">
        <v>95</v>
      </c>
      <c r="D31" t="s">
        <v>62</v>
      </c>
      <c r="E31" s="8">
        <v>0.65</v>
      </c>
      <c r="F31" s="8">
        <v>0.6</v>
      </c>
      <c r="G31" s="8">
        <v>0.51</v>
      </c>
      <c r="H31" s="8">
        <v>0.61</v>
      </c>
      <c r="I31" s="8">
        <v>0.76</v>
      </c>
      <c r="J31" s="8">
        <v>0.5</v>
      </c>
      <c r="K31" s="8">
        <v>0.56999999999999995</v>
      </c>
      <c r="L31" s="8">
        <v>0.51</v>
      </c>
      <c r="M31" s="8">
        <v>0.63</v>
      </c>
      <c r="N31" s="8">
        <v>0.77</v>
      </c>
      <c r="O31" s="8">
        <v>0.64</v>
      </c>
      <c r="P31" s="8">
        <v>0.76</v>
      </c>
      <c r="Q31" s="8">
        <v>0.78</v>
      </c>
      <c r="R31" s="13">
        <f t="shared" si="0"/>
        <v>0.6218999999999999</v>
      </c>
      <c r="S31" t="str">
        <f>INDEX($BB$4:$BB$13,MATCH(Grades[[#This Row],[Overall GPA]],$BA$4:$BA$13,-1))</f>
        <v>F</v>
      </c>
      <c r="T31" s="18">
        <v>6</v>
      </c>
      <c r="V31" s="1"/>
      <c r="W31" s="22" t="s">
        <v>110</v>
      </c>
      <c r="X31" s="22"/>
      <c r="Y31" s="11"/>
      <c r="AM31" s="3"/>
      <c r="AN31" s="1"/>
      <c r="AO31" s="1"/>
      <c r="AQ31">
        <v>28</v>
      </c>
      <c r="AR31">
        <f t="shared" ca="1" si="1"/>
        <v>0</v>
      </c>
      <c r="AT31">
        <v>28</v>
      </c>
      <c r="AU31">
        <f t="shared" ca="1" si="2"/>
        <v>1</v>
      </c>
      <c r="AW31">
        <v>28</v>
      </c>
      <c r="AX31">
        <f t="shared" ca="1" si="3"/>
        <v>5</v>
      </c>
    </row>
    <row r="32" spans="1:54" x14ac:dyDescent="0.3">
      <c r="A32" s="4">
        <v>29</v>
      </c>
      <c r="B32">
        <v>2189164</v>
      </c>
      <c r="C32" t="s">
        <v>96</v>
      </c>
      <c r="D32" t="s">
        <v>63</v>
      </c>
      <c r="E32" s="8">
        <v>0.55000000000000004</v>
      </c>
      <c r="F32" s="8">
        <v>0.76</v>
      </c>
      <c r="G32" s="8">
        <v>0.47</v>
      </c>
      <c r="H32" s="8">
        <v>0.76</v>
      </c>
      <c r="I32" s="8">
        <v>0.61</v>
      </c>
      <c r="J32" s="8">
        <v>0.5</v>
      </c>
      <c r="K32" s="8">
        <v>0.56000000000000005</v>
      </c>
      <c r="L32" s="8">
        <v>0.57999999999999996</v>
      </c>
      <c r="M32" s="8">
        <v>0.54</v>
      </c>
      <c r="N32" s="8">
        <v>0.69</v>
      </c>
      <c r="O32" s="8">
        <v>0.72</v>
      </c>
      <c r="P32" s="8">
        <v>0.62</v>
      </c>
      <c r="Q32" s="8">
        <v>0.78</v>
      </c>
      <c r="R32" s="13">
        <f t="shared" si="0"/>
        <v>0.6160000000000001</v>
      </c>
      <c r="S32" t="str">
        <f>INDEX($BB$4:$BB$13,MATCH(Grades[[#This Row],[Overall GPA]],$BA$4:$BA$13,-1))</f>
        <v>F</v>
      </c>
      <c r="T32" s="18">
        <v>4</v>
      </c>
      <c r="V32" s="5" t="s">
        <v>32</v>
      </c>
      <c r="W32" s="1" t="s">
        <v>1</v>
      </c>
      <c r="X32" s="1" t="s">
        <v>2</v>
      </c>
      <c r="Y32" s="1" t="s">
        <v>3</v>
      </c>
      <c r="Z32" s="1" t="s">
        <v>4</v>
      </c>
      <c r="AA32" s="1" t="s">
        <v>5</v>
      </c>
      <c r="AB32" s="1" t="s">
        <v>6</v>
      </c>
      <c r="AC32" s="1" t="s">
        <v>7</v>
      </c>
      <c r="AD32" s="1" t="s">
        <v>8</v>
      </c>
      <c r="AE32" s="1" t="s">
        <v>9</v>
      </c>
      <c r="AF32" s="1" t="s">
        <v>10</v>
      </c>
      <c r="AG32" s="1" t="s">
        <v>11</v>
      </c>
      <c r="AH32" s="1" t="s">
        <v>12</v>
      </c>
      <c r="AI32" s="1" t="s">
        <v>13</v>
      </c>
      <c r="AJ32" s="1" t="s">
        <v>14</v>
      </c>
      <c r="AK32" s="1" t="s">
        <v>15</v>
      </c>
      <c r="AL32" s="1" t="s">
        <v>16</v>
      </c>
      <c r="AM32" s="1" t="s">
        <v>30</v>
      </c>
      <c r="AN32" s="1" t="s">
        <v>18</v>
      </c>
      <c r="AO32" s="1" t="s">
        <v>121</v>
      </c>
      <c r="AQ32">
        <v>29</v>
      </c>
      <c r="AR32">
        <f t="shared" ca="1" si="1"/>
        <v>7</v>
      </c>
      <c r="AT32">
        <v>29</v>
      </c>
      <c r="AU32">
        <f t="shared" ca="1" si="2"/>
        <v>0</v>
      </c>
      <c r="AW32">
        <v>29</v>
      </c>
      <c r="AX32">
        <f t="shared" ca="1" si="3"/>
        <v>0</v>
      </c>
    </row>
    <row r="33" spans="1:50" x14ac:dyDescent="0.3">
      <c r="A33" s="4">
        <v>30</v>
      </c>
      <c r="B33">
        <v>2212123</v>
      </c>
      <c r="C33" t="s">
        <v>102</v>
      </c>
      <c r="D33" t="s">
        <v>69</v>
      </c>
      <c r="E33" s="8">
        <v>0.52</v>
      </c>
      <c r="F33" s="8">
        <v>0.56999999999999995</v>
      </c>
      <c r="G33" s="8">
        <v>0.66</v>
      </c>
      <c r="H33" s="8">
        <v>0.68</v>
      </c>
      <c r="I33" s="8">
        <v>0.79</v>
      </c>
      <c r="J33" s="8">
        <v>0.72</v>
      </c>
      <c r="K33" s="8">
        <v>0.49</v>
      </c>
      <c r="L33" s="8">
        <v>0.51</v>
      </c>
      <c r="M33" s="8">
        <v>0.48</v>
      </c>
      <c r="N33" s="8">
        <v>0.8</v>
      </c>
      <c r="O33" s="8">
        <v>0.64</v>
      </c>
      <c r="P33" s="8">
        <v>0.64</v>
      </c>
      <c r="Q33" s="8">
        <v>0.56999999999999995</v>
      </c>
      <c r="R33" s="13">
        <f t="shared" si="0"/>
        <v>0.60929999999999995</v>
      </c>
      <c r="S33" t="str">
        <f>INDEX($BB$4:$BB$13,MATCH(Grades[[#This Row],[Overall GPA]],$BA$4:$BA$13,-1))</f>
        <v>F</v>
      </c>
      <c r="T33" s="18">
        <v>5</v>
      </c>
      <c r="V33" s="4">
        <v>1</v>
      </c>
      <c r="W33" s="14">
        <v>3907460</v>
      </c>
      <c r="X33" s="8" t="s">
        <v>70</v>
      </c>
      <c r="Y33" s="8" t="s">
        <v>48</v>
      </c>
      <c r="Z33" s="8">
        <v>0.99</v>
      </c>
      <c r="AA33" s="8">
        <v>1</v>
      </c>
      <c r="AB33" s="8">
        <v>0.98</v>
      </c>
      <c r="AC33" s="8">
        <v>0.91</v>
      </c>
      <c r="AD33" s="8">
        <v>0.91</v>
      </c>
      <c r="AE33" s="8">
        <v>0.98</v>
      </c>
      <c r="AF33" s="8">
        <v>0.94</v>
      </c>
      <c r="AG33" s="8">
        <v>0.96</v>
      </c>
      <c r="AH33" s="8">
        <v>0.93</v>
      </c>
      <c r="AI33" s="8">
        <v>0.97</v>
      </c>
      <c r="AJ33" s="8">
        <v>0.9</v>
      </c>
      <c r="AK33" s="8">
        <v>0.99</v>
      </c>
      <c r="AL33" s="8">
        <v>0.9</v>
      </c>
      <c r="AM33" s="2">
        <f>SUMPRODUCT(Grades4[[#This Row],[Test 1]:[Project]],$E$1:$Q$1)</f>
        <v>0.96150000000000002</v>
      </c>
      <c r="AN33" t="str">
        <f>INDEX($BB$4:$BB$13,MATCH(Grades4[[#This Row],[Overall GPA]],$BA$4:$BA$13,-1))</f>
        <v>A+</v>
      </c>
      <c r="AO33" s="18">
        <v>0</v>
      </c>
      <c r="AQ33">
        <v>30</v>
      </c>
      <c r="AR33">
        <f t="shared" ca="1" si="1"/>
        <v>3</v>
      </c>
      <c r="AT33">
        <v>30</v>
      </c>
      <c r="AU33">
        <f t="shared" ca="1" si="2"/>
        <v>7</v>
      </c>
      <c r="AW33">
        <v>30</v>
      </c>
      <c r="AX33">
        <f t="shared" ca="1" si="3"/>
        <v>2</v>
      </c>
    </row>
    <row r="34" spans="1:50" x14ac:dyDescent="0.3">
      <c r="A34" s="4">
        <v>31</v>
      </c>
      <c r="B34">
        <v>2449117</v>
      </c>
      <c r="C34" t="s">
        <v>100</v>
      </c>
      <c r="D34" t="s">
        <v>67</v>
      </c>
      <c r="E34" s="8">
        <v>0.57999999999999996</v>
      </c>
      <c r="F34" s="8">
        <v>0.67</v>
      </c>
      <c r="G34" s="8">
        <v>0.56999999999999995</v>
      </c>
      <c r="H34" s="8">
        <v>0.69</v>
      </c>
      <c r="I34" s="8">
        <v>0.45</v>
      </c>
      <c r="J34" s="8">
        <v>0.67</v>
      </c>
      <c r="K34" s="8">
        <v>0.64</v>
      </c>
      <c r="L34" s="8">
        <v>0.65</v>
      </c>
      <c r="M34" s="8">
        <v>0.49</v>
      </c>
      <c r="N34" s="8">
        <v>0.65</v>
      </c>
      <c r="O34" s="8">
        <v>0.65</v>
      </c>
      <c r="P34" s="8">
        <v>0.49</v>
      </c>
      <c r="Q34" s="8">
        <v>0.67</v>
      </c>
      <c r="R34" s="13">
        <f t="shared" si="0"/>
        <v>0.60820000000000007</v>
      </c>
      <c r="S34" t="str">
        <f>INDEX($BB$4:$BB$13,MATCH(Grades[[#This Row],[Overall GPA]],$BA$4:$BA$13,-1))</f>
        <v>F</v>
      </c>
      <c r="T34" s="18">
        <v>2</v>
      </c>
      <c r="V34" s="4">
        <v>2</v>
      </c>
      <c r="W34" s="14">
        <v>3796282</v>
      </c>
      <c r="X34" s="8" t="s">
        <v>71</v>
      </c>
      <c r="Y34" s="8" t="s">
        <v>66</v>
      </c>
      <c r="Z34" s="8">
        <v>0.98</v>
      </c>
      <c r="AA34" s="8">
        <v>0.91</v>
      </c>
      <c r="AB34" s="8">
        <v>0.95</v>
      </c>
      <c r="AC34" s="8">
        <v>0.98</v>
      </c>
      <c r="AD34" s="8">
        <v>0.99</v>
      </c>
      <c r="AE34" s="8">
        <v>0.94</v>
      </c>
      <c r="AF34" s="8">
        <v>0.97</v>
      </c>
      <c r="AG34" s="8">
        <v>0.95</v>
      </c>
      <c r="AH34" s="8">
        <v>0.96</v>
      </c>
      <c r="AI34" s="8">
        <v>0.91</v>
      </c>
      <c r="AJ34" s="8">
        <v>0.92</v>
      </c>
      <c r="AK34" s="8">
        <v>0.99</v>
      </c>
      <c r="AL34" s="8">
        <v>0.98</v>
      </c>
      <c r="AM34" s="2">
        <f>SUMPRODUCT(Grades4[[#This Row],[Test 1]:[Project]],$E$1:$Q$1)</f>
        <v>0.95469999999999988</v>
      </c>
      <c r="AN34" t="str">
        <f>INDEX($BB$4:$BB$13,MATCH(Grades4[[#This Row],[Overall GPA]],$BA$4:$BA$13,-1))</f>
        <v>A+</v>
      </c>
      <c r="AO34" s="18">
        <v>0</v>
      </c>
      <c r="AQ34">
        <v>31</v>
      </c>
      <c r="AR34">
        <f t="shared" ca="1" si="1"/>
        <v>8</v>
      </c>
      <c r="AT34">
        <v>31</v>
      </c>
      <c r="AU34">
        <f t="shared" ca="1" si="2"/>
        <v>3</v>
      </c>
      <c r="AW34">
        <v>31</v>
      </c>
      <c r="AX34">
        <f t="shared" ca="1" si="3"/>
        <v>2</v>
      </c>
    </row>
    <row r="35" spans="1:50" x14ac:dyDescent="0.3">
      <c r="A35" s="4">
        <v>32</v>
      </c>
      <c r="B35">
        <v>2191343</v>
      </c>
      <c r="C35" t="s">
        <v>101</v>
      </c>
      <c r="D35" t="s">
        <v>66</v>
      </c>
      <c r="E35" s="8">
        <v>0.67</v>
      </c>
      <c r="F35" s="8">
        <v>0.66</v>
      </c>
      <c r="G35" s="8">
        <v>0.45</v>
      </c>
      <c r="H35" s="8">
        <v>0.5</v>
      </c>
      <c r="I35" s="8">
        <v>0.51</v>
      </c>
      <c r="J35" s="8">
        <v>0.5</v>
      </c>
      <c r="K35" s="8">
        <v>0.74</v>
      </c>
      <c r="L35" s="8">
        <v>0.75</v>
      </c>
      <c r="M35" s="8">
        <v>0.56000000000000005</v>
      </c>
      <c r="N35" s="8">
        <v>0.59</v>
      </c>
      <c r="O35" s="8">
        <v>0.49</v>
      </c>
      <c r="P35" s="8">
        <v>0.57999999999999996</v>
      </c>
      <c r="Q35" s="8">
        <v>0.45</v>
      </c>
      <c r="R35" s="13">
        <f t="shared" si="0"/>
        <v>0.56580000000000008</v>
      </c>
      <c r="S35" t="str">
        <f>INDEX($BB$4:$BB$13,MATCH(Grades[[#This Row],[Overall GPA]],$BA$4:$BA$13,-1))</f>
        <v>F</v>
      </c>
      <c r="T35" s="18">
        <v>4</v>
      </c>
      <c r="V35" s="4">
        <v>3</v>
      </c>
      <c r="W35" s="14">
        <v>4338882</v>
      </c>
      <c r="X35" s="8" t="s">
        <v>73</v>
      </c>
      <c r="Y35" s="8" t="s">
        <v>42</v>
      </c>
      <c r="Z35" s="8">
        <v>0.93</v>
      </c>
      <c r="AA35" s="8">
        <v>1</v>
      </c>
      <c r="AB35" s="8">
        <v>0.93</v>
      </c>
      <c r="AC35" s="8">
        <v>0.94</v>
      </c>
      <c r="AD35" s="8">
        <v>0.92</v>
      </c>
      <c r="AE35" s="8">
        <v>0.98</v>
      </c>
      <c r="AF35" s="8">
        <v>0.99</v>
      </c>
      <c r="AG35" s="8">
        <v>0.9</v>
      </c>
      <c r="AH35" s="8">
        <v>0.89</v>
      </c>
      <c r="AI35" s="8">
        <v>0.91</v>
      </c>
      <c r="AJ35" s="8">
        <v>0.97</v>
      </c>
      <c r="AK35" s="8">
        <v>0.94</v>
      </c>
      <c r="AL35" s="8">
        <v>0.94</v>
      </c>
      <c r="AM35" s="2">
        <f>SUMPRODUCT(Grades4[[#This Row],[Test 1]:[Project]],$E$1:$Q$1)</f>
        <v>0.94540000000000002</v>
      </c>
      <c r="AN35" t="str">
        <f>INDEX($BB$4:$BB$13,MATCH(Grades4[[#This Row],[Overall GPA]],$BA$4:$BA$13,-1))</f>
        <v>A+</v>
      </c>
      <c r="AO35" s="18">
        <v>0</v>
      </c>
      <c r="AQ35">
        <v>32</v>
      </c>
      <c r="AR35">
        <f t="shared" ca="1" si="1"/>
        <v>6</v>
      </c>
      <c r="AT35">
        <v>32</v>
      </c>
      <c r="AU35">
        <f t="shared" ca="1" si="2"/>
        <v>5</v>
      </c>
      <c r="AW35">
        <v>32</v>
      </c>
      <c r="AX35">
        <f t="shared" ca="1" si="3"/>
        <v>0</v>
      </c>
    </row>
    <row r="36" spans="1:50" x14ac:dyDescent="0.3">
      <c r="A36" s="4">
        <v>33</v>
      </c>
      <c r="B36">
        <v>2308457</v>
      </c>
      <c r="C36" t="s">
        <v>84</v>
      </c>
      <c r="D36" t="s">
        <v>52</v>
      </c>
      <c r="E36" s="8">
        <v>0.57999999999999996</v>
      </c>
      <c r="F36" s="8">
        <v>0.68</v>
      </c>
      <c r="G36" s="8">
        <v>0.46</v>
      </c>
      <c r="H36" s="8">
        <v>0.73</v>
      </c>
      <c r="I36" s="8">
        <v>0.46</v>
      </c>
      <c r="J36" s="8">
        <v>0.62</v>
      </c>
      <c r="K36" s="8">
        <v>0.45</v>
      </c>
      <c r="L36" s="8">
        <v>0.57999999999999996</v>
      </c>
      <c r="M36" s="8">
        <v>0.45</v>
      </c>
      <c r="N36" s="8">
        <v>0.46</v>
      </c>
      <c r="O36" s="8">
        <v>0.56000000000000005</v>
      </c>
      <c r="P36" s="8">
        <v>0.72</v>
      </c>
      <c r="Q36" s="8">
        <v>0.56999999999999995</v>
      </c>
      <c r="R36" s="13">
        <f t="shared" si="0"/>
        <v>0.56180000000000008</v>
      </c>
      <c r="S36" t="str">
        <f>INDEX($BB$4:$BB$13,MATCH(Grades[[#This Row],[Overall GPA]],$BA$4:$BA$13,-1))</f>
        <v>F</v>
      </c>
      <c r="T36" s="18">
        <v>3</v>
      </c>
      <c r="V36" s="4">
        <v>4</v>
      </c>
      <c r="W36" s="14">
        <v>3987167</v>
      </c>
      <c r="X36" s="8" t="s">
        <v>76</v>
      </c>
      <c r="Y36" s="8" t="s">
        <v>53</v>
      </c>
      <c r="Z36" s="8">
        <v>0.91</v>
      </c>
      <c r="AA36" s="8">
        <v>0.92</v>
      </c>
      <c r="AB36" s="8">
        <v>0.97</v>
      </c>
      <c r="AC36" s="8">
        <v>0.93</v>
      </c>
      <c r="AD36" s="8">
        <v>0.96</v>
      </c>
      <c r="AE36" s="8">
        <v>0.98</v>
      </c>
      <c r="AF36" s="8">
        <v>0.96</v>
      </c>
      <c r="AG36" s="8">
        <v>0.94</v>
      </c>
      <c r="AH36" s="8">
        <v>0.98</v>
      </c>
      <c r="AI36" s="8">
        <v>0.97</v>
      </c>
      <c r="AJ36" s="8">
        <v>0.92</v>
      </c>
      <c r="AK36" s="8">
        <v>0.97</v>
      </c>
      <c r="AL36" s="8">
        <v>0.92</v>
      </c>
      <c r="AM36" s="2">
        <f>SUMPRODUCT(Grades4[[#This Row],[Test 1]:[Project]],$E$1:$Q$1)</f>
        <v>0.94319999999999993</v>
      </c>
      <c r="AN36" t="str">
        <f>INDEX($BB$4:$BB$13,MATCH(Grades4[[#This Row],[Overall GPA]],$BA$4:$BA$13,-1))</f>
        <v>A+</v>
      </c>
      <c r="AO36" s="18">
        <v>1</v>
      </c>
      <c r="AQ36">
        <v>33</v>
      </c>
      <c r="AR36">
        <f t="shared" ca="1" si="1"/>
        <v>5</v>
      </c>
      <c r="AT36">
        <v>33</v>
      </c>
      <c r="AU36">
        <f t="shared" ca="1" si="2"/>
        <v>5</v>
      </c>
      <c r="AW36">
        <v>33</v>
      </c>
      <c r="AX36">
        <f t="shared" ca="1" si="3"/>
        <v>3</v>
      </c>
    </row>
    <row r="37" spans="1:50" x14ac:dyDescent="0.3">
      <c r="V37" s="4">
        <v>5</v>
      </c>
      <c r="W37" s="14">
        <v>3891870</v>
      </c>
      <c r="X37" s="8" t="s">
        <v>74</v>
      </c>
      <c r="Y37" s="8" t="s">
        <v>47</v>
      </c>
      <c r="Z37" s="8">
        <v>0.92</v>
      </c>
      <c r="AA37" s="8">
        <v>0.92</v>
      </c>
      <c r="AB37" s="8">
        <v>0.96</v>
      </c>
      <c r="AC37" s="8">
        <v>0.98</v>
      </c>
      <c r="AD37" s="8">
        <v>0.9</v>
      </c>
      <c r="AE37" s="8">
        <v>0.95</v>
      </c>
      <c r="AF37" s="8">
        <v>0.93</v>
      </c>
      <c r="AG37" s="8">
        <v>0.85</v>
      </c>
      <c r="AH37" s="8">
        <v>0.96</v>
      </c>
      <c r="AI37" s="8">
        <v>0.98</v>
      </c>
      <c r="AJ37" s="8">
        <v>0.88</v>
      </c>
      <c r="AK37" s="8">
        <v>0.97</v>
      </c>
      <c r="AL37" s="8">
        <v>0.98</v>
      </c>
      <c r="AM37" s="2">
        <f>SUMPRODUCT(Grades4[[#This Row],[Test 1]:[Project]],$E$1:$Q$1)</f>
        <v>0.9396000000000001</v>
      </c>
      <c r="AN37" t="str">
        <f>INDEX($BB$4:$BB$13,MATCH(Grades4[[#This Row],[Overall GPA]],$BA$4:$BA$13,-1))</f>
        <v>A+</v>
      </c>
      <c r="AO37" s="18">
        <v>1</v>
      </c>
      <c r="AQ37">
        <v>34</v>
      </c>
      <c r="AR37">
        <f t="shared" ca="1" si="1"/>
        <v>3</v>
      </c>
      <c r="AT37">
        <v>34</v>
      </c>
      <c r="AU37">
        <f t="shared" ca="1" si="2"/>
        <v>3</v>
      </c>
      <c r="AW37">
        <v>34</v>
      </c>
      <c r="AX37">
        <f t="shared" ca="1" si="3"/>
        <v>4</v>
      </c>
    </row>
    <row r="38" spans="1:50" x14ac:dyDescent="0.3">
      <c r="B38" s="22" t="s">
        <v>108</v>
      </c>
      <c r="C38" s="22"/>
      <c r="D38" s="12"/>
      <c r="V38" s="4">
        <v>6</v>
      </c>
      <c r="W38" s="14">
        <v>3792943</v>
      </c>
      <c r="X38" s="8" t="s">
        <v>78</v>
      </c>
      <c r="Y38" s="8" t="s">
        <v>47</v>
      </c>
      <c r="Z38" s="8">
        <v>0.94</v>
      </c>
      <c r="AA38" s="8">
        <v>0.87</v>
      </c>
      <c r="AB38" s="8">
        <v>0.96</v>
      </c>
      <c r="AC38" s="8">
        <v>0.98</v>
      </c>
      <c r="AD38" s="8">
        <v>0.87</v>
      </c>
      <c r="AE38" s="8">
        <v>0.92</v>
      </c>
      <c r="AF38" s="8">
        <v>0.93</v>
      </c>
      <c r="AG38" s="8">
        <v>0.92</v>
      </c>
      <c r="AH38" s="8">
        <v>0.98</v>
      </c>
      <c r="AI38" s="8">
        <v>0.9</v>
      </c>
      <c r="AJ38" s="8">
        <v>0.97</v>
      </c>
      <c r="AK38" s="8">
        <v>0.96</v>
      </c>
      <c r="AL38" s="8">
        <v>0.87</v>
      </c>
      <c r="AM38" s="2">
        <f>SUMPRODUCT(Grades4[[#This Row],[Test 1]:[Project]],$E$1:$Q$1)</f>
        <v>0.92470000000000008</v>
      </c>
      <c r="AN38" t="str">
        <f>INDEX($BB$4:$BB$13,MATCH(Grades4[[#This Row],[Overall GPA]],$BA$4:$BA$13,-1))</f>
        <v>A+</v>
      </c>
      <c r="AO38" s="18">
        <v>2</v>
      </c>
      <c r="AQ38">
        <v>35</v>
      </c>
      <c r="AR38">
        <f t="shared" ca="1" si="1"/>
        <v>5</v>
      </c>
      <c r="AT38">
        <v>35</v>
      </c>
      <c r="AU38">
        <f t="shared" ca="1" si="2"/>
        <v>2</v>
      </c>
      <c r="AW38">
        <v>35</v>
      </c>
      <c r="AX38">
        <f t="shared" ca="1" si="3"/>
        <v>5</v>
      </c>
    </row>
    <row r="39" spans="1:50" x14ac:dyDescent="0.3">
      <c r="A39" t="s">
        <v>32</v>
      </c>
      <c r="B39" t="s">
        <v>1</v>
      </c>
      <c r="C39" t="s">
        <v>2</v>
      </c>
      <c r="D39" t="s">
        <v>3</v>
      </c>
      <c r="E39" t="s">
        <v>4</v>
      </c>
      <c r="F39" t="s">
        <v>5</v>
      </c>
      <c r="G39" t="s">
        <v>6</v>
      </c>
      <c r="H39" t="s">
        <v>7</v>
      </c>
      <c r="I39" t="s">
        <v>8</v>
      </c>
      <c r="J39" t="s">
        <v>9</v>
      </c>
      <c r="K39" t="s">
        <v>10</v>
      </c>
      <c r="L39" t="s">
        <v>11</v>
      </c>
      <c r="M39" t="s">
        <v>12</v>
      </c>
      <c r="N39" t="s">
        <v>13</v>
      </c>
      <c r="O39" t="s">
        <v>14</v>
      </c>
      <c r="P39" t="s">
        <v>15</v>
      </c>
      <c r="Q39" t="s">
        <v>16</v>
      </c>
      <c r="R39" t="s">
        <v>30</v>
      </c>
      <c r="S39" t="s">
        <v>18</v>
      </c>
      <c r="T39" t="s">
        <v>121</v>
      </c>
      <c r="V39" s="4">
        <v>7</v>
      </c>
      <c r="W39" s="14">
        <v>4287925</v>
      </c>
      <c r="X39" s="8" t="s">
        <v>72</v>
      </c>
      <c r="Y39" s="8" t="s">
        <v>59</v>
      </c>
      <c r="Z39" s="8">
        <v>0.93</v>
      </c>
      <c r="AA39" s="8">
        <v>0.85</v>
      </c>
      <c r="AB39" s="8">
        <v>0.99</v>
      </c>
      <c r="AC39" s="8">
        <v>0.9</v>
      </c>
      <c r="AD39" s="8">
        <v>1</v>
      </c>
      <c r="AE39" s="8">
        <v>0.98</v>
      </c>
      <c r="AF39" s="8">
        <v>0.85</v>
      </c>
      <c r="AG39" s="8">
        <v>0.86</v>
      </c>
      <c r="AH39" s="8">
        <v>0.92</v>
      </c>
      <c r="AI39" s="8">
        <v>1</v>
      </c>
      <c r="AJ39" s="8">
        <v>0.88</v>
      </c>
      <c r="AK39" s="8">
        <v>0.87</v>
      </c>
      <c r="AL39" s="8">
        <v>0.87</v>
      </c>
      <c r="AM39" s="2">
        <f>SUMPRODUCT(Grades4[[#This Row],[Test 1]:[Project]],$E$1:$Q$1)</f>
        <v>0.91970000000000018</v>
      </c>
      <c r="AN39" t="str">
        <f>INDEX($BB$4:$BB$13,MATCH(Grades4[[#This Row],[Overall GPA]],$BA$4:$BA$13,-1))</f>
        <v>A</v>
      </c>
      <c r="AO39" s="18">
        <v>2</v>
      </c>
      <c r="AQ39">
        <v>36</v>
      </c>
      <c r="AR39">
        <f t="shared" ca="1" si="1"/>
        <v>6</v>
      </c>
      <c r="AT39">
        <v>36</v>
      </c>
      <c r="AU39">
        <f t="shared" ca="1" si="2"/>
        <v>5</v>
      </c>
      <c r="AW39">
        <v>36</v>
      </c>
      <c r="AX39">
        <f t="shared" ca="1" si="3"/>
        <v>3</v>
      </c>
    </row>
    <row r="40" spans="1:50" x14ac:dyDescent="0.3">
      <c r="A40">
        <v>1</v>
      </c>
      <c r="B40">
        <v>2067773</v>
      </c>
      <c r="C40" t="s">
        <v>96</v>
      </c>
      <c r="D40" t="s">
        <v>48</v>
      </c>
      <c r="E40" s="13">
        <v>0.94</v>
      </c>
      <c r="F40" s="13">
        <v>0.83</v>
      </c>
      <c r="G40" s="13">
        <v>0.97</v>
      </c>
      <c r="H40" s="13">
        <v>0.85</v>
      </c>
      <c r="I40" s="13">
        <v>0.83</v>
      </c>
      <c r="J40" s="13">
        <v>1</v>
      </c>
      <c r="K40" s="13">
        <v>0.98</v>
      </c>
      <c r="L40" s="13">
        <v>0.98</v>
      </c>
      <c r="M40" s="13">
        <v>0.8</v>
      </c>
      <c r="N40" s="13">
        <v>0.94</v>
      </c>
      <c r="O40" s="13">
        <v>0.88</v>
      </c>
      <c r="P40" s="13">
        <v>0.8</v>
      </c>
      <c r="Q40" s="13">
        <v>0.95</v>
      </c>
      <c r="R40" s="13">
        <f t="shared" ref="R40:R69" si="4">SUMPRODUCT(E40:Q40,$E$1:$Q$1)</f>
        <v>0.91350000000000009</v>
      </c>
      <c r="S40" t="str">
        <f>INDEX($BB$4:$BB$13,MATCH(Grades2[[#This Row],[Overall GPA]],$BA$4:$BA$13,-1))</f>
        <v>A</v>
      </c>
      <c r="T40" s="18">
        <v>1</v>
      </c>
      <c r="V40" s="4">
        <v>8</v>
      </c>
      <c r="W40" s="14">
        <v>3573311</v>
      </c>
      <c r="X40" s="8" t="s">
        <v>77</v>
      </c>
      <c r="Y40" s="8" t="s">
        <v>38</v>
      </c>
      <c r="Z40" s="8">
        <v>0.9</v>
      </c>
      <c r="AA40" s="8">
        <v>0.91</v>
      </c>
      <c r="AB40" s="8">
        <v>0.8</v>
      </c>
      <c r="AC40" s="8">
        <v>0.87</v>
      </c>
      <c r="AD40" s="8">
        <v>0.84</v>
      </c>
      <c r="AE40" s="8">
        <v>0.83</v>
      </c>
      <c r="AF40" s="8">
        <v>0.8</v>
      </c>
      <c r="AG40" s="8">
        <v>0.92</v>
      </c>
      <c r="AH40" s="8">
        <v>0.92</v>
      </c>
      <c r="AI40" s="8">
        <v>0.82</v>
      </c>
      <c r="AJ40" s="8">
        <v>0.87</v>
      </c>
      <c r="AK40" s="8">
        <v>0.81</v>
      </c>
      <c r="AL40" s="8">
        <v>0.92</v>
      </c>
      <c r="AM40" s="2">
        <f>SUMPRODUCT(Grades4[[#This Row],[Test 1]:[Project]],$E$1:$Q$1)</f>
        <v>0.86409999999999976</v>
      </c>
      <c r="AN40" t="str">
        <f>INDEX($BB$4:$BB$13,MATCH(Grades4[[#This Row],[Overall GPA]],$BA$4:$BA$13,-1))</f>
        <v>A-</v>
      </c>
      <c r="AO40" s="18">
        <v>3</v>
      </c>
      <c r="AQ40">
        <v>37</v>
      </c>
      <c r="AR40">
        <f t="shared" ca="1" si="1"/>
        <v>4</v>
      </c>
      <c r="AT40">
        <v>37</v>
      </c>
      <c r="AU40">
        <f t="shared" ca="1" si="2"/>
        <v>3</v>
      </c>
      <c r="AW40">
        <v>37</v>
      </c>
      <c r="AX40">
        <f t="shared" ca="1" si="3"/>
        <v>5</v>
      </c>
    </row>
    <row r="41" spans="1:50" x14ac:dyDescent="0.3">
      <c r="A41">
        <v>2</v>
      </c>
      <c r="B41">
        <v>2366674</v>
      </c>
      <c r="C41" t="s">
        <v>72</v>
      </c>
      <c r="D41" t="s">
        <v>57</v>
      </c>
      <c r="E41" s="13">
        <v>0.94</v>
      </c>
      <c r="F41" s="13">
        <v>0.96</v>
      </c>
      <c r="G41" s="13">
        <v>0.86</v>
      </c>
      <c r="H41" s="13">
        <v>0.81</v>
      </c>
      <c r="I41" s="13">
        <v>0.95</v>
      </c>
      <c r="J41" s="13">
        <v>0.99</v>
      </c>
      <c r="K41" s="13">
        <v>0.82</v>
      </c>
      <c r="L41" s="13">
        <v>0.94</v>
      </c>
      <c r="M41" s="13">
        <v>0.82</v>
      </c>
      <c r="N41" s="13">
        <v>0.81</v>
      </c>
      <c r="O41" s="13">
        <v>0.87</v>
      </c>
      <c r="P41" s="13">
        <v>0.92</v>
      </c>
      <c r="Q41" s="13">
        <v>0.98</v>
      </c>
      <c r="R41" s="13">
        <f t="shared" si="4"/>
        <v>0.90789999999999982</v>
      </c>
      <c r="S41" t="str">
        <f>INDEX($BB$4:$BB$13,MATCH(Grades2[[#This Row],[Overall GPA]],$BA$4:$BA$13,-1))</f>
        <v>A</v>
      </c>
      <c r="T41" s="18">
        <v>3</v>
      </c>
      <c r="V41" s="4">
        <v>9</v>
      </c>
      <c r="W41" s="14">
        <v>4315310</v>
      </c>
      <c r="X41" s="8" t="s">
        <v>86</v>
      </c>
      <c r="Y41" s="8" t="s">
        <v>67</v>
      </c>
      <c r="Z41" s="8">
        <v>0.81</v>
      </c>
      <c r="AA41" s="8">
        <v>0.9</v>
      </c>
      <c r="AB41" s="8">
        <v>0.89</v>
      </c>
      <c r="AC41" s="8">
        <v>0.91</v>
      </c>
      <c r="AD41" s="8">
        <v>0.85</v>
      </c>
      <c r="AE41" s="8">
        <v>0.82</v>
      </c>
      <c r="AF41" s="8">
        <v>0.81</v>
      </c>
      <c r="AG41" s="8">
        <v>0.8</v>
      </c>
      <c r="AH41" s="8">
        <v>0.82</v>
      </c>
      <c r="AI41" s="8">
        <v>0.82</v>
      </c>
      <c r="AJ41" s="8">
        <v>0.92</v>
      </c>
      <c r="AK41" s="8">
        <v>0.82</v>
      </c>
      <c r="AL41" s="8">
        <v>0.92</v>
      </c>
      <c r="AM41" s="2">
        <f>SUMPRODUCT(Grades4[[#This Row],[Test 1]:[Project]],$E$1:$Q$1)</f>
        <v>0.86319999999999986</v>
      </c>
      <c r="AN41" t="str">
        <f>INDEX($BB$4:$BB$13,MATCH(Grades4[[#This Row],[Overall GPA]],$BA$4:$BA$13,-1))</f>
        <v>A-</v>
      </c>
      <c r="AO41" s="18">
        <v>3</v>
      </c>
      <c r="AQ41">
        <v>38</v>
      </c>
      <c r="AR41">
        <f t="shared" ca="1" si="1"/>
        <v>4</v>
      </c>
      <c r="AT41">
        <v>38</v>
      </c>
      <c r="AU41">
        <f t="shared" ca="1" si="2"/>
        <v>1</v>
      </c>
      <c r="AW41">
        <v>38</v>
      </c>
      <c r="AX41">
        <f t="shared" ca="1" si="3"/>
        <v>4</v>
      </c>
    </row>
    <row r="42" spans="1:50" x14ac:dyDescent="0.3">
      <c r="A42">
        <v>3</v>
      </c>
      <c r="B42">
        <v>2914082</v>
      </c>
      <c r="C42" t="s">
        <v>93</v>
      </c>
      <c r="D42" t="s">
        <v>66</v>
      </c>
      <c r="E42" s="13">
        <v>0.99</v>
      </c>
      <c r="F42" s="13">
        <v>1</v>
      </c>
      <c r="G42" s="13">
        <v>0.82</v>
      </c>
      <c r="H42" s="13">
        <v>0.88</v>
      </c>
      <c r="I42" s="13">
        <v>0.83</v>
      </c>
      <c r="J42" s="13">
        <v>0.99</v>
      </c>
      <c r="K42" s="13">
        <v>0.95</v>
      </c>
      <c r="L42" s="13">
        <v>0.95</v>
      </c>
      <c r="M42" s="13">
        <v>0.94</v>
      </c>
      <c r="N42" s="13">
        <v>0.82</v>
      </c>
      <c r="O42" s="13">
        <v>0.8</v>
      </c>
      <c r="P42" s="13">
        <v>0.92</v>
      </c>
      <c r="Q42" s="13">
        <v>0.83</v>
      </c>
      <c r="R42" s="13">
        <f t="shared" si="4"/>
        <v>0.9052</v>
      </c>
      <c r="S42" t="str">
        <f>INDEX($BB$4:$BB$13,MATCH(Grades2[[#This Row],[Overall GPA]],$BA$4:$BA$13,-1))</f>
        <v>A</v>
      </c>
      <c r="T42" s="18">
        <v>3</v>
      </c>
      <c r="V42" s="4">
        <v>10</v>
      </c>
      <c r="W42" s="14">
        <v>3880561</v>
      </c>
      <c r="X42" s="8" t="s">
        <v>79</v>
      </c>
      <c r="Y42" s="8" t="s">
        <v>62</v>
      </c>
      <c r="Z42" s="8">
        <v>0.87</v>
      </c>
      <c r="AA42" s="8">
        <v>0.81</v>
      </c>
      <c r="AB42" s="8">
        <v>0.91</v>
      </c>
      <c r="AC42" s="8">
        <v>0.87</v>
      </c>
      <c r="AD42" s="8">
        <v>0.84</v>
      </c>
      <c r="AE42" s="8">
        <v>0.86</v>
      </c>
      <c r="AF42" s="8">
        <v>0.81</v>
      </c>
      <c r="AG42" s="8">
        <v>0.81</v>
      </c>
      <c r="AH42" s="8">
        <v>0.88</v>
      </c>
      <c r="AI42" s="8">
        <v>0.9</v>
      </c>
      <c r="AJ42" s="8">
        <v>0.83</v>
      </c>
      <c r="AK42" s="8">
        <v>0.88</v>
      </c>
      <c r="AL42" s="8">
        <v>0.85</v>
      </c>
      <c r="AM42" s="2">
        <f>SUMPRODUCT(Grades4[[#This Row],[Test 1]:[Project]],$E$1:$Q$1)</f>
        <v>0.8600000000000001</v>
      </c>
      <c r="AN42" t="str">
        <f>INDEX($BB$4:$BB$13,MATCH(Grades4[[#This Row],[Overall GPA]],$BA$4:$BA$13,-1))</f>
        <v>A-</v>
      </c>
      <c r="AO42" s="18">
        <v>3</v>
      </c>
      <c r="AQ42">
        <v>39</v>
      </c>
      <c r="AR42">
        <f t="shared" ca="1" si="1"/>
        <v>6</v>
      </c>
      <c r="AT42">
        <v>39</v>
      </c>
      <c r="AU42">
        <f t="shared" ca="1" si="2"/>
        <v>3</v>
      </c>
      <c r="AW42">
        <v>39</v>
      </c>
      <c r="AX42">
        <f t="shared" ca="1" si="3"/>
        <v>3</v>
      </c>
    </row>
    <row r="43" spans="1:50" x14ac:dyDescent="0.3">
      <c r="A43">
        <v>4</v>
      </c>
      <c r="B43">
        <v>2649375</v>
      </c>
      <c r="C43" t="s">
        <v>87</v>
      </c>
      <c r="D43" t="s">
        <v>53</v>
      </c>
      <c r="E43" s="13">
        <v>0.87</v>
      </c>
      <c r="F43" s="13">
        <v>0.83</v>
      </c>
      <c r="G43" s="13">
        <v>0.96</v>
      </c>
      <c r="H43" s="13">
        <v>0.98</v>
      </c>
      <c r="I43" s="13">
        <v>0.87</v>
      </c>
      <c r="J43" s="13">
        <v>0.82</v>
      </c>
      <c r="K43" s="13">
        <v>1</v>
      </c>
      <c r="L43" s="13">
        <v>0.96</v>
      </c>
      <c r="M43" s="13">
        <v>0.99</v>
      </c>
      <c r="N43" s="13">
        <v>0.82</v>
      </c>
      <c r="O43" s="13">
        <v>0.8</v>
      </c>
      <c r="P43" s="13">
        <v>0.83</v>
      </c>
      <c r="Q43" s="13">
        <v>0.98</v>
      </c>
      <c r="R43" s="13">
        <f t="shared" si="4"/>
        <v>0.90450000000000008</v>
      </c>
      <c r="S43" t="str">
        <f>INDEX($BB$4:$BB$13,MATCH(Grades2[[#This Row],[Overall GPA]],$BA$4:$BA$13,-1))</f>
        <v>A</v>
      </c>
      <c r="T43" s="18">
        <v>3</v>
      </c>
      <c r="V43" s="4">
        <v>11</v>
      </c>
      <c r="W43" s="14">
        <v>3991099</v>
      </c>
      <c r="X43" s="8" t="s">
        <v>82</v>
      </c>
      <c r="Y43" s="8" t="s">
        <v>61</v>
      </c>
      <c r="Z43" s="8">
        <v>0.82</v>
      </c>
      <c r="AA43" s="8">
        <v>0.8</v>
      </c>
      <c r="AB43" s="8">
        <v>0.91</v>
      </c>
      <c r="AC43" s="8">
        <v>0.8</v>
      </c>
      <c r="AD43" s="8">
        <v>0.88</v>
      </c>
      <c r="AE43" s="8">
        <v>0.91</v>
      </c>
      <c r="AF43" s="8">
        <v>0.8</v>
      </c>
      <c r="AG43" s="8">
        <v>0.88</v>
      </c>
      <c r="AH43" s="8">
        <v>0.8</v>
      </c>
      <c r="AI43" s="8">
        <v>0.82</v>
      </c>
      <c r="AJ43" s="8">
        <v>0.83</v>
      </c>
      <c r="AK43" s="8">
        <v>0.84</v>
      </c>
      <c r="AL43" s="8">
        <v>0.91</v>
      </c>
      <c r="AM43" s="2">
        <f>SUMPRODUCT(Grades4[[#This Row],[Test 1]:[Project]],$E$1:$Q$1)</f>
        <v>0.85230000000000006</v>
      </c>
      <c r="AN43" t="str">
        <f>INDEX($BB$4:$BB$13,MATCH(Grades4[[#This Row],[Overall GPA]],$BA$4:$BA$13,-1))</f>
        <v>A-</v>
      </c>
      <c r="AO43" s="18">
        <v>1</v>
      </c>
      <c r="AQ43">
        <v>40</v>
      </c>
      <c r="AR43">
        <f t="shared" ca="1" si="1"/>
        <v>4</v>
      </c>
      <c r="AT43">
        <v>40</v>
      </c>
      <c r="AU43">
        <f t="shared" ca="1" si="2"/>
        <v>4</v>
      </c>
      <c r="AW43">
        <v>40</v>
      </c>
      <c r="AX43">
        <f t="shared" ca="1" si="3"/>
        <v>2</v>
      </c>
    </row>
    <row r="44" spans="1:50" x14ac:dyDescent="0.3">
      <c r="A44">
        <v>5</v>
      </c>
      <c r="B44">
        <v>2947069</v>
      </c>
      <c r="C44" t="s">
        <v>80</v>
      </c>
      <c r="D44" t="s">
        <v>42</v>
      </c>
      <c r="E44" s="13">
        <v>0.8</v>
      </c>
      <c r="F44" s="13">
        <v>0.83</v>
      </c>
      <c r="G44" s="13">
        <v>0.95</v>
      </c>
      <c r="H44" s="13">
        <v>0.89</v>
      </c>
      <c r="I44" s="13">
        <v>0.9</v>
      </c>
      <c r="J44" s="13">
        <v>0.94</v>
      </c>
      <c r="K44" s="13">
        <v>1</v>
      </c>
      <c r="L44" s="13">
        <v>0.87</v>
      </c>
      <c r="M44" s="13">
        <v>0.95</v>
      </c>
      <c r="N44" s="13">
        <v>0.93</v>
      </c>
      <c r="O44" s="13">
        <v>0.8</v>
      </c>
      <c r="P44" s="13">
        <v>0.87</v>
      </c>
      <c r="Q44" s="13">
        <v>1</v>
      </c>
      <c r="R44" s="13">
        <f t="shared" si="4"/>
        <v>0.89780000000000026</v>
      </c>
      <c r="S44" t="str">
        <f>INDEX($BB$4:$BB$13,MATCH(Grades2[[#This Row],[Overall GPA]],$BA$4:$BA$13,-1))</f>
        <v>A</v>
      </c>
      <c r="T44" s="18">
        <v>2</v>
      </c>
      <c r="V44" s="4">
        <v>12</v>
      </c>
      <c r="W44" s="14">
        <v>3752757</v>
      </c>
      <c r="X44" s="8" t="s">
        <v>75</v>
      </c>
      <c r="Y44" s="8" t="s">
        <v>63</v>
      </c>
      <c r="Z44" s="8">
        <v>0.87</v>
      </c>
      <c r="AA44" s="8">
        <v>0.8</v>
      </c>
      <c r="AB44" s="8">
        <v>0.87</v>
      </c>
      <c r="AC44" s="8">
        <v>0.86</v>
      </c>
      <c r="AD44" s="8">
        <v>0.84</v>
      </c>
      <c r="AE44" s="8">
        <v>0.91</v>
      </c>
      <c r="AF44" s="8">
        <v>0.9</v>
      </c>
      <c r="AG44" s="8">
        <v>0.82</v>
      </c>
      <c r="AH44" s="8">
        <v>0.8</v>
      </c>
      <c r="AI44" s="8">
        <v>0.89</v>
      </c>
      <c r="AJ44" s="8">
        <v>0.85</v>
      </c>
      <c r="AK44" s="8">
        <v>0.83</v>
      </c>
      <c r="AL44" s="8">
        <v>0.81</v>
      </c>
      <c r="AM44" s="2">
        <f>SUMPRODUCT(Grades4[[#This Row],[Test 1]:[Project]],$E$1:$Q$1)</f>
        <v>0.84860000000000002</v>
      </c>
      <c r="AN44" t="str">
        <f>INDEX($BB$4:$BB$13,MATCH(Grades4[[#This Row],[Overall GPA]],$BA$4:$BA$13,-1))</f>
        <v>A-</v>
      </c>
      <c r="AO44" s="18">
        <v>1</v>
      </c>
      <c r="AQ44">
        <v>41</v>
      </c>
      <c r="AR44">
        <f t="shared" ca="1" si="1"/>
        <v>4</v>
      </c>
      <c r="AT44">
        <v>41</v>
      </c>
      <c r="AU44">
        <f t="shared" ca="1" si="2"/>
        <v>6</v>
      </c>
      <c r="AW44">
        <v>41</v>
      </c>
      <c r="AX44">
        <f t="shared" ca="1" si="3"/>
        <v>5</v>
      </c>
    </row>
    <row r="45" spans="1:50" x14ac:dyDescent="0.3">
      <c r="A45">
        <v>6</v>
      </c>
      <c r="B45">
        <v>2476506</v>
      </c>
      <c r="C45" t="s">
        <v>101</v>
      </c>
      <c r="D45" t="s">
        <v>69</v>
      </c>
      <c r="E45" s="13">
        <v>0.88</v>
      </c>
      <c r="F45" s="13">
        <v>0.96</v>
      </c>
      <c r="G45" s="13">
        <v>0.81</v>
      </c>
      <c r="H45" s="13">
        <v>0.96</v>
      </c>
      <c r="I45" s="13">
        <v>0.85</v>
      </c>
      <c r="J45" s="13">
        <v>0.93</v>
      </c>
      <c r="K45" s="13">
        <v>0.94</v>
      </c>
      <c r="L45" s="13">
        <v>0.85</v>
      </c>
      <c r="M45" s="13">
        <v>0.83</v>
      </c>
      <c r="N45" s="13">
        <v>0.86</v>
      </c>
      <c r="O45" s="13">
        <v>0.98</v>
      </c>
      <c r="P45" s="13">
        <v>0.87</v>
      </c>
      <c r="Q45" s="13">
        <v>1</v>
      </c>
      <c r="R45" s="13">
        <f t="shared" si="4"/>
        <v>0.89760000000000006</v>
      </c>
      <c r="S45" t="str">
        <f>INDEX($BB$4:$BB$13,MATCH(Grades2[[#This Row],[Overall GPA]],$BA$4:$BA$13,-1))</f>
        <v>A</v>
      </c>
      <c r="T45" s="18">
        <v>2</v>
      </c>
      <c r="V45" s="4">
        <v>13</v>
      </c>
      <c r="W45" s="14">
        <v>4656844</v>
      </c>
      <c r="X45" s="8" t="s">
        <v>85</v>
      </c>
      <c r="Y45" s="8" t="s">
        <v>39</v>
      </c>
      <c r="Z45" s="8">
        <v>0.74</v>
      </c>
      <c r="AA45" s="8">
        <v>0.83</v>
      </c>
      <c r="AB45" s="8">
        <v>0.81</v>
      </c>
      <c r="AC45" s="8">
        <v>0.84</v>
      </c>
      <c r="AD45" s="8">
        <v>0.74</v>
      </c>
      <c r="AE45" s="8">
        <v>0.83</v>
      </c>
      <c r="AF45" s="8">
        <v>0.81</v>
      </c>
      <c r="AG45" s="8">
        <v>0.78</v>
      </c>
      <c r="AH45" s="8">
        <v>0.85</v>
      </c>
      <c r="AI45" s="8">
        <v>0.78</v>
      </c>
      <c r="AJ45" s="8">
        <v>0.75</v>
      </c>
      <c r="AK45" s="8">
        <v>0.81</v>
      </c>
      <c r="AL45" s="8">
        <v>0.74</v>
      </c>
      <c r="AM45" s="2">
        <f>SUMPRODUCT(Grades4[[#This Row],[Test 1]:[Project]],$E$1:$Q$1)</f>
        <v>0.7913</v>
      </c>
      <c r="AN45" t="str">
        <f>INDEX($BB$4:$BB$13,MATCH(Grades4[[#This Row],[Overall GPA]],$BA$4:$BA$13,-1))</f>
        <v>B+</v>
      </c>
      <c r="AO45" s="18">
        <v>1</v>
      </c>
      <c r="AQ45">
        <v>42</v>
      </c>
      <c r="AR45">
        <f t="shared" ca="1" si="1"/>
        <v>5</v>
      </c>
      <c r="AT45">
        <v>42</v>
      </c>
      <c r="AU45">
        <f t="shared" ca="1" si="2"/>
        <v>6</v>
      </c>
      <c r="AW45">
        <v>42</v>
      </c>
      <c r="AX45">
        <f t="shared" ca="1" si="3"/>
        <v>3</v>
      </c>
    </row>
    <row r="46" spans="1:50" x14ac:dyDescent="0.3">
      <c r="A46">
        <v>7</v>
      </c>
      <c r="B46">
        <v>2520669</v>
      </c>
      <c r="C46" t="s">
        <v>82</v>
      </c>
      <c r="D46" t="s">
        <v>52</v>
      </c>
      <c r="E46" s="13">
        <v>0.88</v>
      </c>
      <c r="F46" s="13">
        <v>0.84</v>
      </c>
      <c r="G46" s="13">
        <v>0.82</v>
      </c>
      <c r="H46" s="13">
        <v>0.75</v>
      </c>
      <c r="I46" s="13">
        <v>0.78</v>
      </c>
      <c r="J46" s="13">
        <v>0.86</v>
      </c>
      <c r="K46" s="13">
        <v>0.77</v>
      </c>
      <c r="L46" s="13">
        <v>0.89</v>
      </c>
      <c r="M46" s="13">
        <v>0.89</v>
      </c>
      <c r="N46" s="13">
        <v>0.83</v>
      </c>
      <c r="O46" s="13">
        <v>0.75</v>
      </c>
      <c r="P46" s="13">
        <v>0.75</v>
      </c>
      <c r="Q46" s="13">
        <v>0.87</v>
      </c>
      <c r="R46" s="13">
        <f t="shared" si="4"/>
        <v>0.83140000000000003</v>
      </c>
      <c r="S46" t="str">
        <f>INDEX($BB$4:$BB$13,MATCH(Grades2[[#This Row],[Overall GPA]],$BA$4:$BA$13,-1))</f>
        <v>B+</v>
      </c>
      <c r="T46" s="18">
        <v>2</v>
      </c>
      <c r="V46" s="4">
        <v>14</v>
      </c>
      <c r="W46" s="14">
        <v>4088387</v>
      </c>
      <c r="X46" s="8" t="s">
        <v>80</v>
      </c>
      <c r="Y46" s="8" t="s">
        <v>56</v>
      </c>
      <c r="Z46" s="8">
        <v>0.81</v>
      </c>
      <c r="AA46" s="8">
        <v>0.82</v>
      </c>
      <c r="AB46" s="8">
        <v>0.75</v>
      </c>
      <c r="AC46" s="8">
        <v>0.85</v>
      </c>
      <c r="AD46" s="8">
        <v>0.74</v>
      </c>
      <c r="AE46" s="8">
        <v>0.82</v>
      </c>
      <c r="AF46" s="8">
        <v>0.8</v>
      </c>
      <c r="AG46" s="8">
        <v>0.8</v>
      </c>
      <c r="AH46" s="8">
        <v>0.77</v>
      </c>
      <c r="AI46" s="8">
        <v>0.82</v>
      </c>
      <c r="AJ46" s="8">
        <v>0.77</v>
      </c>
      <c r="AK46" s="8">
        <v>0.74</v>
      </c>
      <c r="AL46" s="8">
        <v>0.75</v>
      </c>
      <c r="AM46" s="2">
        <f>SUMPRODUCT(Grades4[[#This Row],[Test 1]:[Project]],$E$1:$Q$1)</f>
        <v>0.78600000000000003</v>
      </c>
      <c r="AN46" t="str">
        <f>INDEX($BB$4:$BB$13,MATCH(Grades4[[#This Row],[Overall GPA]],$BA$4:$BA$13,-1))</f>
        <v>B</v>
      </c>
      <c r="AO46" s="18">
        <v>1</v>
      </c>
      <c r="AQ46">
        <v>43</v>
      </c>
      <c r="AR46">
        <f t="shared" ca="1" si="1"/>
        <v>5</v>
      </c>
      <c r="AT46">
        <v>43</v>
      </c>
      <c r="AU46">
        <f t="shared" ca="1" si="2"/>
        <v>0</v>
      </c>
      <c r="AW46">
        <v>43</v>
      </c>
      <c r="AX46">
        <f t="shared" ca="1" si="3"/>
        <v>4</v>
      </c>
    </row>
    <row r="47" spans="1:50" x14ac:dyDescent="0.3">
      <c r="A47">
        <v>8</v>
      </c>
      <c r="B47">
        <v>2970437</v>
      </c>
      <c r="C47" t="s">
        <v>98</v>
      </c>
      <c r="D47" t="s">
        <v>50</v>
      </c>
      <c r="E47" s="13">
        <v>0.77</v>
      </c>
      <c r="F47" s="13">
        <v>0.9</v>
      </c>
      <c r="G47" s="13">
        <v>0.84</v>
      </c>
      <c r="H47" s="13">
        <v>0.78</v>
      </c>
      <c r="I47" s="13">
        <v>0.88</v>
      </c>
      <c r="J47" s="13">
        <v>0.79</v>
      </c>
      <c r="K47" s="13">
        <v>0.77</v>
      </c>
      <c r="L47" s="13">
        <v>0.87</v>
      </c>
      <c r="M47" s="13">
        <v>0.87</v>
      </c>
      <c r="N47" s="13">
        <v>0.81</v>
      </c>
      <c r="O47" s="13">
        <v>0.84</v>
      </c>
      <c r="P47" s="13">
        <v>0.78</v>
      </c>
      <c r="Q47" s="13">
        <v>0.85</v>
      </c>
      <c r="R47" s="13">
        <f t="shared" si="4"/>
        <v>0.83129999999999993</v>
      </c>
      <c r="S47" t="str">
        <f>INDEX($BB$4:$BB$13,MATCH(Grades2[[#This Row],[Overall GPA]],$BA$4:$BA$13,-1))</f>
        <v>B+</v>
      </c>
      <c r="T47" s="18">
        <v>3</v>
      </c>
      <c r="V47" s="4">
        <v>15</v>
      </c>
      <c r="W47" s="14">
        <v>4119236</v>
      </c>
      <c r="X47" s="8" t="s">
        <v>89</v>
      </c>
      <c r="Y47" s="8" t="s">
        <v>45</v>
      </c>
      <c r="Z47" s="8">
        <v>0.76</v>
      </c>
      <c r="AA47" s="8">
        <v>0.75</v>
      </c>
      <c r="AB47" s="8">
        <v>0.75</v>
      </c>
      <c r="AC47" s="8">
        <v>0.84</v>
      </c>
      <c r="AD47" s="8">
        <v>0.84</v>
      </c>
      <c r="AE47" s="8">
        <v>0.74</v>
      </c>
      <c r="AF47" s="8">
        <v>0.75</v>
      </c>
      <c r="AG47" s="8">
        <v>0.75</v>
      </c>
      <c r="AH47" s="8">
        <v>0.77</v>
      </c>
      <c r="AI47" s="8">
        <v>0.74</v>
      </c>
      <c r="AJ47" s="8">
        <v>0.74</v>
      </c>
      <c r="AK47" s="8">
        <v>0.76</v>
      </c>
      <c r="AL47" s="8">
        <v>0.8</v>
      </c>
      <c r="AM47" s="2">
        <f>SUMPRODUCT(Grades4[[#This Row],[Test 1]:[Project]],$E$1:$Q$1)</f>
        <v>0.76539999999999986</v>
      </c>
      <c r="AN47" t="str">
        <f>INDEX($BB$4:$BB$13,MATCH(Grades4[[#This Row],[Overall GPA]],$BA$4:$BA$13,-1))</f>
        <v>B</v>
      </c>
      <c r="AO47" s="18">
        <v>2</v>
      </c>
      <c r="AQ47">
        <v>44</v>
      </c>
      <c r="AR47">
        <f t="shared" ca="1" si="1"/>
        <v>3</v>
      </c>
      <c r="AT47">
        <v>44</v>
      </c>
      <c r="AU47">
        <f t="shared" ca="1" si="2"/>
        <v>4</v>
      </c>
      <c r="AW47">
        <v>44</v>
      </c>
      <c r="AX47">
        <f t="shared" ca="1" si="3"/>
        <v>1</v>
      </c>
    </row>
    <row r="48" spans="1:50" x14ac:dyDescent="0.3">
      <c r="A48">
        <v>9</v>
      </c>
      <c r="B48">
        <v>2077622</v>
      </c>
      <c r="C48" t="s">
        <v>91</v>
      </c>
      <c r="D48" t="s">
        <v>45</v>
      </c>
      <c r="E48" s="13">
        <v>0.79</v>
      </c>
      <c r="F48" s="13">
        <v>0.86</v>
      </c>
      <c r="G48" s="13">
        <v>0.8</v>
      </c>
      <c r="H48" s="13">
        <v>0.81</v>
      </c>
      <c r="I48" s="13">
        <v>0.79</v>
      </c>
      <c r="J48" s="13">
        <v>0.88</v>
      </c>
      <c r="K48" s="13">
        <v>0.86</v>
      </c>
      <c r="L48" s="13">
        <v>0.84</v>
      </c>
      <c r="M48" s="13">
        <v>0.78</v>
      </c>
      <c r="N48" s="13">
        <v>0.86</v>
      </c>
      <c r="O48" s="13">
        <v>0.87</v>
      </c>
      <c r="P48" s="13">
        <v>0.89</v>
      </c>
      <c r="Q48" s="13">
        <v>0.83</v>
      </c>
      <c r="R48" s="13">
        <f t="shared" si="4"/>
        <v>0.82710000000000006</v>
      </c>
      <c r="S48" t="str">
        <f>INDEX($BB$4:$BB$13,MATCH(Grades2[[#This Row],[Overall GPA]],$BA$4:$BA$13,-1))</f>
        <v>B+</v>
      </c>
      <c r="T48" s="18">
        <v>2</v>
      </c>
      <c r="V48" s="4">
        <v>16</v>
      </c>
      <c r="W48" s="14">
        <v>3533964</v>
      </c>
      <c r="X48" s="8" t="s">
        <v>91</v>
      </c>
      <c r="Y48" s="8" t="s">
        <v>69</v>
      </c>
      <c r="Z48" s="8">
        <v>0.61</v>
      </c>
      <c r="AA48" s="8">
        <v>0.66</v>
      </c>
      <c r="AB48" s="8">
        <v>0.6</v>
      </c>
      <c r="AC48" s="8">
        <v>0.61</v>
      </c>
      <c r="AD48" s="8">
        <v>0.7</v>
      </c>
      <c r="AE48" s="8">
        <v>0.69</v>
      </c>
      <c r="AF48" s="8">
        <v>0.69</v>
      </c>
      <c r="AG48" s="8">
        <v>0.67</v>
      </c>
      <c r="AH48" s="8">
        <v>0.64</v>
      </c>
      <c r="AI48" s="8">
        <v>0.69</v>
      </c>
      <c r="AJ48" s="8">
        <v>0.68</v>
      </c>
      <c r="AK48" s="8">
        <v>0.65</v>
      </c>
      <c r="AL48" s="8">
        <v>0.7</v>
      </c>
      <c r="AM48" s="2">
        <f>SUMPRODUCT(Grades4[[#This Row],[Test 1]:[Project]],$E$1:$Q$1)</f>
        <v>0.64819999999999989</v>
      </c>
      <c r="AN48" t="str">
        <f>INDEX($BB$4:$BB$13,MATCH(Grades4[[#This Row],[Overall GPA]],$BA$4:$BA$13,-1))</f>
        <v>D</v>
      </c>
      <c r="AO48" s="18">
        <v>4</v>
      </c>
      <c r="AQ48">
        <v>45</v>
      </c>
      <c r="AR48">
        <f t="shared" ca="1" si="1"/>
        <v>2</v>
      </c>
      <c r="AT48">
        <v>45</v>
      </c>
      <c r="AU48">
        <f t="shared" ca="1" si="2"/>
        <v>3</v>
      </c>
      <c r="AW48">
        <v>45</v>
      </c>
      <c r="AX48">
        <f t="shared" ca="1" si="3"/>
        <v>0</v>
      </c>
    </row>
    <row r="49" spans="1:50" x14ac:dyDescent="0.3">
      <c r="A49">
        <v>10</v>
      </c>
      <c r="B49">
        <v>2714108</v>
      </c>
      <c r="C49" t="s">
        <v>102</v>
      </c>
      <c r="D49" t="s">
        <v>60</v>
      </c>
      <c r="E49" s="13">
        <v>0.86</v>
      </c>
      <c r="F49" s="13">
        <v>0.78</v>
      </c>
      <c r="G49" s="13">
        <v>0.79</v>
      </c>
      <c r="H49" s="13">
        <v>0.9</v>
      </c>
      <c r="I49" s="13">
        <v>0.83</v>
      </c>
      <c r="J49" s="13">
        <v>0.87</v>
      </c>
      <c r="K49" s="13">
        <v>0.87</v>
      </c>
      <c r="L49" s="13">
        <v>0.8</v>
      </c>
      <c r="M49" s="13">
        <v>0.82</v>
      </c>
      <c r="N49" s="13">
        <v>0.88</v>
      </c>
      <c r="O49" s="13">
        <v>0.82</v>
      </c>
      <c r="P49" s="13">
        <v>0.78</v>
      </c>
      <c r="Q49" s="13">
        <v>0.8</v>
      </c>
      <c r="R49" s="13">
        <f t="shared" si="4"/>
        <v>0.82150000000000012</v>
      </c>
      <c r="S49" t="str">
        <f>INDEX($BB$4:$BB$13,MATCH(Grades2[[#This Row],[Overall GPA]],$BA$4:$BA$13,-1))</f>
        <v>B+</v>
      </c>
      <c r="T49" s="18">
        <v>3</v>
      </c>
      <c r="V49" s="4">
        <v>17</v>
      </c>
      <c r="W49" s="14">
        <v>4186334</v>
      </c>
      <c r="X49" s="8" t="s">
        <v>98</v>
      </c>
      <c r="Y49" s="8" t="s">
        <v>44</v>
      </c>
      <c r="Z49" s="8">
        <v>0.6</v>
      </c>
      <c r="AA49" s="8">
        <v>0.69</v>
      </c>
      <c r="AB49" s="8">
        <v>0.61</v>
      </c>
      <c r="AC49" s="8">
        <v>0.6</v>
      </c>
      <c r="AD49" s="8">
        <v>0.64</v>
      </c>
      <c r="AE49" s="8">
        <v>0.68</v>
      </c>
      <c r="AF49" s="8">
        <v>0.69</v>
      </c>
      <c r="AG49" s="8">
        <v>0.67</v>
      </c>
      <c r="AH49" s="8">
        <v>0.67</v>
      </c>
      <c r="AI49" s="8">
        <v>0.62</v>
      </c>
      <c r="AJ49" s="8">
        <v>0.65</v>
      </c>
      <c r="AK49" s="8">
        <v>0.65</v>
      </c>
      <c r="AL49" s="8">
        <v>0.66</v>
      </c>
      <c r="AM49" s="2">
        <f>SUMPRODUCT(Grades4[[#This Row],[Test 1]:[Project]],$E$1:$Q$1)</f>
        <v>0.64240000000000008</v>
      </c>
      <c r="AN49" t="str">
        <f>INDEX($BB$4:$BB$13,MATCH(Grades4[[#This Row],[Overall GPA]],$BA$4:$BA$13,-1))</f>
        <v>D</v>
      </c>
      <c r="AO49" s="18">
        <v>5</v>
      </c>
      <c r="AQ49">
        <v>46</v>
      </c>
      <c r="AR49">
        <f t="shared" ca="1" si="1"/>
        <v>4</v>
      </c>
      <c r="AT49">
        <v>46</v>
      </c>
      <c r="AU49">
        <f t="shared" ca="1" si="2"/>
        <v>3</v>
      </c>
      <c r="AW49">
        <v>46</v>
      </c>
      <c r="AX49">
        <f t="shared" ca="1" si="3"/>
        <v>4</v>
      </c>
    </row>
    <row r="50" spans="1:50" x14ac:dyDescent="0.3">
      <c r="A50">
        <v>11</v>
      </c>
      <c r="B50">
        <v>2612741</v>
      </c>
      <c r="C50" t="s">
        <v>70</v>
      </c>
      <c r="D50" t="s">
        <v>39</v>
      </c>
      <c r="E50" s="13">
        <v>0.85</v>
      </c>
      <c r="F50" s="13">
        <v>0.83</v>
      </c>
      <c r="G50" s="13">
        <v>0.77</v>
      </c>
      <c r="H50" s="13">
        <v>0.82</v>
      </c>
      <c r="I50" s="13">
        <v>0.87</v>
      </c>
      <c r="J50" s="13">
        <v>0.84</v>
      </c>
      <c r="K50" s="13">
        <v>0.78</v>
      </c>
      <c r="L50" s="13">
        <v>0.76</v>
      </c>
      <c r="M50" s="13">
        <v>0.87</v>
      </c>
      <c r="N50" s="13">
        <v>0.85</v>
      </c>
      <c r="O50" s="13">
        <v>0.9</v>
      </c>
      <c r="P50" s="13">
        <v>0.76</v>
      </c>
      <c r="Q50" s="13">
        <v>0.82</v>
      </c>
      <c r="R50" s="13">
        <f t="shared" si="4"/>
        <v>0.81910000000000005</v>
      </c>
      <c r="S50" t="str">
        <f>INDEX($BB$4:$BB$13,MATCH(Grades2[[#This Row],[Overall GPA]],$BA$4:$BA$13,-1))</f>
        <v>B+</v>
      </c>
      <c r="T50" s="18">
        <v>1</v>
      </c>
      <c r="V50" s="4">
        <v>18</v>
      </c>
      <c r="W50" s="14">
        <v>4233338</v>
      </c>
      <c r="X50" s="8" t="s">
        <v>93</v>
      </c>
      <c r="Y50" s="8" t="s">
        <v>60</v>
      </c>
      <c r="Z50" s="8">
        <v>0.6</v>
      </c>
      <c r="AA50" s="8">
        <v>0.6</v>
      </c>
      <c r="AB50" s="8">
        <v>0.6</v>
      </c>
      <c r="AC50" s="8">
        <v>0.66</v>
      </c>
      <c r="AD50" s="8">
        <v>0.64</v>
      </c>
      <c r="AE50" s="8">
        <v>0.65</v>
      </c>
      <c r="AF50" s="8">
        <v>0.65</v>
      </c>
      <c r="AG50" s="8">
        <v>0.69</v>
      </c>
      <c r="AH50" s="8">
        <v>0.66</v>
      </c>
      <c r="AI50" s="8">
        <v>0.67</v>
      </c>
      <c r="AJ50" s="8">
        <v>0.62</v>
      </c>
      <c r="AK50" s="8">
        <v>0.7</v>
      </c>
      <c r="AL50" s="8">
        <v>0.63</v>
      </c>
      <c r="AM50" s="2">
        <f>SUMPRODUCT(Grades4[[#This Row],[Test 1]:[Project]],$E$1:$Q$1)</f>
        <v>0.62660000000000005</v>
      </c>
      <c r="AN50" t="str">
        <f>INDEX($BB$4:$BB$13,MATCH(Grades4[[#This Row],[Overall GPA]],$BA$4:$BA$13,-1))</f>
        <v>F</v>
      </c>
      <c r="AO50" s="18">
        <v>4</v>
      </c>
      <c r="AQ50">
        <v>47</v>
      </c>
      <c r="AR50">
        <f t="shared" ca="1" si="1"/>
        <v>2</v>
      </c>
      <c r="AT50">
        <v>47</v>
      </c>
      <c r="AU50">
        <f t="shared" ca="1" si="2"/>
        <v>4</v>
      </c>
      <c r="AW50">
        <v>47</v>
      </c>
      <c r="AX50">
        <f t="shared" ca="1" si="3"/>
        <v>2</v>
      </c>
    </row>
    <row r="51" spans="1:50" x14ac:dyDescent="0.3">
      <c r="A51">
        <v>12</v>
      </c>
      <c r="B51">
        <v>2898343</v>
      </c>
      <c r="C51" t="s">
        <v>83</v>
      </c>
      <c r="D51" t="s">
        <v>68</v>
      </c>
      <c r="E51" s="13">
        <v>0.78</v>
      </c>
      <c r="F51" s="13">
        <v>0.8</v>
      </c>
      <c r="G51" s="13">
        <v>0.83</v>
      </c>
      <c r="H51" s="13">
        <v>0.8</v>
      </c>
      <c r="I51" s="13">
        <v>0.87</v>
      </c>
      <c r="J51" s="13">
        <v>0.88</v>
      </c>
      <c r="K51" s="13">
        <v>0.83</v>
      </c>
      <c r="L51" s="13">
        <v>0.77</v>
      </c>
      <c r="M51" s="13">
        <v>0.78</v>
      </c>
      <c r="N51" s="13">
        <v>0.9</v>
      </c>
      <c r="O51" s="13">
        <v>0.75</v>
      </c>
      <c r="P51" s="13">
        <v>0.82</v>
      </c>
      <c r="Q51" s="13">
        <v>0.83</v>
      </c>
      <c r="R51" s="13">
        <f t="shared" si="4"/>
        <v>0.81580000000000008</v>
      </c>
      <c r="S51" t="str">
        <f>INDEX($BB$4:$BB$13,MATCH(Grades2[[#This Row],[Overall GPA]],$BA$4:$BA$13,-1))</f>
        <v>B+</v>
      </c>
      <c r="T51" s="18">
        <v>3</v>
      </c>
      <c r="V51" s="4">
        <v>19</v>
      </c>
      <c r="W51" s="14">
        <v>3626479</v>
      </c>
      <c r="X51" s="8" t="s">
        <v>97</v>
      </c>
      <c r="Y51" s="8" t="s">
        <v>50</v>
      </c>
      <c r="Z51" s="8">
        <v>0.54</v>
      </c>
      <c r="AA51" s="8">
        <v>0.6</v>
      </c>
      <c r="AB51" s="8">
        <v>0.66</v>
      </c>
      <c r="AC51" s="8">
        <v>0.71</v>
      </c>
      <c r="AD51" s="8">
        <v>0.78</v>
      </c>
      <c r="AE51" s="8">
        <v>0.79</v>
      </c>
      <c r="AF51" s="8">
        <v>0.64</v>
      </c>
      <c r="AG51" s="8">
        <v>0.75</v>
      </c>
      <c r="AH51" s="8">
        <v>0.53</v>
      </c>
      <c r="AI51" s="8">
        <v>0.55000000000000004</v>
      </c>
      <c r="AJ51" s="8">
        <v>0.5</v>
      </c>
      <c r="AK51" s="8">
        <v>0.8</v>
      </c>
      <c r="AL51" s="8">
        <v>0.52</v>
      </c>
      <c r="AM51" s="2">
        <f>SUMPRODUCT(Grades4[[#This Row],[Test 1]:[Project]],$E$1:$Q$1)</f>
        <v>0.62620000000000009</v>
      </c>
      <c r="AN51" t="str">
        <f>INDEX($BB$4:$BB$13,MATCH(Grades4[[#This Row],[Overall GPA]],$BA$4:$BA$13,-1))</f>
        <v>F</v>
      </c>
      <c r="AO51" s="18">
        <v>3</v>
      </c>
      <c r="AQ51">
        <v>48</v>
      </c>
      <c r="AR51">
        <f t="shared" ca="1" si="1"/>
        <v>2</v>
      </c>
      <c r="AT51">
        <v>48</v>
      </c>
      <c r="AU51">
        <f t="shared" ca="1" si="2"/>
        <v>0</v>
      </c>
      <c r="AW51">
        <v>48</v>
      </c>
      <c r="AX51">
        <f t="shared" ca="1" si="3"/>
        <v>3</v>
      </c>
    </row>
    <row r="52" spans="1:50" x14ac:dyDescent="0.3">
      <c r="A52">
        <v>13</v>
      </c>
      <c r="B52">
        <v>2084904</v>
      </c>
      <c r="C52" t="s">
        <v>81</v>
      </c>
      <c r="D52" t="s">
        <v>44</v>
      </c>
      <c r="E52" s="13">
        <v>0.76</v>
      </c>
      <c r="F52" s="13">
        <v>0.77</v>
      </c>
      <c r="G52" s="13">
        <v>0.81</v>
      </c>
      <c r="H52" s="13">
        <v>0.87</v>
      </c>
      <c r="I52" s="13">
        <v>0.89</v>
      </c>
      <c r="J52" s="13">
        <v>0.82</v>
      </c>
      <c r="K52" s="13">
        <v>0.88</v>
      </c>
      <c r="L52" s="13">
        <v>0.77</v>
      </c>
      <c r="M52" s="13">
        <v>0.79</v>
      </c>
      <c r="N52" s="13">
        <v>0.9</v>
      </c>
      <c r="O52" s="13">
        <v>0.9</v>
      </c>
      <c r="P52" s="13">
        <v>0.82</v>
      </c>
      <c r="Q52" s="13">
        <v>0.82</v>
      </c>
      <c r="R52" s="13">
        <f t="shared" si="4"/>
        <v>0.81369999999999998</v>
      </c>
      <c r="S52" t="str">
        <f>INDEX($BB$4:$BB$13,MATCH(Grades2[[#This Row],[Overall GPA]],$BA$4:$BA$13,-1))</f>
        <v>B+</v>
      </c>
      <c r="T52" s="18">
        <v>1</v>
      </c>
      <c r="V52" s="4">
        <v>20</v>
      </c>
      <c r="W52" s="14">
        <v>3598709</v>
      </c>
      <c r="X52" s="8" t="s">
        <v>95</v>
      </c>
      <c r="Y52" s="8" t="s">
        <v>46</v>
      </c>
      <c r="Z52" s="8">
        <v>0.65</v>
      </c>
      <c r="AA52" s="8">
        <v>0.6</v>
      </c>
      <c r="AB52" s="8">
        <v>0.51</v>
      </c>
      <c r="AC52" s="8">
        <v>0.61</v>
      </c>
      <c r="AD52" s="8">
        <v>0.76</v>
      </c>
      <c r="AE52" s="8">
        <v>0.5</v>
      </c>
      <c r="AF52" s="8">
        <v>0.56999999999999995</v>
      </c>
      <c r="AG52" s="8">
        <v>0.51</v>
      </c>
      <c r="AH52" s="8">
        <v>0.63</v>
      </c>
      <c r="AI52" s="8">
        <v>0.77</v>
      </c>
      <c r="AJ52" s="8">
        <v>0.64</v>
      </c>
      <c r="AK52" s="8">
        <v>0.76</v>
      </c>
      <c r="AL52" s="8">
        <v>0.78</v>
      </c>
      <c r="AM52" s="2">
        <f>SUMPRODUCT(Grades4[[#This Row],[Test 1]:[Project]],$E$1:$Q$1)</f>
        <v>0.6218999999999999</v>
      </c>
      <c r="AN52" t="str">
        <f>INDEX($BB$4:$BB$13,MATCH(Grades4[[#This Row],[Overall GPA]],$BA$4:$BA$13,-1))</f>
        <v>F</v>
      </c>
      <c r="AO52" s="18">
        <v>3</v>
      </c>
      <c r="AQ52">
        <v>49</v>
      </c>
      <c r="AR52">
        <f t="shared" ca="1" si="1"/>
        <v>6</v>
      </c>
      <c r="AT52">
        <v>49</v>
      </c>
      <c r="AU52">
        <f t="shared" ca="1" si="2"/>
        <v>7</v>
      </c>
      <c r="AW52">
        <v>49</v>
      </c>
      <c r="AX52">
        <f t="shared" ca="1" si="3"/>
        <v>0</v>
      </c>
    </row>
    <row r="53" spans="1:50" x14ac:dyDescent="0.3">
      <c r="A53">
        <v>14</v>
      </c>
      <c r="B53">
        <v>2733445</v>
      </c>
      <c r="C53" t="s">
        <v>85</v>
      </c>
      <c r="D53" t="s">
        <v>46</v>
      </c>
      <c r="E53" s="13">
        <v>0.82</v>
      </c>
      <c r="F53" s="13">
        <v>0.76</v>
      </c>
      <c r="G53" s="13">
        <v>0.8</v>
      </c>
      <c r="H53" s="13">
        <v>0.9</v>
      </c>
      <c r="I53" s="13">
        <v>0.77</v>
      </c>
      <c r="J53" s="13">
        <v>0.76</v>
      </c>
      <c r="K53" s="13">
        <v>0.81</v>
      </c>
      <c r="L53" s="13">
        <v>0.82</v>
      </c>
      <c r="M53" s="13">
        <v>0.79</v>
      </c>
      <c r="N53" s="13">
        <v>0.87</v>
      </c>
      <c r="O53" s="13">
        <v>0.86</v>
      </c>
      <c r="P53" s="13">
        <v>0.83</v>
      </c>
      <c r="Q53" s="13">
        <v>0.8</v>
      </c>
      <c r="R53" s="13">
        <f t="shared" si="4"/>
        <v>0.80580000000000007</v>
      </c>
      <c r="S53" t="str">
        <f>INDEX($BB$4:$BB$13,MATCH(Grades2[[#This Row],[Overall GPA]],$BA$4:$BA$13,-1))</f>
        <v>B+</v>
      </c>
      <c r="T53" s="18">
        <v>0</v>
      </c>
      <c r="V53" s="4">
        <v>21</v>
      </c>
      <c r="W53" s="14">
        <v>4407988</v>
      </c>
      <c r="X53" s="8" t="s">
        <v>96</v>
      </c>
      <c r="Y53" s="8" t="s">
        <v>68</v>
      </c>
      <c r="Z53" s="8">
        <v>0.55000000000000004</v>
      </c>
      <c r="AA53" s="8">
        <v>0.76</v>
      </c>
      <c r="AB53" s="8">
        <v>0.47</v>
      </c>
      <c r="AC53" s="8">
        <v>0.76</v>
      </c>
      <c r="AD53" s="8">
        <v>0.61</v>
      </c>
      <c r="AE53" s="8">
        <v>0.5</v>
      </c>
      <c r="AF53" s="8">
        <v>0.56000000000000005</v>
      </c>
      <c r="AG53" s="8">
        <v>0.57999999999999996</v>
      </c>
      <c r="AH53" s="8">
        <v>0.54</v>
      </c>
      <c r="AI53" s="8">
        <v>0.69</v>
      </c>
      <c r="AJ53" s="8">
        <v>0.72</v>
      </c>
      <c r="AK53" s="8">
        <v>0.62</v>
      </c>
      <c r="AL53" s="8">
        <v>0.78</v>
      </c>
      <c r="AM53" s="2">
        <f>SUMPRODUCT(Grades4[[#This Row],[Test 1]:[Project]],$E$1:$Q$1)</f>
        <v>0.6160000000000001</v>
      </c>
      <c r="AN53" t="str">
        <f>INDEX($BB$4:$BB$13,MATCH(Grades4[[#This Row],[Overall GPA]],$BA$4:$BA$13,-1))</f>
        <v>F</v>
      </c>
      <c r="AO53" s="18">
        <v>2</v>
      </c>
      <c r="AQ53">
        <v>50</v>
      </c>
      <c r="AR53">
        <f t="shared" ca="1" si="1"/>
        <v>1</v>
      </c>
      <c r="AT53">
        <v>50</v>
      </c>
      <c r="AU53">
        <f t="shared" ca="1" si="2"/>
        <v>5</v>
      </c>
      <c r="AW53">
        <v>50</v>
      </c>
      <c r="AX53">
        <f t="shared" ca="1" si="3"/>
        <v>2</v>
      </c>
    </row>
    <row r="54" spans="1:50" x14ac:dyDescent="0.3">
      <c r="A54">
        <v>15</v>
      </c>
      <c r="B54">
        <v>2837629</v>
      </c>
      <c r="C54" t="s">
        <v>88</v>
      </c>
      <c r="D54" t="s">
        <v>56</v>
      </c>
      <c r="E54" s="13">
        <v>0.78</v>
      </c>
      <c r="F54" s="13">
        <v>0.75</v>
      </c>
      <c r="G54" s="13">
        <v>0.85</v>
      </c>
      <c r="H54" s="13">
        <v>0.79</v>
      </c>
      <c r="I54" s="13">
        <v>0.82</v>
      </c>
      <c r="J54" s="13">
        <v>0.79</v>
      </c>
      <c r="K54" s="13">
        <v>0.86</v>
      </c>
      <c r="L54" s="13">
        <v>0.82</v>
      </c>
      <c r="M54" s="13">
        <v>0.78</v>
      </c>
      <c r="N54" s="13">
        <v>0.8</v>
      </c>
      <c r="O54" s="13">
        <v>0.75</v>
      </c>
      <c r="P54" s="13">
        <v>0.79</v>
      </c>
      <c r="Q54" s="13">
        <v>0.79</v>
      </c>
      <c r="R54" s="13">
        <f t="shared" si="4"/>
        <v>0.79909999999999992</v>
      </c>
      <c r="S54" t="str">
        <f>INDEX($BB$4:$BB$13,MATCH(Grades2[[#This Row],[Overall GPA]],$BA$4:$BA$13,-1))</f>
        <v>B+</v>
      </c>
      <c r="T54" s="18">
        <v>1</v>
      </c>
      <c r="V54" s="4">
        <v>22</v>
      </c>
      <c r="W54" s="14">
        <v>3708112</v>
      </c>
      <c r="X54" s="8" t="s">
        <v>102</v>
      </c>
      <c r="Y54" s="8" t="s">
        <v>65</v>
      </c>
      <c r="Z54" s="8">
        <v>0.52</v>
      </c>
      <c r="AA54" s="8">
        <v>0.56999999999999995</v>
      </c>
      <c r="AB54" s="8">
        <v>0.66</v>
      </c>
      <c r="AC54" s="8">
        <v>0.68</v>
      </c>
      <c r="AD54" s="8">
        <v>0.79</v>
      </c>
      <c r="AE54" s="8">
        <v>0.72</v>
      </c>
      <c r="AF54" s="8">
        <v>0.49</v>
      </c>
      <c r="AG54" s="8">
        <v>0.51</v>
      </c>
      <c r="AH54" s="8">
        <v>0.48</v>
      </c>
      <c r="AI54" s="8">
        <v>0.8</v>
      </c>
      <c r="AJ54" s="8">
        <v>0.64</v>
      </c>
      <c r="AK54" s="8">
        <v>0.64</v>
      </c>
      <c r="AL54" s="8">
        <v>0.56999999999999995</v>
      </c>
      <c r="AM54" s="2">
        <f>SUMPRODUCT(Grades4[[#This Row],[Test 1]:[Project]],$E$1:$Q$1)</f>
        <v>0.60929999999999995</v>
      </c>
      <c r="AN54" t="str">
        <f>INDEX($BB$4:$BB$13,MATCH(Grades4[[#This Row],[Overall GPA]],$BA$4:$BA$13,-1))</f>
        <v>F</v>
      </c>
      <c r="AO54" s="18">
        <v>4</v>
      </c>
    </row>
    <row r="55" spans="1:50" x14ac:dyDescent="0.3">
      <c r="A55">
        <v>16</v>
      </c>
      <c r="B55">
        <v>2656585</v>
      </c>
      <c r="C55" t="s">
        <v>75</v>
      </c>
      <c r="D55" t="s">
        <v>58</v>
      </c>
      <c r="E55" s="13">
        <v>0.8</v>
      </c>
      <c r="F55" s="13">
        <v>0.66</v>
      </c>
      <c r="G55" s="13">
        <v>0.8</v>
      </c>
      <c r="H55" s="13">
        <v>0.8</v>
      </c>
      <c r="I55" s="13">
        <v>0.72</v>
      </c>
      <c r="J55" s="13">
        <v>0.67</v>
      </c>
      <c r="K55" s="13">
        <v>0.72</v>
      </c>
      <c r="L55" s="13">
        <v>0.76</v>
      </c>
      <c r="M55" s="13">
        <v>0.78</v>
      </c>
      <c r="N55" s="13">
        <v>0.66</v>
      </c>
      <c r="O55" s="13">
        <v>0.73</v>
      </c>
      <c r="P55" s="13">
        <v>0.77</v>
      </c>
      <c r="Q55" s="13">
        <v>0.75</v>
      </c>
      <c r="R55" s="13">
        <f t="shared" si="4"/>
        <v>0.74750000000000005</v>
      </c>
      <c r="S55" t="str">
        <f>INDEX($BB$4:$BB$13,MATCH(Grades2[[#This Row],[Overall GPA]],$BA$4:$BA$13,-1))</f>
        <v>B-</v>
      </c>
      <c r="T55" s="18">
        <v>1</v>
      </c>
      <c r="V55" s="4">
        <v>23</v>
      </c>
      <c r="W55" s="14">
        <v>3457538</v>
      </c>
      <c r="X55" s="8" t="s">
        <v>100</v>
      </c>
      <c r="Y55" s="8" t="s">
        <v>41</v>
      </c>
      <c r="Z55" s="8">
        <v>0.57999999999999996</v>
      </c>
      <c r="AA55" s="8">
        <v>0.67</v>
      </c>
      <c r="AB55" s="8">
        <v>0.56999999999999995</v>
      </c>
      <c r="AC55" s="8">
        <v>0.69</v>
      </c>
      <c r="AD55" s="8">
        <v>0.45</v>
      </c>
      <c r="AE55" s="8">
        <v>0.67</v>
      </c>
      <c r="AF55" s="8">
        <v>0.64</v>
      </c>
      <c r="AG55" s="8">
        <v>0.65</v>
      </c>
      <c r="AH55" s="8">
        <v>0.49</v>
      </c>
      <c r="AI55" s="8">
        <v>0.65</v>
      </c>
      <c r="AJ55" s="8">
        <v>0.65</v>
      </c>
      <c r="AK55" s="8">
        <v>0.49</v>
      </c>
      <c r="AL55" s="8">
        <v>0.67</v>
      </c>
      <c r="AM55" s="2">
        <f>SUMPRODUCT(Grades4[[#This Row],[Test 1]:[Project]],$E$1:$Q$1)</f>
        <v>0.60820000000000007</v>
      </c>
      <c r="AN55" t="str">
        <f>INDEX($BB$4:$BB$13,MATCH(Grades4[[#This Row],[Overall GPA]],$BA$4:$BA$13,-1))</f>
        <v>F</v>
      </c>
      <c r="AO55" s="18">
        <v>4</v>
      </c>
    </row>
    <row r="56" spans="1:50" x14ac:dyDescent="0.3">
      <c r="A56">
        <v>17</v>
      </c>
      <c r="B56">
        <v>2052642</v>
      </c>
      <c r="C56" t="s">
        <v>97</v>
      </c>
      <c r="D56" t="s">
        <v>47</v>
      </c>
      <c r="E56" s="13">
        <v>0.8</v>
      </c>
      <c r="F56" s="13">
        <v>0.78</v>
      </c>
      <c r="G56" s="13">
        <v>0.8</v>
      </c>
      <c r="H56" s="13">
        <v>0.69</v>
      </c>
      <c r="I56" s="13">
        <v>0.8</v>
      </c>
      <c r="J56" s="13">
        <v>0.66</v>
      </c>
      <c r="K56" s="13">
        <v>0.66</v>
      </c>
      <c r="L56" s="13">
        <v>0.7</v>
      </c>
      <c r="M56" s="13">
        <v>0.76</v>
      </c>
      <c r="N56" s="13">
        <v>0.67</v>
      </c>
      <c r="O56" s="13">
        <v>0.65</v>
      </c>
      <c r="P56" s="13">
        <v>0.76</v>
      </c>
      <c r="Q56" s="13">
        <v>0.68</v>
      </c>
      <c r="R56" s="13">
        <f t="shared" si="4"/>
        <v>0.7471000000000001</v>
      </c>
      <c r="S56" t="str">
        <f>INDEX($BB$4:$BB$13,MATCH(Grades2[[#This Row],[Overall GPA]],$BA$4:$BA$13,-1))</f>
        <v>B-</v>
      </c>
      <c r="T56" s="18">
        <v>0</v>
      </c>
      <c r="V56" s="4">
        <v>24</v>
      </c>
      <c r="W56" s="14">
        <v>3348887</v>
      </c>
      <c r="X56" s="8" t="s">
        <v>101</v>
      </c>
      <c r="Y56" s="8" t="s">
        <v>40</v>
      </c>
      <c r="Z56" s="8">
        <v>0.67</v>
      </c>
      <c r="AA56" s="8">
        <v>0.66</v>
      </c>
      <c r="AB56" s="8">
        <v>0.45</v>
      </c>
      <c r="AC56" s="8">
        <v>0.5</v>
      </c>
      <c r="AD56" s="8">
        <v>0.51</v>
      </c>
      <c r="AE56" s="8">
        <v>0.5</v>
      </c>
      <c r="AF56" s="8">
        <v>0.74</v>
      </c>
      <c r="AG56" s="8">
        <v>0.75</v>
      </c>
      <c r="AH56" s="8">
        <v>0.56000000000000005</v>
      </c>
      <c r="AI56" s="8">
        <v>0.59</v>
      </c>
      <c r="AJ56" s="8">
        <v>0.49</v>
      </c>
      <c r="AK56" s="8">
        <v>0.57999999999999996</v>
      </c>
      <c r="AL56" s="8">
        <v>0.45</v>
      </c>
      <c r="AM56" s="2">
        <f>SUMPRODUCT(Grades4[[#This Row],[Test 1]:[Project]],$E$1:$Q$1)</f>
        <v>0.56580000000000008</v>
      </c>
      <c r="AN56" t="str">
        <f>INDEX($BB$4:$BB$13,MATCH(Grades4[[#This Row],[Overall GPA]],$BA$4:$BA$13,-1))</f>
        <v>F</v>
      </c>
      <c r="AO56" s="18">
        <v>5</v>
      </c>
    </row>
    <row r="57" spans="1:50" x14ac:dyDescent="0.3">
      <c r="A57">
        <v>18</v>
      </c>
      <c r="B57">
        <v>2642800</v>
      </c>
      <c r="C57" t="s">
        <v>79</v>
      </c>
      <c r="D57" t="s">
        <v>55</v>
      </c>
      <c r="E57" s="13">
        <v>0.72</v>
      </c>
      <c r="F57" s="13">
        <v>0.76</v>
      </c>
      <c r="G57" s="13">
        <v>0.8</v>
      </c>
      <c r="H57" s="13">
        <v>0.78</v>
      </c>
      <c r="I57" s="13">
        <v>0.74</v>
      </c>
      <c r="J57" s="13">
        <v>0.68</v>
      </c>
      <c r="K57" s="13">
        <v>0.72</v>
      </c>
      <c r="L57" s="13">
        <v>0.72</v>
      </c>
      <c r="M57" s="13">
        <v>0.74</v>
      </c>
      <c r="N57" s="13">
        <v>0.78</v>
      </c>
      <c r="O57" s="13">
        <v>0.73</v>
      </c>
      <c r="P57" s="13">
        <v>0.7</v>
      </c>
      <c r="Q57" s="13">
        <v>0.69</v>
      </c>
      <c r="R57" s="13">
        <f t="shared" si="4"/>
        <v>0.74380000000000002</v>
      </c>
      <c r="S57" t="str">
        <f>INDEX($BB$4:$BB$13,MATCH(Grades2[[#This Row],[Overall GPA]],$BA$4:$BA$13,-1))</f>
        <v>B-</v>
      </c>
      <c r="T57" s="18">
        <v>0</v>
      </c>
      <c r="V57" s="4">
        <v>25</v>
      </c>
      <c r="W57" s="14">
        <v>3549212</v>
      </c>
      <c r="X57" s="8" t="s">
        <v>84</v>
      </c>
      <c r="Y57" s="8" t="s">
        <v>64</v>
      </c>
      <c r="Z57" s="8">
        <v>0.57999999999999996</v>
      </c>
      <c r="AA57" s="8">
        <v>0.68</v>
      </c>
      <c r="AB57" s="8">
        <v>0.46</v>
      </c>
      <c r="AC57" s="8">
        <v>0.73</v>
      </c>
      <c r="AD57" s="8">
        <v>0.46</v>
      </c>
      <c r="AE57" s="8">
        <v>0.62</v>
      </c>
      <c r="AF57" s="8">
        <v>0.45</v>
      </c>
      <c r="AG57" s="8">
        <v>0.57999999999999996</v>
      </c>
      <c r="AH57" s="8">
        <v>0.45</v>
      </c>
      <c r="AI57" s="8">
        <v>0.46</v>
      </c>
      <c r="AJ57" s="8">
        <v>0.56000000000000005</v>
      </c>
      <c r="AK57" s="8">
        <v>0.72</v>
      </c>
      <c r="AL57" s="8">
        <v>0.56999999999999995</v>
      </c>
      <c r="AM57" s="2">
        <f>SUMPRODUCT(Grades4[[#This Row],[Test 1]:[Project]],$E$1:$Q$1)</f>
        <v>0.56180000000000008</v>
      </c>
      <c r="AN57" t="str">
        <f>INDEX($BB$4:$BB$13,MATCH(Grades4[[#This Row],[Overall GPA]],$BA$4:$BA$13,-1))</f>
        <v>F</v>
      </c>
      <c r="AO57" s="18">
        <v>4</v>
      </c>
    </row>
    <row r="58" spans="1:50" x14ac:dyDescent="0.3">
      <c r="A58">
        <v>19</v>
      </c>
      <c r="B58">
        <v>2489967</v>
      </c>
      <c r="C58" t="s">
        <v>78</v>
      </c>
      <c r="D58" t="s">
        <v>43</v>
      </c>
      <c r="E58" s="13">
        <v>0.67</v>
      </c>
      <c r="F58" s="13">
        <v>0.76</v>
      </c>
      <c r="G58" s="13">
        <v>0.79</v>
      </c>
      <c r="H58" s="13">
        <v>0.8</v>
      </c>
      <c r="I58" s="13">
        <v>0.77</v>
      </c>
      <c r="J58" s="13">
        <v>0.73</v>
      </c>
      <c r="K58" s="13">
        <v>0.77</v>
      </c>
      <c r="L58" s="13">
        <v>0.65</v>
      </c>
      <c r="M58" s="13">
        <v>0.65</v>
      </c>
      <c r="N58" s="13">
        <v>0.73</v>
      </c>
      <c r="O58" s="13">
        <v>0.8</v>
      </c>
      <c r="P58" s="13">
        <v>0.67</v>
      </c>
      <c r="Q58" s="13">
        <v>0.77</v>
      </c>
      <c r="R58" s="13">
        <f t="shared" si="4"/>
        <v>0.7430000000000001</v>
      </c>
      <c r="S58" t="str">
        <f>INDEX($BB$4:$BB$13,MATCH(Grades2[[#This Row],[Overall GPA]],$BA$4:$BA$13,-1))</f>
        <v>B-</v>
      </c>
      <c r="T58" s="18">
        <v>1</v>
      </c>
    </row>
    <row r="59" spans="1:50" x14ac:dyDescent="0.3">
      <c r="A59">
        <v>20</v>
      </c>
      <c r="B59">
        <v>2294908</v>
      </c>
      <c r="C59" t="s">
        <v>89</v>
      </c>
      <c r="D59" t="s">
        <v>47</v>
      </c>
      <c r="E59" s="13">
        <v>0.72</v>
      </c>
      <c r="F59" s="13">
        <v>0.79</v>
      </c>
      <c r="G59" s="13">
        <v>0.71</v>
      </c>
      <c r="H59" s="13">
        <v>0.73</v>
      </c>
      <c r="I59" s="13">
        <v>0.8</v>
      </c>
      <c r="J59" s="13">
        <v>0.65</v>
      </c>
      <c r="K59" s="13">
        <v>0.66</v>
      </c>
      <c r="L59" s="13">
        <v>0.72</v>
      </c>
      <c r="M59" s="13">
        <v>0.69</v>
      </c>
      <c r="N59" s="13">
        <v>0.66</v>
      </c>
      <c r="O59" s="13">
        <v>0.72</v>
      </c>
      <c r="P59" s="13">
        <v>0.77</v>
      </c>
      <c r="Q59" s="13">
        <v>0.76</v>
      </c>
      <c r="R59" s="13">
        <f t="shared" si="4"/>
        <v>0.7289000000000001</v>
      </c>
      <c r="S59" t="str">
        <f>INDEX($BB$4:$BB$13,MATCH(Grades2[[#This Row],[Overall GPA]],$BA$4:$BA$13,-1))</f>
        <v>B-</v>
      </c>
      <c r="T59" s="18">
        <v>2</v>
      </c>
    </row>
    <row r="60" spans="1:50" x14ac:dyDescent="0.3">
      <c r="A60">
        <v>21</v>
      </c>
      <c r="B60">
        <v>2916994</v>
      </c>
      <c r="C60" t="s">
        <v>90</v>
      </c>
      <c r="D60" t="s">
        <v>49</v>
      </c>
      <c r="E60" s="13">
        <v>0.75</v>
      </c>
      <c r="F60" s="13">
        <v>0.72</v>
      </c>
      <c r="G60" s="13">
        <v>0.65</v>
      </c>
      <c r="H60" s="13">
        <v>0.75</v>
      </c>
      <c r="I60" s="13">
        <v>0.77</v>
      </c>
      <c r="J60" s="13">
        <v>0.71</v>
      </c>
      <c r="K60" s="13">
        <v>0.79</v>
      </c>
      <c r="L60" s="13">
        <v>0.77</v>
      </c>
      <c r="M60" s="13">
        <v>0.67</v>
      </c>
      <c r="N60" s="13">
        <v>0.75</v>
      </c>
      <c r="O60" s="13">
        <v>0.8</v>
      </c>
      <c r="P60" s="13">
        <v>0.73</v>
      </c>
      <c r="Q60" s="13">
        <v>0.77</v>
      </c>
      <c r="R60" s="13">
        <f t="shared" si="4"/>
        <v>0.72730000000000006</v>
      </c>
      <c r="S60" t="str">
        <f>INDEX($BB$4:$BB$13,MATCH(Grades2[[#This Row],[Overall GPA]],$BA$4:$BA$13,-1))</f>
        <v>B-</v>
      </c>
      <c r="T60" s="18">
        <v>0</v>
      </c>
    </row>
    <row r="61" spans="1:50" x14ac:dyDescent="0.3">
      <c r="A61">
        <v>22</v>
      </c>
      <c r="B61">
        <v>2691622</v>
      </c>
      <c r="C61" t="s">
        <v>84</v>
      </c>
      <c r="D61" t="s">
        <v>51</v>
      </c>
      <c r="E61" s="13">
        <v>0.72</v>
      </c>
      <c r="F61" s="13">
        <v>0.7</v>
      </c>
      <c r="G61" s="13">
        <v>0.73</v>
      </c>
      <c r="H61" s="13">
        <v>0.69</v>
      </c>
      <c r="I61" s="13">
        <v>0.67</v>
      </c>
      <c r="J61" s="13">
        <v>0.7</v>
      </c>
      <c r="K61" s="13">
        <v>0.8</v>
      </c>
      <c r="L61" s="13">
        <v>0.75</v>
      </c>
      <c r="M61" s="13">
        <v>0.76</v>
      </c>
      <c r="N61" s="13">
        <v>0.76</v>
      </c>
      <c r="O61" s="13">
        <v>0.66</v>
      </c>
      <c r="P61" s="13">
        <v>0.73</v>
      </c>
      <c r="Q61" s="13">
        <v>0.75</v>
      </c>
      <c r="R61" s="13">
        <f t="shared" si="4"/>
        <v>0.72339999999999982</v>
      </c>
      <c r="S61" t="str">
        <f>INDEX($BB$4:$BB$13,MATCH(Grades2[[#This Row],[Overall GPA]],$BA$4:$BA$13,-1))</f>
        <v>B-</v>
      </c>
      <c r="T61" s="18">
        <v>0</v>
      </c>
    </row>
    <row r="62" spans="1:50" x14ac:dyDescent="0.3">
      <c r="A62">
        <v>23</v>
      </c>
      <c r="B62">
        <v>2544559</v>
      </c>
      <c r="C62" t="s">
        <v>99</v>
      </c>
      <c r="D62" t="s">
        <v>65</v>
      </c>
      <c r="E62" s="13">
        <v>0.68</v>
      </c>
      <c r="F62" s="13">
        <v>0.71</v>
      </c>
      <c r="G62" s="13">
        <v>0.68</v>
      </c>
      <c r="H62" s="13">
        <v>0.8</v>
      </c>
      <c r="I62" s="13">
        <v>0.66</v>
      </c>
      <c r="J62" s="13">
        <v>0.67</v>
      </c>
      <c r="K62" s="13">
        <v>0.74</v>
      </c>
      <c r="L62" s="13">
        <v>0.68</v>
      </c>
      <c r="M62" s="13">
        <v>0.74</v>
      </c>
      <c r="N62" s="13">
        <v>0.67</v>
      </c>
      <c r="O62" s="13">
        <v>0.67</v>
      </c>
      <c r="P62" s="13">
        <v>0.76</v>
      </c>
      <c r="Q62" s="13">
        <v>0.67</v>
      </c>
      <c r="R62" s="13">
        <f t="shared" si="4"/>
        <v>0.6958000000000002</v>
      </c>
      <c r="S62" t="str">
        <f>INDEX($BB$4:$BB$13,MATCH(Grades2[[#This Row],[Overall GPA]],$BA$4:$BA$13,-1))</f>
        <v>C</v>
      </c>
      <c r="T62" s="18">
        <v>1</v>
      </c>
    </row>
    <row r="63" spans="1:50" x14ac:dyDescent="0.3">
      <c r="A63">
        <v>24</v>
      </c>
      <c r="B63">
        <v>2446159</v>
      </c>
      <c r="C63" t="s">
        <v>100</v>
      </c>
      <c r="D63" t="s">
        <v>54</v>
      </c>
      <c r="E63" s="13">
        <v>0.65</v>
      </c>
      <c r="F63" s="13">
        <v>0.65</v>
      </c>
      <c r="G63" s="13">
        <v>0.68</v>
      </c>
      <c r="H63" s="13">
        <v>0.74</v>
      </c>
      <c r="I63" s="13">
        <v>0.65</v>
      </c>
      <c r="J63" s="13">
        <v>0.7</v>
      </c>
      <c r="K63" s="13">
        <v>0.77</v>
      </c>
      <c r="L63" s="13">
        <v>0.66</v>
      </c>
      <c r="M63" s="13">
        <v>0.68</v>
      </c>
      <c r="N63" s="13">
        <v>0.72</v>
      </c>
      <c r="O63" s="13">
        <v>0.66</v>
      </c>
      <c r="P63" s="13">
        <v>0.8</v>
      </c>
      <c r="Q63" s="13">
        <v>0.76</v>
      </c>
      <c r="R63" s="13">
        <f t="shared" si="4"/>
        <v>0.69080000000000008</v>
      </c>
      <c r="S63" t="str">
        <f>INDEX($BB$4:$BB$13,MATCH(Grades2[[#This Row],[Overall GPA]],$BA$4:$BA$13,-1))</f>
        <v>C</v>
      </c>
      <c r="T63" s="18">
        <v>3</v>
      </c>
    </row>
    <row r="64" spans="1:50" x14ac:dyDescent="0.3">
      <c r="A64">
        <v>25</v>
      </c>
      <c r="B64">
        <v>2489747</v>
      </c>
      <c r="C64" t="s">
        <v>74</v>
      </c>
      <c r="D64" t="s">
        <v>62</v>
      </c>
      <c r="E64" s="13">
        <v>0.57999999999999996</v>
      </c>
      <c r="F64" s="13">
        <v>0.67</v>
      </c>
      <c r="G64" s="13">
        <v>0.68</v>
      </c>
      <c r="H64" s="13">
        <v>0.56999999999999995</v>
      </c>
      <c r="I64" s="13">
        <v>0.63</v>
      </c>
      <c r="J64" s="13">
        <v>0.7</v>
      </c>
      <c r="K64" s="13">
        <v>0.61</v>
      </c>
      <c r="L64" s="13">
        <v>0.66</v>
      </c>
      <c r="M64" s="13">
        <v>0.64</v>
      </c>
      <c r="N64" s="13">
        <v>0.69</v>
      </c>
      <c r="O64" s="13">
        <v>0.61</v>
      </c>
      <c r="P64" s="13">
        <v>0.65</v>
      </c>
      <c r="Q64" s="13">
        <v>0.65</v>
      </c>
      <c r="R64" s="13">
        <f t="shared" si="4"/>
        <v>0.64399999999999991</v>
      </c>
      <c r="S64" t="str">
        <f>INDEX($BB$4:$BB$13,MATCH(Grades2[[#This Row],[Overall GPA]],$BA$4:$BA$13,-1))</f>
        <v>D</v>
      </c>
      <c r="T64" s="18">
        <v>2</v>
      </c>
    </row>
    <row r="65" spans="1:20" x14ac:dyDescent="0.3">
      <c r="A65">
        <v>26</v>
      </c>
      <c r="B65">
        <v>2109851</v>
      </c>
      <c r="C65" t="s">
        <v>95</v>
      </c>
      <c r="D65" t="s">
        <v>38</v>
      </c>
      <c r="E65" s="13">
        <v>0.65</v>
      </c>
      <c r="F65" s="13">
        <v>0.7</v>
      </c>
      <c r="G65" s="13">
        <v>0.69</v>
      </c>
      <c r="H65" s="13">
        <v>0.68</v>
      </c>
      <c r="I65" s="13">
        <v>0.69</v>
      </c>
      <c r="J65" s="13">
        <v>0.56999999999999995</v>
      </c>
      <c r="K65" s="13">
        <v>0.55000000000000004</v>
      </c>
      <c r="L65" s="13">
        <v>0.57999999999999996</v>
      </c>
      <c r="M65" s="13">
        <v>0.61</v>
      </c>
      <c r="N65" s="13">
        <v>0.56000000000000005</v>
      </c>
      <c r="O65" s="13">
        <v>0.56000000000000005</v>
      </c>
      <c r="P65" s="13">
        <v>0.65</v>
      </c>
      <c r="Q65" s="13">
        <v>0.56999999999999995</v>
      </c>
      <c r="R65" s="13">
        <f t="shared" si="4"/>
        <v>0.64040000000000008</v>
      </c>
      <c r="S65" t="str">
        <f>INDEX($BB$4:$BB$13,MATCH(Grades2[[#This Row],[Overall GPA]],$BA$4:$BA$13,-1))</f>
        <v>D</v>
      </c>
      <c r="T65" s="18">
        <v>1</v>
      </c>
    </row>
    <row r="66" spans="1:20" x14ac:dyDescent="0.3">
      <c r="A66">
        <v>27</v>
      </c>
      <c r="B66">
        <v>2913089</v>
      </c>
      <c r="C66" t="s">
        <v>92</v>
      </c>
      <c r="D66" t="s">
        <v>63</v>
      </c>
      <c r="E66" s="13">
        <v>0.7</v>
      </c>
      <c r="F66" s="13">
        <v>0.57999999999999996</v>
      </c>
      <c r="G66" s="13">
        <v>0.55000000000000004</v>
      </c>
      <c r="H66" s="13">
        <v>0.62</v>
      </c>
      <c r="I66" s="13">
        <v>0.64</v>
      </c>
      <c r="J66" s="13">
        <v>0.62</v>
      </c>
      <c r="K66" s="13">
        <v>0.67</v>
      </c>
      <c r="L66" s="13">
        <v>0.64</v>
      </c>
      <c r="M66" s="13">
        <v>0.62</v>
      </c>
      <c r="N66" s="13">
        <v>0.68</v>
      </c>
      <c r="O66" s="13">
        <v>0.66</v>
      </c>
      <c r="P66" s="13">
        <v>0.55000000000000004</v>
      </c>
      <c r="Q66" s="13">
        <v>0.68</v>
      </c>
      <c r="R66" s="13">
        <f t="shared" si="4"/>
        <v>0.62350000000000017</v>
      </c>
      <c r="S66" t="str">
        <f>INDEX($BB$4:$BB$13,MATCH(Grades2[[#This Row],[Overall GPA]],$BA$4:$BA$13,-1))</f>
        <v>F</v>
      </c>
      <c r="T66" s="18">
        <v>4</v>
      </c>
    </row>
    <row r="67" spans="1:20" x14ac:dyDescent="0.3">
      <c r="A67">
        <v>28</v>
      </c>
      <c r="B67">
        <v>2297147</v>
      </c>
      <c r="C67" t="s">
        <v>94</v>
      </c>
      <c r="D67" t="s">
        <v>67</v>
      </c>
      <c r="E67" s="13">
        <v>0.56999999999999995</v>
      </c>
      <c r="F67" s="13">
        <v>0.55000000000000004</v>
      </c>
      <c r="G67" s="13">
        <v>0.68</v>
      </c>
      <c r="H67" s="13">
        <v>0.69</v>
      </c>
      <c r="I67" s="13">
        <v>0.62</v>
      </c>
      <c r="J67" s="13">
        <v>0.66</v>
      </c>
      <c r="K67" s="13">
        <v>0.56999999999999995</v>
      </c>
      <c r="L67" s="13">
        <v>0.56999999999999995</v>
      </c>
      <c r="M67" s="13">
        <v>0.62</v>
      </c>
      <c r="N67" s="13">
        <v>0.7</v>
      </c>
      <c r="O67" s="13">
        <v>0.56000000000000005</v>
      </c>
      <c r="P67" s="13">
        <v>0.7</v>
      </c>
      <c r="Q67" s="13">
        <v>0.56999999999999995</v>
      </c>
      <c r="R67" s="13">
        <f t="shared" si="4"/>
        <v>0.61399999999999988</v>
      </c>
      <c r="S67" t="str">
        <f>INDEX($BB$4:$BB$13,MATCH(Grades2[[#This Row],[Overall GPA]],$BA$4:$BA$13,-1))</f>
        <v>F</v>
      </c>
      <c r="T67" s="18">
        <v>2</v>
      </c>
    </row>
    <row r="68" spans="1:20" x14ac:dyDescent="0.3">
      <c r="A68">
        <v>29</v>
      </c>
      <c r="B68">
        <v>2564062</v>
      </c>
      <c r="C68" t="s">
        <v>77</v>
      </c>
      <c r="D68" t="s">
        <v>61</v>
      </c>
      <c r="E68" s="13">
        <v>0.55000000000000004</v>
      </c>
      <c r="F68" s="13">
        <v>0.65</v>
      </c>
      <c r="G68" s="13">
        <v>0.66</v>
      </c>
      <c r="H68" s="13">
        <v>0.57999999999999996</v>
      </c>
      <c r="I68" s="13">
        <v>0.59</v>
      </c>
      <c r="J68" s="13">
        <v>0.56000000000000005</v>
      </c>
      <c r="K68" s="13">
        <v>0.69</v>
      </c>
      <c r="L68" s="13">
        <v>0.65</v>
      </c>
      <c r="M68" s="13">
        <v>0.62</v>
      </c>
      <c r="N68" s="13">
        <v>0.56000000000000005</v>
      </c>
      <c r="O68" s="13">
        <v>0.56000000000000005</v>
      </c>
      <c r="P68" s="13">
        <v>0.64</v>
      </c>
      <c r="Q68" s="13">
        <v>0.56000000000000005</v>
      </c>
      <c r="R68" s="13">
        <f t="shared" si="4"/>
        <v>0.61019999999999996</v>
      </c>
      <c r="S68" t="str">
        <f>INDEX($BB$4:$BB$13,MATCH(Grades2[[#This Row],[Overall GPA]],$BA$4:$BA$13,-1))</f>
        <v>F</v>
      </c>
      <c r="T68" s="18">
        <v>3</v>
      </c>
    </row>
    <row r="69" spans="1:20" x14ac:dyDescent="0.3">
      <c r="A69">
        <v>30</v>
      </c>
      <c r="B69">
        <v>2490095</v>
      </c>
      <c r="C69" t="s">
        <v>71</v>
      </c>
      <c r="D69" t="s">
        <v>59</v>
      </c>
      <c r="E69" s="13">
        <v>0.63</v>
      </c>
      <c r="F69" s="13">
        <v>0.56000000000000005</v>
      </c>
      <c r="G69" s="13">
        <v>0.56999999999999995</v>
      </c>
      <c r="H69" s="13">
        <v>0.55000000000000004</v>
      </c>
      <c r="I69" s="13">
        <v>0.67</v>
      </c>
      <c r="J69" s="13">
        <v>0.67</v>
      </c>
      <c r="K69" s="13">
        <v>0.66</v>
      </c>
      <c r="L69" s="13">
        <v>0.65</v>
      </c>
      <c r="M69" s="13">
        <v>0.67</v>
      </c>
      <c r="N69" s="13">
        <v>0.64</v>
      </c>
      <c r="O69" s="13">
        <v>0.62</v>
      </c>
      <c r="P69" s="13">
        <v>0.63</v>
      </c>
      <c r="Q69" s="13">
        <v>0.57999999999999996</v>
      </c>
      <c r="R69" s="13">
        <f t="shared" si="4"/>
        <v>0.60640000000000005</v>
      </c>
      <c r="S69" t="str">
        <f>INDEX($BB$4:$BB$13,MATCH(Grades2[[#This Row],[Overall GPA]],$BA$4:$BA$13,-1))</f>
        <v>F</v>
      </c>
      <c r="T69" s="18">
        <v>5</v>
      </c>
    </row>
  </sheetData>
  <sortState xmlns:xlrd2="http://schemas.microsoft.com/office/spreadsheetml/2017/richdata2" ref="X33:X57">
    <sortCondition descending="1" ref="X33"/>
  </sortState>
  <mergeCells count="5">
    <mergeCell ref="W2:X2"/>
    <mergeCell ref="W31:X31"/>
    <mergeCell ref="BA17:BB17"/>
    <mergeCell ref="B2:C2"/>
    <mergeCell ref="B38:C38"/>
  </mergeCells>
  <conditionalFormatting sqref="E4:Q36">
    <cfRule type="colorScale" priority="33">
      <colorScale>
        <cfvo type="min"/>
        <cfvo type="percentile" val="50"/>
        <cfvo type="max"/>
        <color rgb="FFF8696B"/>
        <color rgb="FFFFEB84"/>
        <color rgb="FF63BE7B"/>
      </colorScale>
    </cfRule>
  </conditionalFormatting>
  <conditionalFormatting sqref="R4:R36">
    <cfRule type="colorScale" priority="1">
      <colorScale>
        <cfvo type="min"/>
        <cfvo type="percentile" val="50"/>
        <cfvo type="max"/>
        <color rgb="FFF8696B"/>
        <color rgb="FFFFEB84"/>
        <color rgb="FF63BE7B"/>
      </colorScale>
    </cfRule>
  </conditionalFormatting>
  <conditionalFormatting sqref="R4:R36">
    <cfRule type="top10" dxfId="11" priority="29" percent="1" rank="25"/>
  </conditionalFormatting>
  <conditionalFormatting sqref="R5:R36">
    <cfRule type="top10" dxfId="10" priority="26" percent="1" bottom="1" rank="25"/>
  </conditionalFormatting>
  <conditionalFormatting sqref="U24">
    <cfRule type="cellIs" dxfId="9" priority="25" operator="greaterThan">
      <formula>MEDIAN($R$4:$R$36)</formula>
    </cfRule>
  </conditionalFormatting>
  <conditionalFormatting sqref="R12:R28 AM41:AM47">
    <cfRule type="expression" dxfId="8" priority="24">
      <formula>R4&gt;=MEDIAN($R$4:$R$36)</formula>
    </cfRule>
  </conditionalFormatting>
  <conditionalFormatting sqref="E40:R69">
    <cfRule type="colorScale" priority="23">
      <colorScale>
        <cfvo type="min"/>
        <cfvo type="percentile" val="50"/>
        <cfvo type="max"/>
        <color rgb="FFF8696B"/>
        <color rgb="FFFFEB84"/>
        <color rgb="FF63BE7B"/>
      </colorScale>
    </cfRule>
  </conditionalFormatting>
  <conditionalFormatting sqref="AM12:AM28">
    <cfRule type="expression" dxfId="7" priority="18">
      <formula>AM4&gt;=MEDIAN($R$4:$R$36)</formula>
    </cfRule>
  </conditionalFormatting>
  <conditionalFormatting sqref="Z50:AL57">
    <cfRule type="colorScale" priority="16">
      <colorScale>
        <cfvo type="min"/>
        <cfvo type="percentile" val="50"/>
        <cfvo type="max"/>
        <color rgb="FFF8696B"/>
        <color rgb="FFFFEB84"/>
        <color rgb="FF63BE7B"/>
      </colorScale>
    </cfRule>
  </conditionalFormatting>
  <conditionalFormatting sqref="AM50:AM57">
    <cfRule type="colorScale" priority="17">
      <colorScale>
        <cfvo type="min"/>
        <cfvo type="percentile" val="50"/>
        <cfvo type="max"/>
        <color rgb="FFF8696B"/>
        <color rgb="FFFFEB84"/>
        <color rgb="FF63BE7B"/>
      </colorScale>
    </cfRule>
  </conditionalFormatting>
  <conditionalFormatting sqref="AM50:AM57">
    <cfRule type="top10" dxfId="6" priority="15" percent="1" rank="25"/>
  </conditionalFormatting>
  <conditionalFormatting sqref="AM50:AM57">
    <cfRule type="top10" dxfId="5" priority="14" percent="1" bottom="1" rank="25"/>
  </conditionalFormatting>
  <conditionalFormatting sqref="Z4:AL28">
    <cfRule type="colorScale" priority="35">
      <colorScale>
        <cfvo type="min"/>
        <cfvo type="percentile" val="50"/>
        <cfvo type="max"/>
        <color rgb="FFF8696B"/>
        <color rgb="FFFFEB84"/>
        <color rgb="FF63BE7B"/>
      </colorScale>
    </cfRule>
  </conditionalFormatting>
  <conditionalFormatting sqref="AM4:AM28">
    <cfRule type="colorScale" priority="9">
      <colorScale>
        <cfvo type="min"/>
        <cfvo type="percentile" val="50"/>
        <cfvo type="max"/>
        <color rgb="FFF8696B"/>
        <color rgb="FFFFEB84"/>
        <color rgb="FF63BE7B"/>
      </colorScale>
    </cfRule>
    <cfRule type="colorScale" priority="36">
      <colorScale>
        <cfvo type="min"/>
        <cfvo type="percentile" val="50"/>
        <cfvo type="max"/>
        <color rgb="FFF8696B"/>
        <color rgb="FFFFEB84"/>
        <color rgb="FF63BE7B"/>
      </colorScale>
    </cfRule>
    <cfRule type="colorScale" priority="37">
      <colorScale>
        <cfvo type="min"/>
        <cfvo type="max"/>
        <color rgb="FFFFEF9C"/>
        <color rgb="FF63BE7B"/>
      </colorScale>
    </cfRule>
  </conditionalFormatting>
  <conditionalFormatting sqref="AM4:AM28">
    <cfRule type="top10" dxfId="4" priority="38" percent="1" rank="25"/>
  </conditionalFormatting>
  <conditionalFormatting sqref="AM5:AM28">
    <cfRule type="top10" dxfId="3" priority="39" percent="1" bottom="1" rank="25"/>
  </conditionalFormatting>
  <conditionalFormatting sqref="AM48:AM49">
    <cfRule type="expression" dxfId="2" priority="41">
      <formula>#REF!&gt;=MEDIAN($R$4:$R$36)</formula>
    </cfRule>
  </conditionalFormatting>
  <conditionalFormatting sqref="Z33:AL49">
    <cfRule type="colorScale" priority="42">
      <colorScale>
        <cfvo type="min"/>
        <cfvo type="percentile" val="50"/>
        <cfvo type="max"/>
        <color rgb="FFF8696B"/>
        <color rgb="FFFFEB84"/>
        <color rgb="FF63BE7B"/>
      </colorScale>
    </cfRule>
  </conditionalFormatting>
  <conditionalFormatting sqref="AM33:AM49">
    <cfRule type="colorScale" priority="44">
      <colorScale>
        <cfvo type="min"/>
        <cfvo type="percentile" val="50"/>
        <cfvo type="max"/>
        <color rgb="FFF8696B"/>
        <color rgb="FFFFEB84"/>
        <color rgb="FF63BE7B"/>
      </colorScale>
    </cfRule>
    <cfRule type="colorScale" priority="45">
      <colorScale>
        <cfvo type="min"/>
        <cfvo type="percentile" val="50"/>
        <cfvo type="max"/>
        <color rgb="FFF8696B"/>
        <color rgb="FFFFEB84"/>
        <color rgb="FF63BE7B"/>
      </colorScale>
    </cfRule>
    <cfRule type="colorScale" priority="46">
      <colorScale>
        <cfvo type="min"/>
        <cfvo type="max"/>
        <color rgb="FFFFEF9C"/>
        <color rgb="FF63BE7B"/>
      </colorScale>
    </cfRule>
  </conditionalFormatting>
  <conditionalFormatting sqref="AM33:AM49">
    <cfRule type="top10" dxfId="1" priority="50" percent="1" rank="25"/>
  </conditionalFormatting>
  <conditionalFormatting sqref="AM34:AM49">
    <cfRule type="top10" dxfId="0" priority="52" percent="1" bottom="1" rank="25"/>
  </conditionalFormatting>
  <pageMargins left="0.7" right="0.7" top="0.75" bottom="0.75" header="0.3" footer="0.3"/>
  <pageSetup orientation="portrait" r:id="rId1"/>
  <tableParts count="4">
    <tablePart r:id="rId2"/>
    <tablePart r:id="rId3"/>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137B1-75FB-4CD9-8B75-626B93D5CD0F}">
  <sheetPr codeName="Sheet5"/>
  <dimension ref="A1:Y122"/>
  <sheetViews>
    <sheetView workbookViewId="0">
      <selection activeCell="Z14" sqref="Z14"/>
    </sheetView>
  </sheetViews>
  <sheetFormatPr defaultRowHeight="14.4" x14ac:dyDescent="0.3"/>
  <cols>
    <col min="1" max="1" width="10.5" bestFit="1" customWidth="1"/>
    <col min="2" max="2" width="9.19921875" bestFit="1" customWidth="1"/>
    <col min="3" max="3" width="10.3984375" bestFit="1" customWidth="1"/>
    <col min="4" max="4" width="7.796875" bestFit="1" customWidth="1"/>
    <col min="5" max="5" width="7.8984375" bestFit="1" customWidth="1"/>
    <col min="6" max="6" width="7.796875" bestFit="1" customWidth="1"/>
    <col min="7" max="10" width="8" bestFit="1" customWidth="1"/>
    <col min="11" max="15" width="7.296875" bestFit="1" customWidth="1"/>
    <col min="16" max="16" width="8.69921875" bestFit="1" customWidth="1"/>
    <col min="17" max="17" width="12.59765625" bestFit="1" customWidth="1"/>
    <col min="18" max="18" width="7.8984375" bestFit="1" customWidth="1"/>
    <col min="19" max="19" width="10.59765625" bestFit="1" customWidth="1"/>
    <col min="20" max="20" width="10.09765625" bestFit="1" customWidth="1"/>
  </cols>
  <sheetData>
    <row r="1" spans="1:25" x14ac:dyDescent="0.3">
      <c r="B1" t="s">
        <v>119</v>
      </c>
    </row>
    <row r="2" spans="1:25" x14ac:dyDescent="0.3">
      <c r="B2" t="str">
        <f>Dashboard!D8</f>
        <v>P2 MTH 101</v>
      </c>
    </row>
    <row r="4" spans="1:25" x14ac:dyDescent="0.3">
      <c r="V4" s="20" t="s">
        <v>120</v>
      </c>
      <c r="W4" s="20"/>
    </row>
    <row r="5" spans="1:25" x14ac:dyDescent="0.3">
      <c r="A5" s="2" t="s">
        <v>111</v>
      </c>
      <c r="B5" s="2" t="s">
        <v>2</v>
      </c>
      <c r="C5" s="2" t="s">
        <v>3</v>
      </c>
      <c r="D5" s="2" t="s">
        <v>4</v>
      </c>
      <c r="E5" s="2" t="s">
        <v>5</v>
      </c>
      <c r="F5" s="2" t="s">
        <v>6</v>
      </c>
      <c r="G5" s="2" t="s">
        <v>7</v>
      </c>
      <c r="H5" s="2" t="s">
        <v>8</v>
      </c>
      <c r="I5" s="2" t="s">
        <v>9</v>
      </c>
      <c r="J5" s="2" t="s">
        <v>10</v>
      </c>
      <c r="K5" s="2" t="s">
        <v>11</v>
      </c>
      <c r="L5" s="2" t="s">
        <v>12</v>
      </c>
      <c r="M5" s="2" t="s">
        <v>13</v>
      </c>
      <c r="N5" s="2" t="s">
        <v>14</v>
      </c>
      <c r="O5" s="2" t="s">
        <v>15</v>
      </c>
      <c r="P5" s="2" t="s">
        <v>16</v>
      </c>
      <c r="Q5" s="2" t="s">
        <v>30</v>
      </c>
      <c r="R5" s="2" t="s">
        <v>18</v>
      </c>
      <c r="S5" s="2" t="s">
        <v>121</v>
      </c>
      <c r="T5" s="2" t="s">
        <v>120</v>
      </c>
      <c r="V5" t="s">
        <v>131</v>
      </c>
      <c r="W5">
        <f>COUNTIF(Table4_2[Pass/Fail],"Pass")</f>
        <v>24</v>
      </c>
      <c r="X5" t="s">
        <v>131</v>
      </c>
      <c r="Y5" s="2">
        <f>W5/(W5+W6)</f>
        <v>0.8</v>
      </c>
    </row>
    <row r="6" spans="1:25" x14ac:dyDescent="0.3">
      <c r="A6" s="17" t="s">
        <v>108</v>
      </c>
      <c r="B6" s="17" t="s">
        <v>96</v>
      </c>
      <c r="C6" s="17" t="s">
        <v>48</v>
      </c>
      <c r="D6" s="13">
        <v>0.94</v>
      </c>
      <c r="E6" s="13">
        <v>0.83</v>
      </c>
      <c r="F6" s="13">
        <v>0.97</v>
      </c>
      <c r="G6" s="13">
        <v>0.85</v>
      </c>
      <c r="H6" s="13">
        <v>0.83</v>
      </c>
      <c r="I6" s="13">
        <v>1</v>
      </c>
      <c r="J6" s="13">
        <v>0.98</v>
      </c>
      <c r="K6" s="13">
        <v>0.98</v>
      </c>
      <c r="L6" s="13">
        <v>0.8</v>
      </c>
      <c r="M6" s="13">
        <v>0.94</v>
      </c>
      <c r="N6" s="13">
        <v>0.88</v>
      </c>
      <c r="O6" s="13">
        <v>0.8</v>
      </c>
      <c r="P6" s="13">
        <v>0.95</v>
      </c>
      <c r="Q6" s="13">
        <v>0.91350000000000009</v>
      </c>
      <c r="R6" s="18" t="s">
        <v>21</v>
      </c>
      <c r="S6" s="18">
        <v>1</v>
      </c>
      <c r="T6" s="13" t="str">
        <f>IF(Table4_2[[#This Row],[Overall GPA]]&gt;=0.65,"Pass","Fail")</f>
        <v>Pass</v>
      </c>
      <c r="V6" t="s">
        <v>132</v>
      </c>
      <c r="W6">
        <f>COUNTIF(Table4_2[Pass/Fail],"Fail")</f>
        <v>6</v>
      </c>
      <c r="X6" t="s">
        <v>132</v>
      </c>
      <c r="Y6" s="2">
        <f>1-Y5</f>
        <v>0.19999999999999996</v>
      </c>
    </row>
    <row r="7" spans="1:25" x14ac:dyDescent="0.3">
      <c r="A7" s="17" t="s">
        <v>108</v>
      </c>
      <c r="B7" s="17" t="s">
        <v>72</v>
      </c>
      <c r="C7" s="17" t="s">
        <v>57</v>
      </c>
      <c r="D7" s="13">
        <v>0.94</v>
      </c>
      <c r="E7" s="13">
        <v>0.96</v>
      </c>
      <c r="F7" s="13">
        <v>0.86</v>
      </c>
      <c r="G7" s="13">
        <v>0.81</v>
      </c>
      <c r="H7" s="13">
        <v>0.95</v>
      </c>
      <c r="I7" s="13">
        <v>0.99</v>
      </c>
      <c r="J7" s="13">
        <v>0.82</v>
      </c>
      <c r="K7" s="13">
        <v>0.94</v>
      </c>
      <c r="L7" s="13">
        <v>0.82</v>
      </c>
      <c r="M7" s="13">
        <v>0.81</v>
      </c>
      <c r="N7" s="13">
        <v>0.87</v>
      </c>
      <c r="O7" s="13">
        <v>0.92</v>
      </c>
      <c r="P7" s="13">
        <v>0.98</v>
      </c>
      <c r="Q7" s="13">
        <v>0.90789999999999982</v>
      </c>
      <c r="R7" s="18" t="s">
        <v>21</v>
      </c>
      <c r="S7" s="18">
        <v>3</v>
      </c>
      <c r="T7" s="13" t="str">
        <f>IF(Table4_2[[#This Row],[Overall GPA]]&gt;=0.65,"Pass","Fail")</f>
        <v>Pass</v>
      </c>
    </row>
    <row r="8" spans="1:25" x14ac:dyDescent="0.3">
      <c r="A8" s="17" t="s">
        <v>108</v>
      </c>
      <c r="B8" s="17" t="s">
        <v>93</v>
      </c>
      <c r="C8" s="17" t="s">
        <v>66</v>
      </c>
      <c r="D8" s="13">
        <v>0.99</v>
      </c>
      <c r="E8" s="13">
        <v>1</v>
      </c>
      <c r="F8" s="13">
        <v>0.82</v>
      </c>
      <c r="G8" s="13">
        <v>0.88</v>
      </c>
      <c r="H8" s="13">
        <v>0.83</v>
      </c>
      <c r="I8" s="13">
        <v>0.99</v>
      </c>
      <c r="J8" s="13">
        <v>0.95</v>
      </c>
      <c r="K8" s="13">
        <v>0.95</v>
      </c>
      <c r="L8" s="13">
        <v>0.94</v>
      </c>
      <c r="M8" s="13">
        <v>0.82</v>
      </c>
      <c r="N8" s="13">
        <v>0.8</v>
      </c>
      <c r="O8" s="13">
        <v>0.92</v>
      </c>
      <c r="P8" s="13">
        <v>0.83</v>
      </c>
      <c r="Q8" s="13">
        <v>0.9052</v>
      </c>
      <c r="R8" s="18" t="s">
        <v>21</v>
      </c>
      <c r="S8" s="18">
        <v>3</v>
      </c>
      <c r="T8" s="13" t="str">
        <f>IF(Table4_2[[#This Row],[Overall GPA]]&gt;=0.65,"Pass","Fail")</f>
        <v>Pass</v>
      </c>
      <c r="V8" s="20" t="s">
        <v>133</v>
      </c>
      <c r="W8" s="20"/>
    </row>
    <row r="9" spans="1:25" x14ac:dyDescent="0.3">
      <c r="A9" s="17" t="s">
        <v>108</v>
      </c>
      <c r="B9" s="17" t="s">
        <v>87</v>
      </c>
      <c r="C9" s="17" t="s">
        <v>53</v>
      </c>
      <c r="D9" s="13">
        <v>0.87</v>
      </c>
      <c r="E9" s="13">
        <v>0.83</v>
      </c>
      <c r="F9" s="13">
        <v>0.96</v>
      </c>
      <c r="G9" s="13">
        <v>0.98</v>
      </c>
      <c r="H9" s="13">
        <v>0.87</v>
      </c>
      <c r="I9" s="13">
        <v>0.82</v>
      </c>
      <c r="J9" s="13">
        <v>1</v>
      </c>
      <c r="K9" s="13">
        <v>0.96</v>
      </c>
      <c r="L9" s="13">
        <v>0.99</v>
      </c>
      <c r="M9" s="13">
        <v>0.82</v>
      </c>
      <c r="N9" s="13">
        <v>0.8</v>
      </c>
      <c r="O9" s="13">
        <v>0.83</v>
      </c>
      <c r="P9" s="13">
        <v>0.98</v>
      </c>
      <c r="Q9" s="13">
        <v>0.90450000000000008</v>
      </c>
      <c r="R9" s="18" t="s">
        <v>21</v>
      </c>
      <c r="S9" s="18">
        <v>3</v>
      </c>
      <c r="T9" s="13" t="str">
        <f>IF(Table4_2[[#This Row],[Overall GPA]]&gt;=0.65,"Pass","Fail")</f>
        <v>Pass</v>
      </c>
      <c r="V9" t="s">
        <v>20</v>
      </c>
      <c r="W9">
        <f>COUNTIF(Table4_2[Letter],V9)</f>
        <v>0</v>
      </c>
      <c r="X9" t="s">
        <v>20</v>
      </c>
      <c r="Y9" s="13">
        <f>W9/SUM($W$9:$W$18)</f>
        <v>0</v>
      </c>
    </row>
    <row r="10" spans="1:25" x14ac:dyDescent="0.3">
      <c r="A10" s="17" t="s">
        <v>108</v>
      </c>
      <c r="B10" s="17" t="s">
        <v>80</v>
      </c>
      <c r="C10" s="17" t="s">
        <v>42</v>
      </c>
      <c r="D10" s="13">
        <v>0.8</v>
      </c>
      <c r="E10" s="13">
        <v>0.83</v>
      </c>
      <c r="F10" s="13">
        <v>0.95</v>
      </c>
      <c r="G10" s="13">
        <v>0.89</v>
      </c>
      <c r="H10" s="13">
        <v>0.9</v>
      </c>
      <c r="I10" s="13">
        <v>0.94</v>
      </c>
      <c r="J10" s="13">
        <v>1</v>
      </c>
      <c r="K10" s="13">
        <v>0.87</v>
      </c>
      <c r="L10" s="13">
        <v>0.95</v>
      </c>
      <c r="M10" s="13">
        <v>0.93</v>
      </c>
      <c r="N10" s="13">
        <v>0.8</v>
      </c>
      <c r="O10" s="13">
        <v>0.87</v>
      </c>
      <c r="P10" s="13">
        <v>1</v>
      </c>
      <c r="Q10" s="13">
        <v>0.89780000000000026</v>
      </c>
      <c r="R10" s="18" t="s">
        <v>21</v>
      </c>
      <c r="S10" s="18">
        <v>2</v>
      </c>
      <c r="T10" s="13" t="str">
        <f>IF(Table4_2[[#This Row],[Overall GPA]]&gt;=0.65,"Pass","Fail")</f>
        <v>Pass</v>
      </c>
      <c r="V10" t="s">
        <v>21</v>
      </c>
      <c r="W10">
        <f>COUNTIF(Table4_2[Letter],V10)</f>
        <v>6</v>
      </c>
      <c r="X10" t="s">
        <v>21</v>
      </c>
      <c r="Y10" s="13">
        <f t="shared" ref="Y10:Y18" si="0">W10/SUM($W$9:$W$18)</f>
        <v>0.2</v>
      </c>
    </row>
    <row r="11" spans="1:25" x14ac:dyDescent="0.3">
      <c r="A11" s="17" t="s">
        <v>108</v>
      </c>
      <c r="B11" s="17" t="s">
        <v>101</v>
      </c>
      <c r="C11" s="17" t="s">
        <v>69</v>
      </c>
      <c r="D11" s="13">
        <v>0.88</v>
      </c>
      <c r="E11" s="13">
        <v>0.96</v>
      </c>
      <c r="F11" s="13">
        <v>0.81</v>
      </c>
      <c r="G11" s="13">
        <v>0.96</v>
      </c>
      <c r="H11" s="13">
        <v>0.85</v>
      </c>
      <c r="I11" s="13">
        <v>0.93</v>
      </c>
      <c r="J11" s="13">
        <v>0.94</v>
      </c>
      <c r="K11" s="13">
        <v>0.85</v>
      </c>
      <c r="L11" s="13">
        <v>0.83</v>
      </c>
      <c r="M11" s="13">
        <v>0.86</v>
      </c>
      <c r="N11" s="13">
        <v>0.98</v>
      </c>
      <c r="O11" s="13">
        <v>0.87</v>
      </c>
      <c r="P11" s="13">
        <v>1</v>
      </c>
      <c r="Q11" s="13">
        <v>0.89760000000000006</v>
      </c>
      <c r="R11" s="18" t="s">
        <v>21</v>
      </c>
      <c r="S11" s="18">
        <v>2</v>
      </c>
      <c r="T11" s="13" t="str">
        <f>IF(Table4_2[[#This Row],[Overall GPA]]&gt;=0.65,"Pass","Fail")</f>
        <v>Pass</v>
      </c>
      <c r="V11" t="s">
        <v>22</v>
      </c>
      <c r="W11">
        <f>COUNTIF(Table4_2[Letter],V11)</f>
        <v>0</v>
      </c>
      <c r="X11" t="s">
        <v>22</v>
      </c>
      <c r="Y11" s="13">
        <f t="shared" si="0"/>
        <v>0</v>
      </c>
    </row>
    <row r="12" spans="1:25" x14ac:dyDescent="0.3">
      <c r="A12" s="17" t="s">
        <v>108</v>
      </c>
      <c r="B12" s="17" t="s">
        <v>82</v>
      </c>
      <c r="C12" s="17" t="s">
        <v>52</v>
      </c>
      <c r="D12" s="13">
        <v>0.88</v>
      </c>
      <c r="E12" s="13">
        <v>0.84</v>
      </c>
      <c r="F12" s="13">
        <v>0.82</v>
      </c>
      <c r="G12" s="13">
        <v>0.75</v>
      </c>
      <c r="H12" s="13">
        <v>0.78</v>
      </c>
      <c r="I12" s="13">
        <v>0.86</v>
      </c>
      <c r="J12" s="13">
        <v>0.77</v>
      </c>
      <c r="K12" s="13">
        <v>0.89</v>
      </c>
      <c r="L12" s="13">
        <v>0.89</v>
      </c>
      <c r="M12" s="13">
        <v>0.83</v>
      </c>
      <c r="N12" s="13">
        <v>0.75</v>
      </c>
      <c r="O12" s="13">
        <v>0.75</v>
      </c>
      <c r="P12" s="13">
        <v>0.87</v>
      </c>
      <c r="Q12" s="13">
        <v>0.83140000000000003</v>
      </c>
      <c r="R12" s="18" t="s">
        <v>23</v>
      </c>
      <c r="S12" s="18">
        <v>2</v>
      </c>
      <c r="T12" s="13" t="str">
        <f>IF(Table4_2[[#This Row],[Overall GPA]]&gt;=0.65,"Pass","Fail")</f>
        <v>Pass</v>
      </c>
      <c r="V12" t="s">
        <v>23</v>
      </c>
      <c r="W12">
        <f>COUNTIF(Table4_2[Letter],V12)</f>
        <v>9</v>
      </c>
      <c r="X12" t="s">
        <v>23</v>
      </c>
      <c r="Y12" s="13">
        <f t="shared" si="0"/>
        <v>0.3</v>
      </c>
    </row>
    <row r="13" spans="1:25" x14ac:dyDescent="0.3">
      <c r="A13" s="17" t="s">
        <v>108</v>
      </c>
      <c r="B13" s="17" t="s">
        <v>98</v>
      </c>
      <c r="C13" s="17" t="s">
        <v>50</v>
      </c>
      <c r="D13" s="13">
        <v>0.77</v>
      </c>
      <c r="E13" s="13">
        <v>0.9</v>
      </c>
      <c r="F13" s="13">
        <v>0.84</v>
      </c>
      <c r="G13" s="13">
        <v>0.78</v>
      </c>
      <c r="H13" s="13">
        <v>0.88</v>
      </c>
      <c r="I13" s="13">
        <v>0.79</v>
      </c>
      <c r="J13" s="13">
        <v>0.77</v>
      </c>
      <c r="K13" s="13">
        <v>0.87</v>
      </c>
      <c r="L13" s="13">
        <v>0.87</v>
      </c>
      <c r="M13" s="13">
        <v>0.81</v>
      </c>
      <c r="N13" s="13">
        <v>0.84</v>
      </c>
      <c r="O13" s="13">
        <v>0.78</v>
      </c>
      <c r="P13" s="13">
        <v>0.85</v>
      </c>
      <c r="Q13" s="13">
        <v>0.83129999999999993</v>
      </c>
      <c r="R13" s="18" t="s">
        <v>23</v>
      </c>
      <c r="S13" s="18">
        <v>3</v>
      </c>
      <c r="T13" s="13" t="str">
        <f>IF(Table4_2[[#This Row],[Overall GPA]]&gt;=0.65,"Pass","Fail")</f>
        <v>Pass</v>
      </c>
      <c r="V13" t="s">
        <v>24</v>
      </c>
      <c r="W13">
        <f>COUNTIF(Table4_2[Letter],V13)</f>
        <v>0</v>
      </c>
      <c r="X13" t="s">
        <v>24</v>
      </c>
      <c r="Y13" s="13">
        <f t="shared" si="0"/>
        <v>0</v>
      </c>
    </row>
    <row r="14" spans="1:25" x14ac:dyDescent="0.3">
      <c r="A14" s="17" t="s">
        <v>108</v>
      </c>
      <c r="B14" s="17" t="s">
        <v>91</v>
      </c>
      <c r="C14" s="17" t="s">
        <v>45</v>
      </c>
      <c r="D14" s="13">
        <v>0.79</v>
      </c>
      <c r="E14" s="13">
        <v>0.86</v>
      </c>
      <c r="F14" s="13">
        <v>0.8</v>
      </c>
      <c r="G14" s="13">
        <v>0.81</v>
      </c>
      <c r="H14" s="13">
        <v>0.79</v>
      </c>
      <c r="I14" s="13">
        <v>0.88</v>
      </c>
      <c r="J14" s="13">
        <v>0.86</v>
      </c>
      <c r="K14" s="13">
        <v>0.84</v>
      </c>
      <c r="L14" s="13">
        <v>0.78</v>
      </c>
      <c r="M14" s="13">
        <v>0.86</v>
      </c>
      <c r="N14" s="13">
        <v>0.87</v>
      </c>
      <c r="O14" s="13">
        <v>0.89</v>
      </c>
      <c r="P14" s="13">
        <v>0.83</v>
      </c>
      <c r="Q14" s="13">
        <v>0.82710000000000006</v>
      </c>
      <c r="R14" s="18" t="s">
        <v>23</v>
      </c>
      <c r="S14" s="18">
        <v>2</v>
      </c>
      <c r="T14" s="13" t="str">
        <f>IF(Table4_2[[#This Row],[Overall GPA]]&gt;=0.65,"Pass","Fail")</f>
        <v>Pass</v>
      </c>
      <c r="V14" t="s">
        <v>25</v>
      </c>
      <c r="W14">
        <f>COUNTIF(Table4_2[Letter],V14)</f>
        <v>7</v>
      </c>
      <c r="X14" t="s">
        <v>25</v>
      </c>
      <c r="Y14" s="13">
        <f t="shared" si="0"/>
        <v>0.23333333333333334</v>
      </c>
    </row>
    <row r="15" spans="1:25" x14ac:dyDescent="0.3">
      <c r="A15" s="17" t="s">
        <v>108</v>
      </c>
      <c r="B15" s="17" t="s">
        <v>102</v>
      </c>
      <c r="C15" s="17" t="s">
        <v>60</v>
      </c>
      <c r="D15" s="13">
        <v>0.86</v>
      </c>
      <c r="E15" s="13">
        <v>0.78</v>
      </c>
      <c r="F15" s="13">
        <v>0.79</v>
      </c>
      <c r="G15" s="13">
        <v>0.9</v>
      </c>
      <c r="H15" s="13">
        <v>0.83</v>
      </c>
      <c r="I15" s="13">
        <v>0.87</v>
      </c>
      <c r="J15" s="13">
        <v>0.87</v>
      </c>
      <c r="K15" s="13">
        <v>0.8</v>
      </c>
      <c r="L15" s="13">
        <v>0.82</v>
      </c>
      <c r="M15" s="13">
        <v>0.88</v>
      </c>
      <c r="N15" s="13">
        <v>0.82</v>
      </c>
      <c r="O15" s="13">
        <v>0.78</v>
      </c>
      <c r="P15" s="13">
        <v>0.8</v>
      </c>
      <c r="Q15" s="13">
        <v>0.82150000000000012</v>
      </c>
      <c r="R15" s="18" t="s">
        <v>23</v>
      </c>
      <c r="S15" s="18">
        <v>3</v>
      </c>
      <c r="T15" s="13" t="str">
        <f>IF(Table4_2[[#This Row],[Overall GPA]]&gt;=0.65,"Pass","Fail")</f>
        <v>Pass</v>
      </c>
      <c r="V15" t="s">
        <v>26</v>
      </c>
      <c r="W15">
        <f>COUNTIF(Table4_2[Letter],V15)</f>
        <v>2</v>
      </c>
      <c r="X15" t="s">
        <v>26</v>
      </c>
      <c r="Y15" s="13">
        <f t="shared" si="0"/>
        <v>6.6666666666666666E-2</v>
      </c>
    </row>
    <row r="16" spans="1:25" x14ac:dyDescent="0.3">
      <c r="A16" s="17" t="s">
        <v>108</v>
      </c>
      <c r="B16" s="17" t="s">
        <v>70</v>
      </c>
      <c r="C16" s="17" t="s">
        <v>39</v>
      </c>
      <c r="D16" s="13">
        <v>0.85</v>
      </c>
      <c r="E16" s="13">
        <v>0.83</v>
      </c>
      <c r="F16" s="13">
        <v>0.77</v>
      </c>
      <c r="G16" s="13">
        <v>0.82</v>
      </c>
      <c r="H16" s="13">
        <v>0.87</v>
      </c>
      <c r="I16" s="13">
        <v>0.84</v>
      </c>
      <c r="J16" s="13">
        <v>0.78</v>
      </c>
      <c r="K16" s="13">
        <v>0.76</v>
      </c>
      <c r="L16" s="13">
        <v>0.87</v>
      </c>
      <c r="M16" s="13">
        <v>0.85</v>
      </c>
      <c r="N16" s="13">
        <v>0.9</v>
      </c>
      <c r="O16" s="13">
        <v>0.76</v>
      </c>
      <c r="P16" s="13">
        <v>0.82</v>
      </c>
      <c r="Q16" s="13">
        <v>0.81910000000000005</v>
      </c>
      <c r="R16" s="18" t="s">
        <v>23</v>
      </c>
      <c r="S16" s="18">
        <v>1</v>
      </c>
      <c r="T16" s="13" t="str">
        <f>IF(Table4_2[[#This Row],[Overall GPA]]&gt;=0.65,"Pass","Fail")</f>
        <v>Pass</v>
      </c>
      <c r="V16" t="s">
        <v>27</v>
      </c>
      <c r="W16">
        <f>COUNTIF(Table4_2[Letter],V16)</f>
        <v>0</v>
      </c>
      <c r="X16" t="s">
        <v>27</v>
      </c>
      <c r="Y16" s="13">
        <f t="shared" si="0"/>
        <v>0</v>
      </c>
    </row>
    <row r="17" spans="1:25" x14ac:dyDescent="0.3">
      <c r="A17" s="17" t="s">
        <v>108</v>
      </c>
      <c r="B17" s="17" t="s">
        <v>83</v>
      </c>
      <c r="C17" s="17" t="s">
        <v>68</v>
      </c>
      <c r="D17" s="13">
        <v>0.78</v>
      </c>
      <c r="E17" s="13">
        <v>0.8</v>
      </c>
      <c r="F17" s="13">
        <v>0.83</v>
      </c>
      <c r="G17" s="13">
        <v>0.8</v>
      </c>
      <c r="H17" s="13">
        <v>0.87</v>
      </c>
      <c r="I17" s="13">
        <v>0.88</v>
      </c>
      <c r="J17" s="13">
        <v>0.83</v>
      </c>
      <c r="K17" s="13">
        <v>0.77</v>
      </c>
      <c r="L17" s="13">
        <v>0.78</v>
      </c>
      <c r="M17" s="13">
        <v>0.9</v>
      </c>
      <c r="N17" s="13">
        <v>0.75</v>
      </c>
      <c r="O17" s="13">
        <v>0.82</v>
      </c>
      <c r="P17" s="13">
        <v>0.83</v>
      </c>
      <c r="Q17" s="13">
        <v>0.81580000000000008</v>
      </c>
      <c r="R17" s="18" t="s">
        <v>23</v>
      </c>
      <c r="S17" s="18">
        <v>3</v>
      </c>
      <c r="T17" s="13" t="str">
        <f>IF(Table4_2[[#This Row],[Overall GPA]]&gt;=0.65,"Pass","Fail")</f>
        <v>Pass</v>
      </c>
      <c r="V17" t="s">
        <v>28</v>
      </c>
      <c r="W17">
        <f>COUNTIF(Table4_2[Letter],V17)</f>
        <v>2</v>
      </c>
      <c r="X17" t="s">
        <v>28</v>
      </c>
      <c r="Y17" s="13">
        <f t="shared" si="0"/>
        <v>6.6666666666666666E-2</v>
      </c>
    </row>
    <row r="18" spans="1:25" x14ac:dyDescent="0.3">
      <c r="A18" s="17" t="s">
        <v>108</v>
      </c>
      <c r="B18" s="17" t="s">
        <v>81</v>
      </c>
      <c r="C18" s="17" t="s">
        <v>44</v>
      </c>
      <c r="D18" s="13">
        <v>0.76</v>
      </c>
      <c r="E18" s="13">
        <v>0.77</v>
      </c>
      <c r="F18" s="13">
        <v>0.81</v>
      </c>
      <c r="G18" s="13">
        <v>0.87</v>
      </c>
      <c r="H18" s="13">
        <v>0.89</v>
      </c>
      <c r="I18" s="13">
        <v>0.82</v>
      </c>
      <c r="J18" s="13">
        <v>0.88</v>
      </c>
      <c r="K18" s="13">
        <v>0.77</v>
      </c>
      <c r="L18" s="13">
        <v>0.79</v>
      </c>
      <c r="M18" s="13">
        <v>0.9</v>
      </c>
      <c r="N18" s="13">
        <v>0.9</v>
      </c>
      <c r="O18" s="13">
        <v>0.82</v>
      </c>
      <c r="P18" s="13">
        <v>0.82</v>
      </c>
      <c r="Q18" s="13">
        <v>0.81369999999999998</v>
      </c>
      <c r="R18" s="18" t="s">
        <v>23</v>
      </c>
      <c r="S18" s="18">
        <v>1</v>
      </c>
      <c r="T18" s="13" t="str">
        <f>IF(Table4_2[[#This Row],[Overall GPA]]&gt;=0.65,"Pass","Fail")</f>
        <v>Pass</v>
      </c>
      <c r="V18" t="s">
        <v>29</v>
      </c>
      <c r="W18">
        <f>COUNTIF(Table4_2[Letter],V18)</f>
        <v>4</v>
      </c>
      <c r="X18" t="s">
        <v>29</v>
      </c>
      <c r="Y18" s="13">
        <f t="shared" si="0"/>
        <v>0.13333333333333333</v>
      </c>
    </row>
    <row r="19" spans="1:25" x14ac:dyDescent="0.3">
      <c r="A19" s="17" t="s">
        <v>108</v>
      </c>
      <c r="B19" s="17" t="s">
        <v>85</v>
      </c>
      <c r="C19" s="17" t="s">
        <v>46</v>
      </c>
      <c r="D19" s="13">
        <v>0.82</v>
      </c>
      <c r="E19" s="13">
        <v>0.76</v>
      </c>
      <c r="F19" s="13">
        <v>0.8</v>
      </c>
      <c r="G19" s="13">
        <v>0.9</v>
      </c>
      <c r="H19" s="13">
        <v>0.77</v>
      </c>
      <c r="I19" s="13">
        <v>0.76</v>
      </c>
      <c r="J19" s="13">
        <v>0.81</v>
      </c>
      <c r="K19" s="13">
        <v>0.82</v>
      </c>
      <c r="L19" s="13">
        <v>0.79</v>
      </c>
      <c r="M19" s="13">
        <v>0.87</v>
      </c>
      <c r="N19" s="13">
        <v>0.86</v>
      </c>
      <c r="O19" s="13">
        <v>0.83</v>
      </c>
      <c r="P19" s="13">
        <v>0.8</v>
      </c>
      <c r="Q19" s="13">
        <v>0.80580000000000007</v>
      </c>
      <c r="R19" s="18" t="s">
        <v>23</v>
      </c>
      <c r="S19" s="18">
        <v>0</v>
      </c>
      <c r="T19" s="13" t="str">
        <f>IF(Table4_2[[#This Row],[Overall GPA]]&gt;=0.65,"Pass","Fail")</f>
        <v>Pass</v>
      </c>
    </row>
    <row r="20" spans="1:25" x14ac:dyDescent="0.3">
      <c r="A20" s="17" t="s">
        <v>108</v>
      </c>
      <c r="B20" s="17" t="s">
        <v>88</v>
      </c>
      <c r="C20" s="17" t="s">
        <v>56</v>
      </c>
      <c r="D20" s="13">
        <v>0.78</v>
      </c>
      <c r="E20" s="13">
        <v>0.75</v>
      </c>
      <c r="F20" s="13">
        <v>0.85</v>
      </c>
      <c r="G20" s="13">
        <v>0.79</v>
      </c>
      <c r="H20" s="13">
        <v>0.82</v>
      </c>
      <c r="I20" s="13">
        <v>0.79</v>
      </c>
      <c r="J20" s="13">
        <v>0.86</v>
      </c>
      <c r="K20" s="13">
        <v>0.82</v>
      </c>
      <c r="L20" s="13">
        <v>0.78</v>
      </c>
      <c r="M20" s="13">
        <v>0.8</v>
      </c>
      <c r="N20" s="13">
        <v>0.75</v>
      </c>
      <c r="O20" s="13">
        <v>0.79</v>
      </c>
      <c r="P20" s="13">
        <v>0.79</v>
      </c>
      <c r="Q20" s="13">
        <v>0.79909999999999992</v>
      </c>
      <c r="R20" s="18" t="s">
        <v>23</v>
      </c>
      <c r="S20" s="18">
        <v>1</v>
      </c>
      <c r="T20" s="13" t="str">
        <f>IF(Table4_2[[#This Row],[Overall GPA]]&gt;=0.65,"Pass","Fail")</f>
        <v>Pass</v>
      </c>
    </row>
    <row r="21" spans="1:25" x14ac:dyDescent="0.3">
      <c r="A21" s="17" t="s">
        <v>108</v>
      </c>
      <c r="B21" s="17" t="s">
        <v>75</v>
      </c>
      <c r="C21" s="17" t="s">
        <v>58</v>
      </c>
      <c r="D21" s="13">
        <v>0.8</v>
      </c>
      <c r="E21" s="13">
        <v>0.66</v>
      </c>
      <c r="F21" s="13">
        <v>0.8</v>
      </c>
      <c r="G21" s="13">
        <v>0.8</v>
      </c>
      <c r="H21" s="13">
        <v>0.72</v>
      </c>
      <c r="I21" s="13">
        <v>0.67</v>
      </c>
      <c r="J21" s="13">
        <v>0.72</v>
      </c>
      <c r="K21" s="13">
        <v>0.76</v>
      </c>
      <c r="L21" s="13">
        <v>0.78</v>
      </c>
      <c r="M21" s="13">
        <v>0.66</v>
      </c>
      <c r="N21" s="13">
        <v>0.73</v>
      </c>
      <c r="O21" s="13">
        <v>0.77</v>
      </c>
      <c r="P21" s="13">
        <v>0.75</v>
      </c>
      <c r="Q21" s="13">
        <v>0.74750000000000005</v>
      </c>
      <c r="R21" s="18" t="s">
        <v>25</v>
      </c>
      <c r="S21" s="18">
        <v>1</v>
      </c>
      <c r="T21" s="13" t="str">
        <f>IF(Table4_2[[#This Row],[Overall GPA]]&gt;=0.65,"Pass","Fail")</f>
        <v>Pass</v>
      </c>
    </row>
    <row r="22" spans="1:25" x14ac:dyDescent="0.3">
      <c r="A22" s="17" t="s">
        <v>108</v>
      </c>
      <c r="B22" s="17" t="s">
        <v>97</v>
      </c>
      <c r="C22" s="17" t="s">
        <v>47</v>
      </c>
      <c r="D22" s="13">
        <v>0.8</v>
      </c>
      <c r="E22" s="13">
        <v>0.78</v>
      </c>
      <c r="F22" s="13">
        <v>0.8</v>
      </c>
      <c r="G22" s="13">
        <v>0.69</v>
      </c>
      <c r="H22" s="13">
        <v>0.8</v>
      </c>
      <c r="I22" s="13">
        <v>0.66</v>
      </c>
      <c r="J22" s="13">
        <v>0.66</v>
      </c>
      <c r="K22" s="13">
        <v>0.7</v>
      </c>
      <c r="L22" s="13">
        <v>0.76</v>
      </c>
      <c r="M22" s="13">
        <v>0.67</v>
      </c>
      <c r="N22" s="13">
        <v>0.65</v>
      </c>
      <c r="O22" s="13">
        <v>0.76</v>
      </c>
      <c r="P22" s="13">
        <v>0.68</v>
      </c>
      <c r="Q22" s="13">
        <v>0.7471000000000001</v>
      </c>
      <c r="R22" s="18" t="s">
        <v>25</v>
      </c>
      <c r="S22" s="18">
        <v>0</v>
      </c>
      <c r="T22" s="13" t="str">
        <f>IF(Table4_2[[#This Row],[Overall GPA]]&gt;=0.65,"Pass","Fail")</f>
        <v>Pass</v>
      </c>
    </row>
    <row r="23" spans="1:25" x14ac:dyDescent="0.3">
      <c r="A23" s="17" t="s">
        <v>108</v>
      </c>
      <c r="B23" s="17" t="s">
        <v>79</v>
      </c>
      <c r="C23" s="17" t="s">
        <v>55</v>
      </c>
      <c r="D23" s="13">
        <v>0.72</v>
      </c>
      <c r="E23" s="13">
        <v>0.76</v>
      </c>
      <c r="F23" s="13">
        <v>0.8</v>
      </c>
      <c r="G23" s="13">
        <v>0.78</v>
      </c>
      <c r="H23" s="13">
        <v>0.74</v>
      </c>
      <c r="I23" s="13">
        <v>0.68</v>
      </c>
      <c r="J23" s="13">
        <v>0.72</v>
      </c>
      <c r="K23" s="13">
        <v>0.72</v>
      </c>
      <c r="L23" s="13">
        <v>0.74</v>
      </c>
      <c r="M23" s="13">
        <v>0.78</v>
      </c>
      <c r="N23" s="13">
        <v>0.73</v>
      </c>
      <c r="O23" s="13">
        <v>0.7</v>
      </c>
      <c r="P23" s="13">
        <v>0.69</v>
      </c>
      <c r="Q23" s="13">
        <v>0.74380000000000002</v>
      </c>
      <c r="R23" s="18" t="s">
        <v>25</v>
      </c>
      <c r="S23" s="18">
        <v>0</v>
      </c>
      <c r="T23" s="13" t="str">
        <f>IF(Table4_2[[#This Row],[Overall GPA]]&gt;=0.65,"Pass","Fail")</f>
        <v>Pass</v>
      </c>
    </row>
    <row r="24" spans="1:25" x14ac:dyDescent="0.3">
      <c r="A24" s="17" t="s">
        <v>108</v>
      </c>
      <c r="B24" s="17" t="s">
        <v>78</v>
      </c>
      <c r="C24" s="17" t="s">
        <v>43</v>
      </c>
      <c r="D24" s="13">
        <v>0.67</v>
      </c>
      <c r="E24" s="13">
        <v>0.76</v>
      </c>
      <c r="F24" s="13">
        <v>0.79</v>
      </c>
      <c r="G24" s="13">
        <v>0.8</v>
      </c>
      <c r="H24" s="13">
        <v>0.77</v>
      </c>
      <c r="I24" s="13">
        <v>0.73</v>
      </c>
      <c r="J24" s="13">
        <v>0.77</v>
      </c>
      <c r="K24" s="13">
        <v>0.65</v>
      </c>
      <c r="L24" s="13">
        <v>0.65</v>
      </c>
      <c r="M24" s="13">
        <v>0.73</v>
      </c>
      <c r="N24" s="13">
        <v>0.8</v>
      </c>
      <c r="O24" s="13">
        <v>0.67</v>
      </c>
      <c r="P24" s="13">
        <v>0.77</v>
      </c>
      <c r="Q24" s="13">
        <v>0.7430000000000001</v>
      </c>
      <c r="R24" s="18" t="s">
        <v>25</v>
      </c>
      <c r="S24" s="18">
        <v>1</v>
      </c>
      <c r="T24" s="13" t="str">
        <f>IF(Table4_2[[#This Row],[Overall GPA]]&gt;=0.65,"Pass","Fail")</f>
        <v>Pass</v>
      </c>
    </row>
    <row r="25" spans="1:25" x14ac:dyDescent="0.3">
      <c r="A25" s="17" t="s">
        <v>108</v>
      </c>
      <c r="B25" s="17" t="s">
        <v>89</v>
      </c>
      <c r="C25" s="17" t="s">
        <v>47</v>
      </c>
      <c r="D25" s="13">
        <v>0.72</v>
      </c>
      <c r="E25" s="13">
        <v>0.79</v>
      </c>
      <c r="F25" s="13">
        <v>0.71</v>
      </c>
      <c r="G25" s="13">
        <v>0.73</v>
      </c>
      <c r="H25" s="13">
        <v>0.8</v>
      </c>
      <c r="I25" s="13">
        <v>0.65</v>
      </c>
      <c r="J25" s="13">
        <v>0.66</v>
      </c>
      <c r="K25" s="13">
        <v>0.72</v>
      </c>
      <c r="L25" s="13">
        <v>0.69</v>
      </c>
      <c r="M25" s="13">
        <v>0.66</v>
      </c>
      <c r="N25" s="13">
        <v>0.72</v>
      </c>
      <c r="O25" s="13">
        <v>0.77</v>
      </c>
      <c r="P25" s="13">
        <v>0.76</v>
      </c>
      <c r="Q25" s="13">
        <v>0.7289000000000001</v>
      </c>
      <c r="R25" s="18" t="s">
        <v>25</v>
      </c>
      <c r="S25" s="18">
        <v>2</v>
      </c>
      <c r="T25" s="13" t="str">
        <f>IF(Table4_2[[#This Row],[Overall GPA]]&gt;=0.65,"Pass","Fail")</f>
        <v>Pass</v>
      </c>
    </row>
    <row r="26" spans="1:25" x14ac:dyDescent="0.3">
      <c r="A26" s="17" t="s">
        <v>108</v>
      </c>
      <c r="B26" s="17" t="s">
        <v>90</v>
      </c>
      <c r="C26" s="17" t="s">
        <v>49</v>
      </c>
      <c r="D26" s="13">
        <v>0.75</v>
      </c>
      <c r="E26" s="13">
        <v>0.72</v>
      </c>
      <c r="F26" s="13">
        <v>0.65</v>
      </c>
      <c r="G26" s="13">
        <v>0.75</v>
      </c>
      <c r="H26" s="13">
        <v>0.77</v>
      </c>
      <c r="I26" s="13">
        <v>0.71</v>
      </c>
      <c r="J26" s="13">
        <v>0.79</v>
      </c>
      <c r="K26" s="13">
        <v>0.77</v>
      </c>
      <c r="L26" s="13">
        <v>0.67</v>
      </c>
      <c r="M26" s="13">
        <v>0.75</v>
      </c>
      <c r="N26" s="13">
        <v>0.8</v>
      </c>
      <c r="O26" s="13">
        <v>0.73</v>
      </c>
      <c r="P26" s="13">
        <v>0.77</v>
      </c>
      <c r="Q26" s="13">
        <v>0.72730000000000006</v>
      </c>
      <c r="R26" s="18" t="s">
        <v>25</v>
      </c>
      <c r="S26" s="18">
        <v>0</v>
      </c>
      <c r="T26" s="13" t="str">
        <f>IF(Table4_2[[#This Row],[Overall GPA]]&gt;=0.65,"Pass","Fail")</f>
        <v>Pass</v>
      </c>
    </row>
    <row r="27" spans="1:25" x14ac:dyDescent="0.3">
      <c r="A27" s="17" t="s">
        <v>108</v>
      </c>
      <c r="B27" s="17" t="s">
        <v>84</v>
      </c>
      <c r="C27" s="17" t="s">
        <v>51</v>
      </c>
      <c r="D27" s="13">
        <v>0.72</v>
      </c>
      <c r="E27" s="13">
        <v>0.7</v>
      </c>
      <c r="F27" s="13">
        <v>0.73</v>
      </c>
      <c r="G27" s="13">
        <v>0.69</v>
      </c>
      <c r="H27" s="13">
        <v>0.67</v>
      </c>
      <c r="I27" s="13">
        <v>0.7</v>
      </c>
      <c r="J27" s="13">
        <v>0.8</v>
      </c>
      <c r="K27" s="13">
        <v>0.75</v>
      </c>
      <c r="L27" s="13">
        <v>0.76</v>
      </c>
      <c r="M27" s="13">
        <v>0.76</v>
      </c>
      <c r="N27" s="13">
        <v>0.66</v>
      </c>
      <c r="O27" s="13">
        <v>0.73</v>
      </c>
      <c r="P27" s="13">
        <v>0.75</v>
      </c>
      <c r="Q27" s="13">
        <v>0.72339999999999982</v>
      </c>
      <c r="R27" s="18" t="s">
        <v>25</v>
      </c>
      <c r="S27" s="18">
        <v>0</v>
      </c>
      <c r="T27" s="13" t="str">
        <f>IF(Table4_2[[#This Row],[Overall GPA]]&gt;=0.65,"Pass","Fail")</f>
        <v>Pass</v>
      </c>
    </row>
    <row r="28" spans="1:25" x14ac:dyDescent="0.3">
      <c r="A28" s="17" t="s">
        <v>108</v>
      </c>
      <c r="B28" s="17" t="s">
        <v>99</v>
      </c>
      <c r="C28" s="17" t="s">
        <v>65</v>
      </c>
      <c r="D28" s="13">
        <v>0.68</v>
      </c>
      <c r="E28" s="13">
        <v>0.71</v>
      </c>
      <c r="F28" s="13">
        <v>0.68</v>
      </c>
      <c r="G28" s="13">
        <v>0.8</v>
      </c>
      <c r="H28" s="13">
        <v>0.66</v>
      </c>
      <c r="I28" s="13">
        <v>0.67</v>
      </c>
      <c r="J28" s="13">
        <v>0.74</v>
      </c>
      <c r="K28" s="13">
        <v>0.68</v>
      </c>
      <c r="L28" s="13">
        <v>0.74</v>
      </c>
      <c r="M28" s="13">
        <v>0.67</v>
      </c>
      <c r="N28" s="13">
        <v>0.67</v>
      </c>
      <c r="O28" s="13">
        <v>0.76</v>
      </c>
      <c r="P28" s="13">
        <v>0.67</v>
      </c>
      <c r="Q28" s="13">
        <v>0.6958000000000002</v>
      </c>
      <c r="R28" s="18" t="s">
        <v>26</v>
      </c>
      <c r="S28" s="18">
        <v>1</v>
      </c>
      <c r="T28" s="13" t="str">
        <f>IF(Table4_2[[#This Row],[Overall GPA]]&gt;=0.65,"Pass","Fail")</f>
        <v>Pass</v>
      </c>
    </row>
    <row r="29" spans="1:25" x14ac:dyDescent="0.3">
      <c r="A29" s="17" t="s">
        <v>108</v>
      </c>
      <c r="B29" s="17" t="s">
        <v>100</v>
      </c>
      <c r="C29" s="17" t="s">
        <v>54</v>
      </c>
      <c r="D29" s="13">
        <v>0.65</v>
      </c>
      <c r="E29" s="13">
        <v>0.65</v>
      </c>
      <c r="F29" s="13">
        <v>0.68</v>
      </c>
      <c r="G29" s="13">
        <v>0.74</v>
      </c>
      <c r="H29" s="13">
        <v>0.65</v>
      </c>
      <c r="I29" s="13">
        <v>0.7</v>
      </c>
      <c r="J29" s="13">
        <v>0.77</v>
      </c>
      <c r="K29" s="13">
        <v>0.66</v>
      </c>
      <c r="L29" s="13">
        <v>0.68</v>
      </c>
      <c r="M29" s="13">
        <v>0.72</v>
      </c>
      <c r="N29" s="13">
        <v>0.66</v>
      </c>
      <c r="O29" s="13">
        <v>0.8</v>
      </c>
      <c r="P29" s="13">
        <v>0.76</v>
      </c>
      <c r="Q29" s="13">
        <v>0.69080000000000008</v>
      </c>
      <c r="R29" s="18" t="s">
        <v>26</v>
      </c>
      <c r="S29" s="18">
        <v>3</v>
      </c>
      <c r="T29" s="13" t="str">
        <f>IF(Table4_2[[#This Row],[Overall GPA]]&gt;=0.65,"Pass","Fail")</f>
        <v>Pass</v>
      </c>
    </row>
    <row r="30" spans="1:25" x14ac:dyDescent="0.3">
      <c r="A30" s="17" t="s">
        <v>108</v>
      </c>
      <c r="B30" s="17" t="s">
        <v>74</v>
      </c>
      <c r="C30" s="17" t="s">
        <v>62</v>
      </c>
      <c r="D30" s="13">
        <v>0.57999999999999996</v>
      </c>
      <c r="E30" s="13">
        <v>0.67</v>
      </c>
      <c r="F30" s="13">
        <v>0.68</v>
      </c>
      <c r="G30" s="13">
        <v>0.56999999999999995</v>
      </c>
      <c r="H30" s="13">
        <v>0.63</v>
      </c>
      <c r="I30" s="13">
        <v>0.7</v>
      </c>
      <c r="J30" s="13">
        <v>0.61</v>
      </c>
      <c r="K30" s="13">
        <v>0.66</v>
      </c>
      <c r="L30" s="13">
        <v>0.64</v>
      </c>
      <c r="M30" s="13">
        <v>0.69</v>
      </c>
      <c r="N30" s="13">
        <v>0.61</v>
      </c>
      <c r="O30" s="13">
        <v>0.65</v>
      </c>
      <c r="P30" s="13">
        <v>0.65</v>
      </c>
      <c r="Q30" s="13">
        <v>0.64399999999999991</v>
      </c>
      <c r="R30" s="18" t="s">
        <v>28</v>
      </c>
      <c r="S30" s="18">
        <v>2</v>
      </c>
      <c r="T30" s="13" t="str">
        <f>IF(Table4_2[[#This Row],[Overall GPA]]&gt;=0.65,"Pass","Fail")</f>
        <v>Fail</v>
      </c>
    </row>
    <row r="31" spans="1:25" x14ac:dyDescent="0.3">
      <c r="A31" s="17" t="s">
        <v>108</v>
      </c>
      <c r="B31" s="17" t="s">
        <v>95</v>
      </c>
      <c r="C31" s="17" t="s">
        <v>38</v>
      </c>
      <c r="D31" s="13">
        <v>0.65</v>
      </c>
      <c r="E31" s="13">
        <v>0.7</v>
      </c>
      <c r="F31" s="13">
        <v>0.69</v>
      </c>
      <c r="G31" s="13">
        <v>0.68</v>
      </c>
      <c r="H31" s="13">
        <v>0.69</v>
      </c>
      <c r="I31" s="13">
        <v>0.56999999999999995</v>
      </c>
      <c r="J31" s="13">
        <v>0.55000000000000004</v>
      </c>
      <c r="K31" s="13">
        <v>0.57999999999999996</v>
      </c>
      <c r="L31" s="13">
        <v>0.61</v>
      </c>
      <c r="M31" s="13">
        <v>0.56000000000000005</v>
      </c>
      <c r="N31" s="13">
        <v>0.56000000000000005</v>
      </c>
      <c r="O31" s="13">
        <v>0.65</v>
      </c>
      <c r="P31" s="13">
        <v>0.56999999999999995</v>
      </c>
      <c r="Q31" s="13">
        <v>0.64040000000000008</v>
      </c>
      <c r="R31" s="18" t="s">
        <v>28</v>
      </c>
      <c r="S31" s="18">
        <v>1</v>
      </c>
      <c r="T31" s="13" t="str">
        <f>IF(Table4_2[[#This Row],[Overall GPA]]&gt;=0.65,"Pass","Fail")</f>
        <v>Fail</v>
      </c>
    </row>
    <row r="32" spans="1:25" x14ac:dyDescent="0.3">
      <c r="A32" s="17" t="s">
        <v>108</v>
      </c>
      <c r="B32" s="17" t="s">
        <v>92</v>
      </c>
      <c r="C32" s="17" t="s">
        <v>63</v>
      </c>
      <c r="D32" s="13">
        <v>0.7</v>
      </c>
      <c r="E32" s="13">
        <v>0.57999999999999996</v>
      </c>
      <c r="F32" s="13">
        <v>0.55000000000000004</v>
      </c>
      <c r="G32" s="13">
        <v>0.62</v>
      </c>
      <c r="H32" s="13">
        <v>0.64</v>
      </c>
      <c r="I32" s="13">
        <v>0.62</v>
      </c>
      <c r="J32" s="13">
        <v>0.67</v>
      </c>
      <c r="K32" s="13">
        <v>0.64</v>
      </c>
      <c r="L32" s="13">
        <v>0.62</v>
      </c>
      <c r="M32" s="13">
        <v>0.68</v>
      </c>
      <c r="N32" s="13">
        <v>0.66</v>
      </c>
      <c r="O32" s="13">
        <v>0.55000000000000004</v>
      </c>
      <c r="P32" s="13">
        <v>0.68</v>
      </c>
      <c r="Q32" s="13">
        <v>0.62350000000000017</v>
      </c>
      <c r="R32" s="18" t="s">
        <v>29</v>
      </c>
      <c r="S32" s="18">
        <v>4</v>
      </c>
      <c r="T32" s="13" t="str">
        <f>IF(Table4_2[[#This Row],[Overall GPA]]&gt;=0.65,"Pass","Fail")</f>
        <v>Fail</v>
      </c>
    </row>
    <row r="33" spans="1:20" x14ac:dyDescent="0.3">
      <c r="A33" s="17" t="s">
        <v>108</v>
      </c>
      <c r="B33" s="17" t="s">
        <v>94</v>
      </c>
      <c r="C33" s="17" t="s">
        <v>67</v>
      </c>
      <c r="D33" s="13">
        <v>0.56999999999999995</v>
      </c>
      <c r="E33" s="13">
        <v>0.55000000000000004</v>
      </c>
      <c r="F33" s="13">
        <v>0.68</v>
      </c>
      <c r="G33" s="13">
        <v>0.69</v>
      </c>
      <c r="H33" s="13">
        <v>0.62</v>
      </c>
      <c r="I33" s="13">
        <v>0.66</v>
      </c>
      <c r="J33" s="13">
        <v>0.56999999999999995</v>
      </c>
      <c r="K33" s="13">
        <v>0.56999999999999995</v>
      </c>
      <c r="L33" s="13">
        <v>0.62</v>
      </c>
      <c r="M33" s="13">
        <v>0.7</v>
      </c>
      <c r="N33" s="13">
        <v>0.56000000000000005</v>
      </c>
      <c r="O33" s="13">
        <v>0.7</v>
      </c>
      <c r="P33" s="13">
        <v>0.56999999999999995</v>
      </c>
      <c r="Q33" s="13">
        <v>0.61399999999999988</v>
      </c>
      <c r="R33" s="18" t="s">
        <v>29</v>
      </c>
      <c r="S33" s="18">
        <v>2</v>
      </c>
      <c r="T33" s="13" t="str">
        <f>IF(Table4_2[[#This Row],[Overall GPA]]&gt;=0.65,"Pass","Fail")</f>
        <v>Fail</v>
      </c>
    </row>
    <row r="34" spans="1:20" x14ac:dyDescent="0.3">
      <c r="A34" s="17" t="s">
        <v>108</v>
      </c>
      <c r="B34" s="17" t="s">
        <v>77</v>
      </c>
      <c r="C34" s="17" t="s">
        <v>61</v>
      </c>
      <c r="D34" s="13">
        <v>0.55000000000000004</v>
      </c>
      <c r="E34" s="13">
        <v>0.65</v>
      </c>
      <c r="F34" s="13">
        <v>0.66</v>
      </c>
      <c r="G34" s="13">
        <v>0.57999999999999996</v>
      </c>
      <c r="H34" s="13">
        <v>0.59</v>
      </c>
      <c r="I34" s="13">
        <v>0.56000000000000005</v>
      </c>
      <c r="J34" s="13">
        <v>0.69</v>
      </c>
      <c r="K34" s="13">
        <v>0.65</v>
      </c>
      <c r="L34" s="13">
        <v>0.62</v>
      </c>
      <c r="M34" s="13">
        <v>0.56000000000000005</v>
      </c>
      <c r="N34" s="13">
        <v>0.56000000000000005</v>
      </c>
      <c r="O34" s="13">
        <v>0.64</v>
      </c>
      <c r="P34" s="13">
        <v>0.56000000000000005</v>
      </c>
      <c r="Q34" s="13">
        <v>0.61019999999999996</v>
      </c>
      <c r="R34" s="18" t="s">
        <v>29</v>
      </c>
      <c r="S34" s="18">
        <v>3</v>
      </c>
      <c r="T34" s="13" t="str">
        <f>IF(Table4_2[[#This Row],[Overall GPA]]&gt;=0.65,"Pass","Fail")</f>
        <v>Fail</v>
      </c>
    </row>
    <row r="35" spans="1:20" x14ac:dyDescent="0.3">
      <c r="A35" s="17" t="s">
        <v>108</v>
      </c>
      <c r="B35" s="17" t="s">
        <v>71</v>
      </c>
      <c r="C35" s="17" t="s">
        <v>59</v>
      </c>
      <c r="D35" s="13">
        <v>0.63</v>
      </c>
      <c r="E35" s="13">
        <v>0.56000000000000005</v>
      </c>
      <c r="F35" s="13">
        <v>0.56999999999999995</v>
      </c>
      <c r="G35" s="13">
        <v>0.55000000000000004</v>
      </c>
      <c r="H35" s="13">
        <v>0.67</v>
      </c>
      <c r="I35" s="13">
        <v>0.67</v>
      </c>
      <c r="J35" s="13">
        <v>0.66</v>
      </c>
      <c r="K35" s="13">
        <v>0.65</v>
      </c>
      <c r="L35" s="13">
        <v>0.67</v>
      </c>
      <c r="M35" s="13">
        <v>0.64</v>
      </c>
      <c r="N35" s="13">
        <v>0.62</v>
      </c>
      <c r="O35" s="13">
        <v>0.63</v>
      </c>
      <c r="P35" s="13">
        <v>0.57999999999999996</v>
      </c>
      <c r="Q35" s="13">
        <v>0.60640000000000005</v>
      </c>
      <c r="R35" s="18" t="s">
        <v>29</v>
      </c>
      <c r="S35" s="18">
        <v>5</v>
      </c>
      <c r="T35" s="13" t="str">
        <f>IF(Table4_2[[#This Row],[Overall GPA]]&gt;=0.65,"Pass","Fail")</f>
        <v>Fail</v>
      </c>
    </row>
    <row r="36" spans="1:20" x14ac:dyDescent="0.3">
      <c r="D36" s="2"/>
      <c r="E36" s="2"/>
      <c r="F36" s="2"/>
      <c r="G36" s="2"/>
      <c r="H36" s="2"/>
      <c r="I36" s="2"/>
      <c r="J36" s="2"/>
      <c r="K36" s="2"/>
      <c r="L36" s="2"/>
      <c r="M36" s="2"/>
      <c r="N36" s="2"/>
      <c r="O36" s="2"/>
      <c r="P36" s="2"/>
      <c r="Q36" s="2"/>
      <c r="R36" s="2"/>
      <c r="S36" s="18"/>
      <c r="T36" s="2"/>
    </row>
    <row r="37" spans="1:20" x14ac:dyDescent="0.3">
      <c r="D37" s="2"/>
      <c r="E37" s="2"/>
      <c r="F37" s="2"/>
      <c r="G37" s="2"/>
      <c r="H37" s="2"/>
      <c r="I37" s="2"/>
      <c r="J37" s="2"/>
      <c r="K37" s="2"/>
      <c r="L37" s="2"/>
      <c r="M37" s="2"/>
      <c r="N37" s="2"/>
      <c r="O37" s="2"/>
      <c r="P37" s="2"/>
      <c r="Q37" s="2"/>
      <c r="R37" s="2"/>
      <c r="S37" s="18"/>
      <c r="T37" s="2"/>
    </row>
    <row r="38" spans="1:20" x14ac:dyDescent="0.3">
      <c r="D38" s="2"/>
      <c r="E38" s="2"/>
      <c r="F38" s="2"/>
      <c r="G38" s="2"/>
      <c r="H38" s="2"/>
      <c r="I38" s="2"/>
      <c r="J38" s="2"/>
      <c r="K38" s="2"/>
      <c r="L38" s="2"/>
      <c r="M38" s="2"/>
      <c r="N38" s="2"/>
      <c r="O38" s="2"/>
      <c r="P38" s="2"/>
      <c r="Q38" s="2"/>
      <c r="R38" s="2"/>
      <c r="S38" s="18"/>
      <c r="T38" s="2"/>
    </row>
    <row r="39" spans="1:20" x14ac:dyDescent="0.3">
      <c r="D39" s="2"/>
      <c r="E39" s="2"/>
      <c r="F39" s="2"/>
      <c r="G39" s="2"/>
      <c r="H39" s="2"/>
      <c r="I39" s="2"/>
      <c r="J39" s="2"/>
      <c r="K39" s="2"/>
      <c r="L39" s="2"/>
      <c r="M39" s="2"/>
      <c r="N39" s="2"/>
      <c r="O39" s="2"/>
      <c r="P39" s="2"/>
      <c r="Q39" s="2"/>
      <c r="R39" s="2"/>
      <c r="S39" s="18"/>
      <c r="T39" s="2"/>
    </row>
    <row r="40" spans="1:20" x14ac:dyDescent="0.3">
      <c r="D40" s="2"/>
      <c r="E40" s="2"/>
      <c r="F40" s="2"/>
      <c r="G40" s="2"/>
      <c r="H40" s="2"/>
      <c r="I40" s="2"/>
      <c r="J40" s="2"/>
      <c r="K40" s="2"/>
      <c r="L40" s="2"/>
      <c r="M40" s="2"/>
      <c r="N40" s="2"/>
      <c r="O40" s="2"/>
      <c r="P40" s="2"/>
      <c r="Q40" s="2"/>
      <c r="R40" s="2"/>
      <c r="S40" s="18"/>
      <c r="T40" s="2"/>
    </row>
    <row r="41" spans="1:20" x14ac:dyDescent="0.3">
      <c r="D41" s="2"/>
      <c r="E41" s="2"/>
      <c r="F41" s="2"/>
      <c r="G41" s="2"/>
      <c r="H41" s="2"/>
      <c r="I41" s="2"/>
      <c r="J41" s="2"/>
      <c r="K41" s="2"/>
      <c r="L41" s="2"/>
      <c r="M41" s="2"/>
      <c r="N41" s="2"/>
      <c r="O41" s="2"/>
      <c r="P41" s="2"/>
      <c r="Q41" s="2"/>
      <c r="R41" s="2"/>
      <c r="S41" s="18"/>
      <c r="T41" s="2"/>
    </row>
    <row r="42" spans="1:20" x14ac:dyDescent="0.3">
      <c r="D42" s="2"/>
      <c r="E42" s="2"/>
      <c r="F42" s="2"/>
      <c r="G42" s="2"/>
      <c r="H42" s="2"/>
      <c r="I42" s="2"/>
      <c r="J42" s="2"/>
      <c r="K42" s="2"/>
      <c r="L42" s="2"/>
      <c r="M42" s="2"/>
      <c r="N42" s="2"/>
      <c r="O42" s="2"/>
      <c r="P42" s="2"/>
      <c r="Q42" s="2"/>
      <c r="R42" s="2"/>
      <c r="S42" s="18"/>
      <c r="T42" s="2"/>
    </row>
    <row r="43" spans="1:20" x14ac:dyDescent="0.3">
      <c r="D43" s="2"/>
      <c r="E43" s="2"/>
      <c r="F43" s="2"/>
      <c r="G43" s="2"/>
      <c r="H43" s="2"/>
      <c r="I43" s="2"/>
      <c r="J43" s="2"/>
      <c r="K43" s="2"/>
      <c r="L43" s="2"/>
      <c r="M43" s="2"/>
      <c r="N43" s="2"/>
      <c r="O43" s="2"/>
      <c r="P43" s="2"/>
      <c r="Q43" s="2"/>
      <c r="R43" s="2"/>
      <c r="S43" s="18"/>
      <c r="T43" s="2"/>
    </row>
    <row r="44" spans="1:20" x14ac:dyDescent="0.3">
      <c r="D44" s="2"/>
      <c r="E44" s="2"/>
      <c r="F44" s="2"/>
      <c r="G44" s="2"/>
      <c r="H44" s="2"/>
      <c r="I44" s="2"/>
      <c r="J44" s="2"/>
      <c r="K44" s="2"/>
      <c r="L44" s="2"/>
      <c r="M44" s="2"/>
      <c r="N44" s="2"/>
      <c r="O44" s="2"/>
      <c r="P44" s="2"/>
      <c r="Q44" s="2"/>
      <c r="R44" s="2"/>
      <c r="S44" s="18"/>
      <c r="T44" s="2"/>
    </row>
    <row r="45" spans="1:20" x14ac:dyDescent="0.3">
      <c r="D45" s="2"/>
      <c r="E45" s="2"/>
      <c r="F45" s="2"/>
      <c r="G45" s="2"/>
      <c r="H45" s="2"/>
      <c r="I45" s="2"/>
      <c r="J45" s="2"/>
      <c r="K45" s="2"/>
      <c r="L45" s="2"/>
      <c r="M45" s="2"/>
      <c r="N45" s="2"/>
      <c r="O45" s="2"/>
      <c r="P45" s="2"/>
      <c r="Q45" s="2"/>
      <c r="R45" s="2"/>
      <c r="S45" s="18"/>
      <c r="T45" s="2"/>
    </row>
    <row r="46" spans="1:20" x14ac:dyDescent="0.3">
      <c r="D46" s="2"/>
      <c r="E46" s="2"/>
      <c r="F46" s="2"/>
      <c r="G46" s="2"/>
      <c r="H46" s="2"/>
      <c r="I46" s="2"/>
      <c r="J46" s="2"/>
      <c r="K46" s="2"/>
      <c r="L46" s="2"/>
      <c r="M46" s="2"/>
      <c r="N46" s="2"/>
      <c r="O46" s="2"/>
      <c r="P46" s="2"/>
      <c r="Q46" s="2"/>
      <c r="R46" s="2"/>
      <c r="S46" s="18"/>
      <c r="T46" s="2"/>
    </row>
    <row r="47" spans="1:20" x14ac:dyDescent="0.3">
      <c r="D47" s="2"/>
      <c r="E47" s="2"/>
      <c r="F47" s="2"/>
      <c r="G47" s="2"/>
      <c r="H47" s="2"/>
      <c r="I47" s="2"/>
      <c r="J47" s="2"/>
      <c r="K47" s="2"/>
      <c r="L47" s="2"/>
      <c r="M47" s="2"/>
      <c r="N47" s="2"/>
      <c r="O47" s="2"/>
      <c r="P47" s="2"/>
      <c r="Q47" s="2"/>
      <c r="R47" s="2"/>
      <c r="S47" s="18"/>
      <c r="T47" s="2"/>
    </row>
    <row r="48" spans="1:20" x14ac:dyDescent="0.3">
      <c r="D48" s="2"/>
      <c r="E48" s="2"/>
      <c r="F48" s="2"/>
      <c r="G48" s="2"/>
      <c r="H48" s="2"/>
      <c r="I48" s="2"/>
      <c r="J48" s="2"/>
      <c r="K48" s="2"/>
      <c r="L48" s="2"/>
      <c r="M48" s="2"/>
      <c r="N48" s="2"/>
      <c r="O48" s="2"/>
      <c r="P48" s="2"/>
      <c r="Q48" s="2"/>
      <c r="R48" s="2"/>
      <c r="S48" s="18"/>
      <c r="T48" s="2"/>
    </row>
    <row r="49" spans="4:20" x14ac:dyDescent="0.3">
      <c r="D49" s="2"/>
      <c r="E49" s="2"/>
      <c r="F49" s="2"/>
      <c r="G49" s="2"/>
      <c r="H49" s="2"/>
      <c r="I49" s="2"/>
      <c r="J49" s="2"/>
      <c r="K49" s="2"/>
      <c r="L49" s="2"/>
      <c r="M49" s="2"/>
      <c r="N49" s="2"/>
      <c r="O49" s="2"/>
      <c r="P49" s="2"/>
      <c r="Q49" s="2"/>
      <c r="R49" s="2"/>
      <c r="S49" s="18"/>
      <c r="T49" s="2"/>
    </row>
    <row r="50" spans="4:20" x14ac:dyDescent="0.3">
      <c r="D50" s="2"/>
      <c r="E50" s="2"/>
      <c r="F50" s="2"/>
      <c r="G50" s="2"/>
      <c r="H50" s="2"/>
      <c r="I50" s="2"/>
      <c r="J50" s="2"/>
      <c r="K50" s="2"/>
      <c r="L50" s="2"/>
      <c r="M50" s="2"/>
      <c r="N50" s="2"/>
      <c r="O50" s="2"/>
      <c r="P50" s="2"/>
      <c r="Q50" s="2"/>
      <c r="R50" s="2"/>
      <c r="S50" s="18"/>
      <c r="T50" s="2"/>
    </row>
    <row r="51" spans="4:20" x14ac:dyDescent="0.3">
      <c r="D51" s="2"/>
      <c r="E51" s="2"/>
      <c r="F51" s="2"/>
      <c r="G51" s="2"/>
      <c r="H51" s="2"/>
      <c r="I51" s="2"/>
      <c r="J51" s="2"/>
      <c r="K51" s="2"/>
      <c r="L51" s="2"/>
      <c r="M51" s="2"/>
      <c r="N51" s="2"/>
      <c r="O51" s="2"/>
      <c r="P51" s="2"/>
      <c r="Q51" s="2"/>
      <c r="R51" s="2"/>
      <c r="S51" s="18"/>
      <c r="T51" s="2"/>
    </row>
    <row r="52" spans="4:20" x14ac:dyDescent="0.3">
      <c r="D52" s="2"/>
      <c r="E52" s="2"/>
      <c r="F52" s="2"/>
      <c r="G52" s="2"/>
      <c r="H52" s="2"/>
      <c r="I52" s="2"/>
      <c r="J52" s="2"/>
      <c r="K52" s="2"/>
      <c r="L52" s="2"/>
      <c r="M52" s="2"/>
      <c r="N52" s="2"/>
      <c r="O52" s="2"/>
      <c r="P52" s="2"/>
      <c r="Q52" s="2"/>
      <c r="R52" s="2"/>
      <c r="S52" s="18"/>
      <c r="T52" s="2"/>
    </row>
    <row r="53" spans="4:20" x14ac:dyDescent="0.3">
      <c r="D53" s="2"/>
      <c r="E53" s="2"/>
      <c r="F53" s="2"/>
      <c r="G53" s="2"/>
      <c r="H53" s="2"/>
      <c r="I53" s="2"/>
      <c r="J53" s="2"/>
      <c r="K53" s="2"/>
      <c r="L53" s="2"/>
      <c r="M53" s="2"/>
      <c r="N53" s="2"/>
      <c r="O53" s="2"/>
      <c r="P53" s="2"/>
      <c r="Q53" s="2"/>
      <c r="R53" s="2"/>
      <c r="S53" s="18"/>
      <c r="T53" s="2"/>
    </row>
    <row r="54" spans="4:20" x14ac:dyDescent="0.3">
      <c r="D54" s="2"/>
      <c r="E54" s="2"/>
      <c r="F54" s="2"/>
      <c r="G54" s="2"/>
      <c r="H54" s="2"/>
      <c r="I54" s="2"/>
      <c r="J54" s="2"/>
      <c r="K54" s="2"/>
      <c r="L54" s="2"/>
      <c r="M54" s="2"/>
      <c r="N54" s="2"/>
      <c r="O54" s="2"/>
      <c r="P54" s="2"/>
      <c r="Q54" s="2"/>
      <c r="R54" s="2"/>
      <c r="S54" s="18"/>
      <c r="T54" s="2"/>
    </row>
    <row r="55" spans="4:20" x14ac:dyDescent="0.3">
      <c r="D55" s="2"/>
      <c r="E55" s="2"/>
      <c r="F55" s="2"/>
      <c r="G55" s="2"/>
      <c r="H55" s="2"/>
      <c r="I55" s="2"/>
      <c r="J55" s="2"/>
      <c r="K55" s="2"/>
      <c r="L55" s="2"/>
      <c r="M55" s="2"/>
      <c r="N55" s="2"/>
      <c r="O55" s="2"/>
      <c r="P55" s="2"/>
      <c r="Q55" s="2"/>
      <c r="R55" s="2"/>
      <c r="S55" s="18"/>
      <c r="T55" s="2"/>
    </row>
    <row r="56" spans="4:20" x14ac:dyDescent="0.3">
      <c r="D56" s="2"/>
      <c r="E56" s="2"/>
      <c r="F56" s="2"/>
      <c r="G56" s="2"/>
      <c r="H56" s="2"/>
      <c r="I56" s="2"/>
      <c r="J56" s="2"/>
      <c r="K56" s="2"/>
      <c r="L56" s="2"/>
      <c r="M56" s="2"/>
      <c r="N56" s="2"/>
      <c r="O56" s="2"/>
      <c r="P56" s="2"/>
      <c r="Q56" s="2"/>
      <c r="R56" s="2"/>
      <c r="S56" s="18"/>
      <c r="T56" s="2"/>
    </row>
    <row r="57" spans="4:20" x14ac:dyDescent="0.3">
      <c r="D57" s="2"/>
      <c r="E57" s="2"/>
      <c r="F57" s="2"/>
      <c r="G57" s="2"/>
      <c r="H57" s="2"/>
      <c r="I57" s="2"/>
      <c r="J57" s="2"/>
      <c r="K57" s="2"/>
      <c r="L57" s="2"/>
      <c r="M57" s="2"/>
      <c r="N57" s="2"/>
      <c r="O57" s="2"/>
      <c r="P57" s="2"/>
      <c r="Q57" s="2"/>
      <c r="R57" s="2"/>
      <c r="S57" s="18"/>
      <c r="T57" s="2"/>
    </row>
    <row r="58" spans="4:20" x14ac:dyDescent="0.3">
      <c r="D58" s="2"/>
      <c r="E58" s="2"/>
      <c r="F58" s="2"/>
      <c r="G58" s="2"/>
      <c r="H58" s="2"/>
      <c r="I58" s="2"/>
      <c r="J58" s="2"/>
      <c r="K58" s="2"/>
      <c r="L58" s="2"/>
      <c r="M58" s="2"/>
      <c r="N58" s="2"/>
      <c r="O58" s="2"/>
      <c r="P58" s="2"/>
      <c r="Q58" s="2"/>
      <c r="R58" s="2"/>
      <c r="S58" s="18"/>
      <c r="T58" s="2"/>
    </row>
    <row r="59" spans="4:20" x14ac:dyDescent="0.3">
      <c r="D59" s="2"/>
      <c r="E59" s="2"/>
      <c r="F59" s="2"/>
      <c r="G59" s="2"/>
      <c r="H59" s="2"/>
      <c r="I59" s="2"/>
      <c r="J59" s="2"/>
      <c r="K59" s="2"/>
      <c r="L59" s="2"/>
      <c r="M59" s="2"/>
      <c r="N59" s="2"/>
      <c r="O59" s="2"/>
      <c r="P59" s="2"/>
      <c r="Q59" s="2"/>
      <c r="R59" s="2"/>
      <c r="S59" s="18"/>
      <c r="T59" s="2"/>
    </row>
    <row r="60" spans="4:20" x14ac:dyDescent="0.3">
      <c r="D60" s="2"/>
      <c r="E60" s="2"/>
      <c r="F60" s="2"/>
      <c r="G60" s="2"/>
      <c r="H60" s="2"/>
      <c r="I60" s="2"/>
      <c r="J60" s="2"/>
      <c r="K60" s="2"/>
      <c r="L60" s="2"/>
      <c r="M60" s="2"/>
      <c r="N60" s="2"/>
      <c r="O60" s="2"/>
      <c r="P60" s="2"/>
      <c r="Q60" s="2"/>
      <c r="R60" s="2"/>
      <c r="S60" s="18"/>
      <c r="T60" s="2"/>
    </row>
    <row r="61" spans="4:20" x14ac:dyDescent="0.3">
      <c r="D61" s="2"/>
      <c r="E61" s="2"/>
      <c r="F61" s="2"/>
      <c r="G61" s="2"/>
      <c r="H61" s="2"/>
      <c r="I61" s="2"/>
      <c r="J61" s="2"/>
      <c r="K61" s="2"/>
      <c r="L61" s="2"/>
      <c r="M61" s="2"/>
      <c r="N61" s="2"/>
      <c r="O61" s="2"/>
      <c r="P61" s="2"/>
      <c r="Q61" s="2"/>
      <c r="R61" s="2"/>
      <c r="S61" s="18"/>
      <c r="T61" s="2"/>
    </row>
    <row r="62" spans="4:20" x14ac:dyDescent="0.3">
      <c r="D62" s="2"/>
      <c r="E62" s="2"/>
      <c r="F62" s="2"/>
      <c r="G62" s="2"/>
      <c r="H62" s="2"/>
      <c r="I62" s="2"/>
      <c r="J62" s="2"/>
      <c r="K62" s="2"/>
      <c r="L62" s="2"/>
      <c r="M62" s="2"/>
      <c r="N62" s="2"/>
      <c r="O62" s="2"/>
      <c r="P62" s="2"/>
      <c r="Q62" s="2"/>
      <c r="R62" s="2"/>
      <c r="S62" s="18"/>
      <c r="T62" s="2"/>
    </row>
    <row r="63" spans="4:20" x14ac:dyDescent="0.3">
      <c r="D63" s="2"/>
      <c r="E63" s="2"/>
      <c r="F63" s="2"/>
      <c r="G63" s="2"/>
      <c r="H63" s="2"/>
      <c r="I63" s="2"/>
      <c r="J63" s="2"/>
      <c r="K63" s="2"/>
      <c r="L63" s="2"/>
      <c r="M63" s="2"/>
      <c r="N63" s="2"/>
      <c r="O63" s="2"/>
      <c r="P63" s="2"/>
      <c r="Q63" s="2"/>
      <c r="R63" s="2"/>
      <c r="S63" s="18"/>
      <c r="T63" s="2"/>
    </row>
    <row r="64" spans="4:20" x14ac:dyDescent="0.3">
      <c r="D64" s="2"/>
      <c r="E64" s="2"/>
      <c r="F64" s="2"/>
      <c r="G64" s="2"/>
      <c r="H64" s="2"/>
      <c r="I64" s="2"/>
      <c r="J64" s="2"/>
      <c r="K64" s="2"/>
      <c r="L64" s="2"/>
      <c r="M64" s="2"/>
      <c r="N64" s="2"/>
      <c r="O64" s="2"/>
      <c r="P64" s="2"/>
      <c r="Q64" s="2"/>
      <c r="R64" s="2"/>
      <c r="S64" s="18"/>
      <c r="T64" s="2"/>
    </row>
    <row r="65" spans="4:20" x14ac:dyDescent="0.3">
      <c r="D65" s="2"/>
      <c r="E65" s="2"/>
      <c r="F65" s="2"/>
      <c r="G65" s="2"/>
      <c r="H65" s="2"/>
      <c r="I65" s="2"/>
      <c r="J65" s="2"/>
      <c r="K65" s="2"/>
      <c r="L65" s="2"/>
      <c r="M65" s="2"/>
      <c r="N65" s="2"/>
      <c r="O65" s="2"/>
      <c r="P65" s="2"/>
      <c r="Q65" s="2"/>
      <c r="R65" s="2"/>
      <c r="S65" s="18"/>
      <c r="T65" s="2"/>
    </row>
    <row r="66" spans="4:20" x14ac:dyDescent="0.3">
      <c r="D66" s="2"/>
      <c r="E66" s="2"/>
      <c r="F66" s="2"/>
      <c r="G66" s="2"/>
      <c r="H66" s="2"/>
      <c r="I66" s="2"/>
      <c r="J66" s="2"/>
      <c r="K66" s="2"/>
      <c r="L66" s="2"/>
      <c r="M66" s="2"/>
      <c r="N66" s="2"/>
      <c r="O66" s="2"/>
      <c r="P66" s="2"/>
      <c r="Q66" s="2"/>
      <c r="R66" s="2"/>
      <c r="S66" s="18"/>
      <c r="T66" s="2"/>
    </row>
    <row r="67" spans="4:20" x14ac:dyDescent="0.3">
      <c r="D67" s="2"/>
      <c r="E67" s="2"/>
      <c r="F67" s="2"/>
      <c r="G67" s="2"/>
      <c r="H67" s="2"/>
      <c r="I67" s="2"/>
      <c r="J67" s="2"/>
      <c r="K67" s="2"/>
      <c r="L67" s="2"/>
      <c r="M67" s="2"/>
      <c r="N67" s="2"/>
      <c r="O67" s="2"/>
      <c r="P67" s="2"/>
      <c r="Q67" s="2"/>
      <c r="R67" s="2"/>
      <c r="S67" s="18"/>
      <c r="T67" s="2"/>
    </row>
    <row r="68" spans="4:20" x14ac:dyDescent="0.3">
      <c r="D68" s="2"/>
      <c r="E68" s="2"/>
      <c r="F68" s="2"/>
      <c r="G68" s="2"/>
      <c r="H68" s="2"/>
      <c r="I68" s="2"/>
      <c r="J68" s="2"/>
      <c r="K68" s="2"/>
      <c r="L68" s="2"/>
      <c r="M68" s="2"/>
      <c r="N68" s="2"/>
      <c r="O68" s="2"/>
      <c r="P68" s="2"/>
      <c r="Q68" s="2"/>
      <c r="R68" s="2"/>
      <c r="S68" s="18"/>
      <c r="T68" s="2"/>
    </row>
    <row r="69" spans="4:20" x14ac:dyDescent="0.3">
      <c r="D69" s="2"/>
      <c r="E69" s="2"/>
      <c r="F69" s="2"/>
      <c r="G69" s="2"/>
      <c r="H69" s="2"/>
      <c r="I69" s="2"/>
      <c r="J69" s="2"/>
      <c r="K69" s="2"/>
      <c r="L69" s="2"/>
      <c r="M69" s="2"/>
      <c r="N69" s="2"/>
      <c r="O69" s="2"/>
      <c r="P69" s="2"/>
      <c r="Q69" s="2"/>
      <c r="R69" s="2"/>
      <c r="S69" s="18"/>
      <c r="T69" s="2"/>
    </row>
    <row r="70" spans="4:20" x14ac:dyDescent="0.3">
      <c r="D70" s="2"/>
      <c r="E70" s="2"/>
      <c r="F70" s="2"/>
      <c r="G70" s="2"/>
      <c r="H70" s="2"/>
      <c r="I70" s="2"/>
      <c r="J70" s="2"/>
      <c r="K70" s="2"/>
      <c r="L70" s="2"/>
      <c r="M70" s="2"/>
      <c r="N70" s="2"/>
      <c r="O70" s="2"/>
      <c r="P70" s="2"/>
      <c r="Q70" s="2"/>
      <c r="R70" s="2"/>
      <c r="S70" s="18"/>
      <c r="T70" s="2"/>
    </row>
    <row r="71" spans="4:20" x14ac:dyDescent="0.3">
      <c r="D71" s="2"/>
      <c r="E71" s="2"/>
      <c r="F71" s="2"/>
      <c r="G71" s="2"/>
      <c r="H71" s="2"/>
      <c r="I71" s="2"/>
      <c r="J71" s="2"/>
      <c r="K71" s="2"/>
      <c r="L71" s="2"/>
      <c r="M71" s="2"/>
      <c r="N71" s="2"/>
      <c r="O71" s="2"/>
      <c r="P71" s="2"/>
      <c r="Q71" s="2"/>
      <c r="R71" s="2"/>
      <c r="S71" s="18"/>
      <c r="T71" s="2"/>
    </row>
    <row r="72" spans="4:20" x14ac:dyDescent="0.3">
      <c r="D72" s="2"/>
      <c r="E72" s="2"/>
      <c r="F72" s="2"/>
      <c r="G72" s="2"/>
      <c r="H72" s="2"/>
      <c r="I72" s="2"/>
      <c r="J72" s="2"/>
      <c r="K72" s="2"/>
      <c r="L72" s="2"/>
      <c r="M72" s="2"/>
      <c r="N72" s="2"/>
      <c r="O72" s="2"/>
      <c r="P72" s="2"/>
      <c r="Q72" s="2"/>
      <c r="R72" s="2"/>
      <c r="S72" s="18"/>
      <c r="T72" s="2"/>
    </row>
    <row r="73" spans="4:20" x14ac:dyDescent="0.3">
      <c r="D73" s="2"/>
      <c r="E73" s="2"/>
      <c r="F73" s="2"/>
      <c r="G73" s="2"/>
      <c r="H73" s="2"/>
      <c r="I73" s="2"/>
      <c r="J73" s="2"/>
      <c r="K73" s="2"/>
      <c r="L73" s="2"/>
      <c r="M73" s="2"/>
      <c r="N73" s="2"/>
      <c r="O73" s="2"/>
      <c r="P73" s="2"/>
      <c r="Q73" s="2"/>
      <c r="R73" s="2"/>
      <c r="S73" s="18"/>
      <c r="T73" s="2"/>
    </row>
    <row r="74" spans="4:20" x14ac:dyDescent="0.3">
      <c r="D74" s="2"/>
      <c r="E74" s="2"/>
      <c r="F74" s="2"/>
      <c r="G74" s="2"/>
      <c r="H74" s="2"/>
      <c r="I74" s="2"/>
      <c r="J74" s="2"/>
      <c r="K74" s="2"/>
      <c r="L74" s="2"/>
      <c r="M74" s="2"/>
      <c r="N74" s="2"/>
      <c r="O74" s="2"/>
      <c r="P74" s="2"/>
      <c r="Q74" s="2"/>
      <c r="R74" s="2"/>
      <c r="S74" s="18"/>
      <c r="T74" s="2"/>
    </row>
    <row r="75" spans="4:20" x14ac:dyDescent="0.3">
      <c r="D75" s="2"/>
      <c r="E75" s="2"/>
      <c r="F75" s="2"/>
      <c r="G75" s="2"/>
      <c r="H75" s="2"/>
      <c r="I75" s="2"/>
      <c r="J75" s="2"/>
      <c r="K75" s="2"/>
      <c r="L75" s="2"/>
      <c r="M75" s="2"/>
      <c r="N75" s="2"/>
      <c r="O75" s="2"/>
      <c r="P75" s="2"/>
      <c r="Q75" s="2"/>
      <c r="R75" s="2"/>
      <c r="S75" s="18"/>
      <c r="T75" s="2"/>
    </row>
    <row r="76" spans="4:20" x14ac:dyDescent="0.3">
      <c r="D76" s="2"/>
      <c r="E76" s="2"/>
      <c r="F76" s="2"/>
      <c r="G76" s="2"/>
      <c r="H76" s="2"/>
      <c r="I76" s="2"/>
      <c r="J76" s="2"/>
      <c r="K76" s="2"/>
      <c r="L76" s="2"/>
      <c r="M76" s="2"/>
      <c r="N76" s="2"/>
      <c r="O76" s="2"/>
      <c r="P76" s="2"/>
      <c r="Q76" s="2"/>
      <c r="R76" s="2"/>
      <c r="S76" s="18"/>
      <c r="T76" s="2"/>
    </row>
    <row r="77" spans="4:20" x14ac:dyDescent="0.3">
      <c r="D77" s="2"/>
      <c r="E77" s="2"/>
      <c r="F77" s="2"/>
      <c r="G77" s="2"/>
      <c r="H77" s="2"/>
      <c r="I77" s="2"/>
      <c r="J77" s="2"/>
      <c r="K77" s="2"/>
      <c r="L77" s="2"/>
      <c r="M77" s="2"/>
      <c r="N77" s="2"/>
      <c r="O77" s="2"/>
      <c r="P77" s="2"/>
      <c r="Q77" s="2"/>
      <c r="R77" s="2"/>
      <c r="S77" s="18"/>
      <c r="T77" s="2"/>
    </row>
    <row r="78" spans="4:20" x14ac:dyDescent="0.3">
      <c r="D78" s="2"/>
      <c r="E78" s="2"/>
      <c r="F78" s="2"/>
      <c r="G78" s="2"/>
      <c r="H78" s="2"/>
      <c r="I78" s="2"/>
      <c r="J78" s="2"/>
      <c r="K78" s="2"/>
      <c r="L78" s="2"/>
      <c r="M78" s="2"/>
      <c r="N78" s="2"/>
      <c r="O78" s="2"/>
      <c r="P78" s="2"/>
      <c r="Q78" s="2"/>
      <c r="R78" s="2"/>
      <c r="S78" s="18"/>
      <c r="T78" s="2"/>
    </row>
    <row r="79" spans="4:20" x14ac:dyDescent="0.3">
      <c r="D79" s="2"/>
      <c r="E79" s="2"/>
      <c r="F79" s="2"/>
      <c r="G79" s="2"/>
      <c r="H79" s="2"/>
      <c r="I79" s="2"/>
      <c r="J79" s="2"/>
      <c r="K79" s="2"/>
      <c r="L79" s="2"/>
      <c r="M79" s="2"/>
      <c r="N79" s="2"/>
      <c r="O79" s="2"/>
      <c r="P79" s="2"/>
      <c r="Q79" s="2"/>
      <c r="R79" s="2"/>
      <c r="S79" s="18"/>
      <c r="T79" s="2"/>
    </row>
    <row r="80" spans="4:20" x14ac:dyDescent="0.3">
      <c r="D80" s="2"/>
      <c r="E80" s="2"/>
      <c r="F80" s="2"/>
      <c r="G80" s="2"/>
      <c r="H80" s="2"/>
      <c r="I80" s="2"/>
      <c r="J80" s="2"/>
      <c r="K80" s="2"/>
      <c r="L80" s="2"/>
      <c r="M80" s="2"/>
      <c r="N80" s="2"/>
      <c r="O80" s="2"/>
      <c r="P80" s="2"/>
      <c r="Q80" s="2"/>
      <c r="R80" s="2"/>
      <c r="S80" s="18"/>
      <c r="T80" s="2"/>
    </row>
    <row r="81" spans="4:20" x14ac:dyDescent="0.3">
      <c r="D81" s="2"/>
      <c r="E81" s="2"/>
      <c r="F81" s="2"/>
      <c r="G81" s="2"/>
      <c r="H81" s="2"/>
      <c r="I81" s="2"/>
      <c r="J81" s="2"/>
      <c r="K81" s="2"/>
      <c r="L81" s="2"/>
      <c r="M81" s="2"/>
      <c r="N81" s="2"/>
      <c r="O81" s="2"/>
      <c r="P81" s="2"/>
      <c r="Q81" s="2"/>
      <c r="R81" s="2"/>
      <c r="S81" s="18"/>
      <c r="T81" s="2"/>
    </row>
    <row r="82" spans="4:20" x14ac:dyDescent="0.3">
      <c r="D82" s="2"/>
      <c r="E82" s="2"/>
      <c r="F82" s="2"/>
      <c r="G82" s="2"/>
      <c r="H82" s="2"/>
      <c r="I82" s="2"/>
      <c r="J82" s="2"/>
      <c r="K82" s="2"/>
      <c r="L82" s="2"/>
      <c r="M82" s="2"/>
      <c r="N82" s="2"/>
      <c r="O82" s="2"/>
      <c r="P82" s="2"/>
      <c r="Q82" s="2"/>
      <c r="R82" s="2"/>
      <c r="S82" s="18"/>
      <c r="T82" s="2"/>
    </row>
    <row r="83" spans="4:20" x14ac:dyDescent="0.3">
      <c r="D83" s="2"/>
      <c r="E83" s="2"/>
      <c r="F83" s="2"/>
      <c r="G83" s="2"/>
      <c r="H83" s="2"/>
      <c r="I83" s="2"/>
      <c r="J83" s="2"/>
      <c r="K83" s="2"/>
      <c r="L83" s="2"/>
      <c r="M83" s="2"/>
      <c r="N83" s="2"/>
      <c r="O83" s="2"/>
      <c r="P83" s="2"/>
      <c r="Q83" s="2"/>
      <c r="R83" s="2"/>
      <c r="S83" s="18"/>
      <c r="T83" s="2"/>
    </row>
    <row r="84" spans="4:20" x14ac:dyDescent="0.3">
      <c r="D84" s="2"/>
      <c r="E84" s="2"/>
      <c r="F84" s="2"/>
      <c r="G84" s="2"/>
      <c r="H84" s="2"/>
      <c r="I84" s="2"/>
      <c r="J84" s="2"/>
      <c r="K84" s="2"/>
      <c r="L84" s="2"/>
      <c r="M84" s="2"/>
      <c r="N84" s="2"/>
      <c r="O84" s="2"/>
      <c r="P84" s="2"/>
      <c r="Q84" s="2"/>
      <c r="R84" s="2"/>
      <c r="S84" s="18"/>
      <c r="T84" s="2"/>
    </row>
    <row r="85" spans="4:20" x14ac:dyDescent="0.3">
      <c r="D85" s="2"/>
      <c r="E85" s="2"/>
      <c r="F85" s="2"/>
      <c r="G85" s="2"/>
      <c r="H85" s="2"/>
      <c r="I85" s="2"/>
      <c r="J85" s="2"/>
      <c r="K85" s="2"/>
      <c r="L85" s="2"/>
      <c r="M85" s="2"/>
      <c r="N85" s="2"/>
      <c r="O85" s="2"/>
      <c r="P85" s="2"/>
      <c r="Q85" s="2"/>
      <c r="R85" s="2"/>
      <c r="S85" s="18"/>
      <c r="T85" s="2"/>
    </row>
    <row r="86" spans="4:20" x14ac:dyDescent="0.3">
      <c r="D86" s="2"/>
      <c r="E86" s="2"/>
      <c r="F86" s="2"/>
      <c r="G86" s="2"/>
      <c r="H86" s="2"/>
      <c r="I86" s="2"/>
      <c r="J86" s="2"/>
      <c r="K86" s="2"/>
      <c r="L86" s="2"/>
      <c r="M86" s="2"/>
      <c r="N86" s="2"/>
      <c r="O86" s="2"/>
      <c r="P86" s="2"/>
      <c r="Q86" s="2"/>
      <c r="R86" s="2"/>
      <c r="S86" s="18"/>
      <c r="T86" s="2"/>
    </row>
    <row r="87" spans="4:20" x14ac:dyDescent="0.3">
      <c r="D87" s="2"/>
      <c r="E87" s="2"/>
      <c r="F87" s="2"/>
      <c r="G87" s="2"/>
      <c r="H87" s="2"/>
      <c r="I87" s="2"/>
      <c r="J87" s="2"/>
      <c r="K87" s="2"/>
      <c r="L87" s="2"/>
      <c r="M87" s="2"/>
      <c r="N87" s="2"/>
      <c r="O87" s="2"/>
      <c r="P87" s="2"/>
      <c r="Q87" s="2"/>
      <c r="R87" s="2"/>
      <c r="S87" s="18"/>
      <c r="T87" s="2"/>
    </row>
    <row r="88" spans="4:20" x14ac:dyDescent="0.3">
      <c r="D88" s="2"/>
      <c r="E88" s="2"/>
      <c r="F88" s="2"/>
      <c r="G88" s="2"/>
      <c r="H88" s="2"/>
      <c r="I88" s="2"/>
      <c r="J88" s="2"/>
      <c r="K88" s="2"/>
      <c r="L88" s="2"/>
      <c r="M88" s="2"/>
      <c r="N88" s="2"/>
      <c r="O88" s="2"/>
      <c r="P88" s="2"/>
      <c r="Q88" s="2"/>
      <c r="R88" s="2"/>
      <c r="S88" s="18"/>
      <c r="T88" s="2"/>
    </row>
    <row r="89" spans="4:20" x14ac:dyDescent="0.3">
      <c r="D89" s="2"/>
      <c r="E89" s="2"/>
      <c r="F89" s="2"/>
      <c r="G89" s="2"/>
      <c r="H89" s="2"/>
      <c r="I89" s="2"/>
      <c r="J89" s="2"/>
      <c r="K89" s="2"/>
      <c r="L89" s="2"/>
      <c r="M89" s="2"/>
      <c r="N89" s="2"/>
      <c r="O89" s="2"/>
      <c r="P89" s="2"/>
      <c r="Q89" s="2"/>
      <c r="R89" s="2"/>
      <c r="S89" s="18"/>
      <c r="T89" s="2"/>
    </row>
    <row r="90" spans="4:20" x14ac:dyDescent="0.3">
      <c r="D90" s="2"/>
      <c r="E90" s="2"/>
      <c r="F90" s="2"/>
      <c r="G90" s="2"/>
      <c r="H90" s="2"/>
      <c r="I90" s="2"/>
      <c r="J90" s="2"/>
      <c r="K90" s="2"/>
      <c r="L90" s="2"/>
      <c r="M90" s="2"/>
      <c r="N90" s="2"/>
      <c r="O90" s="2"/>
      <c r="P90" s="2"/>
      <c r="Q90" s="2"/>
      <c r="R90" s="2"/>
      <c r="S90" s="18"/>
      <c r="T90" s="2"/>
    </row>
    <row r="91" spans="4:20" x14ac:dyDescent="0.3">
      <c r="D91" s="2"/>
      <c r="E91" s="2"/>
      <c r="F91" s="2"/>
      <c r="G91" s="2"/>
      <c r="H91" s="2"/>
      <c r="I91" s="2"/>
      <c r="J91" s="2"/>
      <c r="K91" s="2"/>
      <c r="L91" s="2"/>
      <c r="M91" s="2"/>
      <c r="N91" s="2"/>
      <c r="O91" s="2"/>
      <c r="P91" s="2"/>
      <c r="Q91" s="2"/>
      <c r="R91" s="2"/>
      <c r="S91" s="18"/>
      <c r="T91" s="2"/>
    </row>
    <row r="92" spans="4:20" x14ac:dyDescent="0.3">
      <c r="D92" s="2"/>
      <c r="E92" s="2"/>
      <c r="F92" s="2"/>
      <c r="G92" s="2"/>
      <c r="H92" s="2"/>
      <c r="I92" s="2"/>
      <c r="J92" s="2"/>
      <c r="K92" s="2"/>
      <c r="L92" s="2"/>
      <c r="M92" s="2"/>
      <c r="N92" s="2"/>
      <c r="O92" s="2"/>
      <c r="P92" s="2"/>
      <c r="Q92" s="2"/>
      <c r="R92" s="2"/>
      <c r="S92" s="18"/>
      <c r="T92" s="2"/>
    </row>
    <row r="93" spans="4:20" x14ac:dyDescent="0.3">
      <c r="D93" s="2"/>
      <c r="E93" s="2"/>
      <c r="F93" s="2"/>
      <c r="G93" s="2"/>
      <c r="H93" s="2"/>
      <c r="I93" s="2"/>
      <c r="J93" s="2"/>
      <c r="K93" s="2"/>
      <c r="L93" s="2"/>
      <c r="M93" s="2"/>
      <c r="N93" s="2"/>
      <c r="O93" s="2"/>
      <c r="P93" s="2"/>
      <c r="Q93" s="2"/>
      <c r="R93" s="2"/>
      <c r="S93" s="18"/>
      <c r="T93" s="2"/>
    </row>
    <row r="94" spans="4:20" x14ac:dyDescent="0.3">
      <c r="D94" s="2"/>
      <c r="E94" s="2"/>
      <c r="F94" s="2"/>
      <c r="G94" s="2"/>
      <c r="H94" s="2"/>
      <c r="I94" s="2"/>
      <c r="J94" s="2"/>
      <c r="K94" s="2"/>
      <c r="L94" s="2"/>
      <c r="M94" s="2"/>
      <c r="N94" s="2"/>
      <c r="O94" s="2"/>
      <c r="P94" s="2"/>
      <c r="Q94" s="2"/>
      <c r="R94" s="2"/>
      <c r="S94" s="18"/>
      <c r="T94" s="2"/>
    </row>
    <row r="95" spans="4:20" x14ac:dyDescent="0.3">
      <c r="D95" s="2"/>
      <c r="E95" s="2"/>
      <c r="F95" s="2"/>
      <c r="G95" s="2"/>
      <c r="H95" s="2"/>
      <c r="I95" s="2"/>
      <c r="J95" s="2"/>
      <c r="K95" s="2"/>
      <c r="L95" s="2"/>
      <c r="M95" s="2"/>
      <c r="N95" s="2"/>
      <c r="O95" s="2"/>
      <c r="P95" s="2"/>
      <c r="Q95" s="2"/>
      <c r="R95" s="2"/>
      <c r="S95" s="18"/>
      <c r="T95" s="2"/>
    </row>
    <row r="96" spans="4:20" x14ac:dyDescent="0.3">
      <c r="D96" s="2"/>
      <c r="E96" s="2"/>
      <c r="F96" s="2"/>
      <c r="G96" s="2"/>
      <c r="H96" s="2"/>
      <c r="I96" s="2"/>
      <c r="J96" s="2"/>
      <c r="K96" s="2"/>
      <c r="L96" s="2"/>
      <c r="M96" s="2"/>
      <c r="N96" s="2"/>
      <c r="O96" s="2"/>
      <c r="P96" s="2"/>
      <c r="Q96" s="2"/>
      <c r="R96" s="2"/>
      <c r="S96" s="18"/>
      <c r="T96" s="2"/>
    </row>
    <row r="97" spans="4:20" x14ac:dyDescent="0.3">
      <c r="D97" s="2"/>
      <c r="E97" s="2"/>
      <c r="F97" s="2"/>
      <c r="G97" s="2"/>
      <c r="H97" s="2"/>
      <c r="I97" s="2"/>
      <c r="J97" s="2"/>
      <c r="K97" s="2"/>
      <c r="L97" s="2"/>
      <c r="M97" s="2"/>
      <c r="N97" s="2"/>
      <c r="O97" s="2"/>
      <c r="P97" s="2"/>
      <c r="Q97" s="2"/>
      <c r="R97" s="2"/>
      <c r="S97" s="18"/>
      <c r="T97" s="2"/>
    </row>
    <row r="98" spans="4:20" x14ac:dyDescent="0.3">
      <c r="D98" s="2"/>
      <c r="E98" s="2"/>
      <c r="F98" s="2"/>
      <c r="G98" s="2"/>
      <c r="H98" s="2"/>
      <c r="I98" s="2"/>
      <c r="J98" s="2"/>
      <c r="K98" s="2"/>
      <c r="L98" s="2"/>
      <c r="M98" s="2"/>
      <c r="N98" s="2"/>
      <c r="O98" s="2"/>
      <c r="P98" s="2"/>
      <c r="Q98" s="2"/>
      <c r="R98" s="2"/>
      <c r="S98" s="18"/>
      <c r="T98" s="2"/>
    </row>
    <row r="99" spans="4:20" x14ac:dyDescent="0.3">
      <c r="D99" s="2"/>
      <c r="E99" s="2"/>
      <c r="F99" s="2"/>
      <c r="G99" s="2"/>
      <c r="H99" s="2"/>
      <c r="I99" s="2"/>
      <c r="J99" s="2"/>
      <c r="K99" s="2"/>
      <c r="L99" s="2"/>
      <c r="M99" s="2"/>
      <c r="N99" s="2"/>
      <c r="O99" s="2"/>
      <c r="P99" s="2"/>
      <c r="Q99" s="2"/>
      <c r="R99" s="2"/>
      <c r="S99" s="18"/>
      <c r="T99" s="2"/>
    </row>
    <row r="100" spans="4:20" x14ac:dyDescent="0.3">
      <c r="D100" s="2"/>
      <c r="E100" s="2"/>
      <c r="F100" s="2"/>
      <c r="G100" s="2"/>
      <c r="H100" s="2"/>
      <c r="I100" s="2"/>
      <c r="J100" s="2"/>
      <c r="K100" s="2"/>
      <c r="L100" s="2"/>
      <c r="M100" s="2"/>
      <c r="N100" s="2"/>
      <c r="O100" s="2"/>
      <c r="P100" s="2"/>
      <c r="Q100" s="2"/>
      <c r="R100" s="2"/>
      <c r="S100" s="18"/>
      <c r="T100" s="2"/>
    </row>
    <row r="101" spans="4:20" x14ac:dyDescent="0.3">
      <c r="D101" s="2"/>
      <c r="E101" s="2"/>
      <c r="F101" s="2"/>
      <c r="G101" s="2"/>
      <c r="H101" s="2"/>
      <c r="I101" s="2"/>
      <c r="J101" s="2"/>
      <c r="K101" s="2"/>
      <c r="L101" s="2"/>
      <c r="M101" s="2"/>
      <c r="N101" s="2"/>
      <c r="O101" s="2"/>
      <c r="P101" s="2"/>
      <c r="Q101" s="2"/>
      <c r="R101" s="2"/>
      <c r="S101" s="18"/>
      <c r="T101" s="2"/>
    </row>
    <row r="102" spans="4:20" x14ac:dyDescent="0.3">
      <c r="D102" s="2"/>
      <c r="E102" s="2"/>
      <c r="F102" s="2"/>
      <c r="G102" s="2"/>
      <c r="H102" s="2"/>
      <c r="I102" s="2"/>
      <c r="J102" s="2"/>
      <c r="K102" s="2"/>
      <c r="L102" s="2"/>
      <c r="M102" s="2"/>
      <c r="N102" s="2"/>
      <c r="O102" s="2"/>
      <c r="P102" s="2"/>
      <c r="Q102" s="2"/>
      <c r="R102" s="2"/>
      <c r="S102" s="18"/>
      <c r="T102" s="2"/>
    </row>
    <row r="103" spans="4:20" x14ac:dyDescent="0.3">
      <c r="D103" s="2"/>
      <c r="E103" s="2"/>
      <c r="F103" s="2"/>
      <c r="G103" s="2"/>
      <c r="H103" s="2"/>
      <c r="I103" s="2"/>
      <c r="J103" s="2"/>
      <c r="K103" s="2"/>
      <c r="L103" s="2"/>
      <c r="M103" s="2"/>
      <c r="N103" s="2"/>
      <c r="O103" s="2"/>
      <c r="P103" s="2"/>
      <c r="Q103" s="2"/>
      <c r="R103" s="2"/>
      <c r="S103" s="18"/>
      <c r="T103" s="2"/>
    </row>
    <row r="104" spans="4:20" x14ac:dyDescent="0.3">
      <c r="D104" s="2"/>
      <c r="E104" s="2"/>
      <c r="F104" s="2"/>
      <c r="G104" s="2"/>
      <c r="H104" s="2"/>
      <c r="I104" s="2"/>
      <c r="J104" s="2"/>
      <c r="K104" s="2"/>
      <c r="L104" s="2"/>
      <c r="M104" s="2"/>
      <c r="N104" s="2"/>
      <c r="O104" s="2"/>
      <c r="P104" s="2"/>
      <c r="Q104" s="2"/>
      <c r="R104" s="2"/>
      <c r="S104" s="18"/>
      <c r="T104" s="2"/>
    </row>
    <row r="105" spans="4:20" x14ac:dyDescent="0.3">
      <c r="D105" s="2"/>
      <c r="E105" s="2"/>
      <c r="F105" s="2"/>
      <c r="G105" s="2"/>
      <c r="H105" s="2"/>
      <c r="I105" s="2"/>
      <c r="J105" s="2"/>
      <c r="K105" s="2"/>
      <c r="L105" s="2"/>
      <c r="M105" s="2"/>
      <c r="N105" s="2"/>
      <c r="O105" s="2"/>
      <c r="P105" s="2"/>
      <c r="Q105" s="2"/>
      <c r="R105" s="2"/>
      <c r="S105" s="18"/>
      <c r="T105" s="2"/>
    </row>
    <row r="106" spans="4:20" x14ac:dyDescent="0.3">
      <c r="D106" s="2"/>
      <c r="E106" s="2"/>
      <c r="F106" s="2"/>
      <c r="G106" s="2"/>
      <c r="H106" s="2"/>
      <c r="I106" s="2"/>
      <c r="J106" s="2"/>
      <c r="K106" s="2"/>
      <c r="L106" s="2"/>
      <c r="M106" s="2"/>
      <c r="N106" s="2"/>
      <c r="O106" s="2"/>
      <c r="P106" s="2"/>
      <c r="Q106" s="2"/>
      <c r="R106" s="2"/>
      <c r="S106" s="18"/>
      <c r="T106" s="2"/>
    </row>
    <row r="107" spans="4:20" x14ac:dyDescent="0.3">
      <c r="D107" s="2"/>
      <c r="E107" s="2"/>
      <c r="F107" s="2"/>
      <c r="G107" s="2"/>
      <c r="H107" s="2"/>
      <c r="I107" s="2"/>
      <c r="J107" s="2"/>
      <c r="K107" s="2"/>
      <c r="L107" s="2"/>
      <c r="M107" s="2"/>
      <c r="N107" s="2"/>
      <c r="O107" s="2"/>
      <c r="P107" s="2"/>
      <c r="Q107" s="2"/>
      <c r="R107" s="2"/>
      <c r="S107" s="18"/>
      <c r="T107" s="2"/>
    </row>
    <row r="108" spans="4:20" x14ac:dyDescent="0.3">
      <c r="D108" s="2"/>
      <c r="E108" s="2"/>
      <c r="F108" s="2"/>
      <c r="G108" s="2"/>
      <c r="H108" s="2"/>
      <c r="I108" s="2"/>
      <c r="J108" s="2"/>
      <c r="K108" s="2"/>
      <c r="L108" s="2"/>
      <c r="M108" s="2"/>
      <c r="N108" s="2"/>
      <c r="O108" s="2"/>
      <c r="P108" s="2"/>
      <c r="Q108" s="2"/>
      <c r="R108" s="2"/>
      <c r="S108" s="18"/>
      <c r="T108" s="2"/>
    </row>
    <row r="109" spans="4:20" x14ac:dyDescent="0.3">
      <c r="D109" s="2"/>
      <c r="E109" s="2"/>
      <c r="F109" s="2"/>
      <c r="G109" s="2"/>
      <c r="H109" s="2"/>
      <c r="I109" s="2"/>
      <c r="J109" s="2"/>
      <c r="K109" s="2"/>
      <c r="L109" s="2"/>
      <c r="M109" s="2"/>
      <c r="N109" s="2"/>
      <c r="O109" s="2"/>
      <c r="P109" s="2"/>
      <c r="Q109" s="2"/>
      <c r="R109" s="2"/>
      <c r="S109" s="18"/>
      <c r="T109" s="2"/>
    </row>
    <row r="110" spans="4:20" x14ac:dyDescent="0.3">
      <c r="D110" s="2"/>
      <c r="E110" s="2"/>
      <c r="F110" s="2"/>
      <c r="G110" s="2"/>
      <c r="H110" s="2"/>
      <c r="I110" s="2"/>
      <c r="J110" s="2"/>
      <c r="K110" s="2"/>
      <c r="L110" s="2"/>
      <c r="M110" s="2"/>
      <c r="N110" s="2"/>
      <c r="O110" s="2"/>
      <c r="P110" s="2"/>
      <c r="Q110" s="2"/>
      <c r="R110" s="2"/>
      <c r="S110" s="18"/>
      <c r="T110" s="2"/>
    </row>
    <row r="111" spans="4:20" x14ac:dyDescent="0.3">
      <c r="D111" s="2"/>
      <c r="E111" s="2"/>
      <c r="F111" s="2"/>
      <c r="G111" s="2"/>
      <c r="H111" s="2"/>
      <c r="I111" s="2"/>
      <c r="J111" s="2"/>
      <c r="K111" s="2"/>
      <c r="L111" s="2"/>
      <c r="M111" s="2"/>
      <c r="N111" s="2"/>
      <c r="O111" s="2"/>
      <c r="P111" s="2"/>
      <c r="Q111" s="2"/>
      <c r="R111" s="2"/>
      <c r="S111" s="18"/>
      <c r="T111" s="2"/>
    </row>
    <row r="112" spans="4:20" x14ac:dyDescent="0.3">
      <c r="D112" s="2"/>
      <c r="E112" s="2"/>
      <c r="F112" s="2"/>
      <c r="G112" s="2"/>
      <c r="H112" s="2"/>
      <c r="I112" s="2"/>
      <c r="J112" s="2"/>
      <c r="K112" s="2"/>
      <c r="L112" s="2"/>
      <c r="M112" s="2"/>
      <c r="N112" s="2"/>
      <c r="O112" s="2"/>
      <c r="P112" s="2"/>
      <c r="Q112" s="2"/>
      <c r="R112" s="2"/>
      <c r="S112" s="18"/>
      <c r="T112" s="2"/>
    </row>
    <row r="113" spans="4:20" x14ac:dyDescent="0.3">
      <c r="D113" s="2"/>
      <c r="E113" s="2"/>
      <c r="F113" s="2"/>
      <c r="G113" s="2"/>
      <c r="H113" s="2"/>
      <c r="I113" s="2"/>
      <c r="J113" s="2"/>
      <c r="K113" s="2"/>
      <c r="L113" s="2"/>
      <c r="M113" s="2"/>
      <c r="N113" s="2"/>
      <c r="O113" s="2"/>
      <c r="P113" s="2"/>
      <c r="Q113" s="2"/>
      <c r="R113" s="2"/>
      <c r="S113" s="18"/>
      <c r="T113" s="2"/>
    </row>
    <row r="114" spans="4:20" x14ac:dyDescent="0.3">
      <c r="D114" s="2"/>
      <c r="E114" s="2"/>
      <c r="F114" s="2"/>
      <c r="G114" s="2"/>
      <c r="H114" s="2"/>
      <c r="I114" s="2"/>
      <c r="J114" s="2"/>
      <c r="K114" s="2"/>
      <c r="L114" s="2"/>
      <c r="M114" s="2"/>
      <c r="N114" s="2"/>
      <c r="O114" s="2"/>
      <c r="P114" s="2"/>
      <c r="Q114" s="2"/>
      <c r="R114" s="2"/>
      <c r="S114" s="18"/>
      <c r="T114" s="2"/>
    </row>
    <row r="115" spans="4:20" x14ac:dyDescent="0.3">
      <c r="D115" s="2"/>
      <c r="E115" s="2"/>
      <c r="F115" s="2"/>
      <c r="G115" s="2"/>
      <c r="H115" s="2"/>
      <c r="I115" s="2"/>
      <c r="J115" s="2"/>
      <c r="K115" s="2"/>
      <c r="L115" s="2"/>
      <c r="M115" s="2"/>
      <c r="N115" s="2"/>
      <c r="O115" s="2"/>
      <c r="P115" s="2"/>
      <c r="Q115" s="2"/>
      <c r="R115" s="2"/>
      <c r="S115" s="18"/>
      <c r="T115" s="2"/>
    </row>
    <row r="116" spans="4:20" x14ac:dyDescent="0.3">
      <c r="D116" s="2"/>
      <c r="E116" s="2"/>
      <c r="F116" s="2"/>
      <c r="G116" s="2"/>
      <c r="H116" s="2"/>
      <c r="I116" s="2"/>
      <c r="J116" s="2"/>
      <c r="K116" s="2"/>
      <c r="L116" s="2"/>
      <c r="M116" s="2"/>
      <c r="N116" s="2"/>
      <c r="O116" s="2"/>
      <c r="P116" s="2"/>
      <c r="Q116" s="2"/>
      <c r="R116" s="2"/>
      <c r="S116" s="18"/>
      <c r="T116" s="2"/>
    </row>
    <row r="117" spans="4:20" x14ac:dyDescent="0.3">
      <c r="D117" s="2"/>
      <c r="E117" s="2"/>
      <c r="F117" s="2"/>
      <c r="G117" s="2"/>
      <c r="H117" s="2"/>
      <c r="I117" s="2"/>
      <c r="J117" s="2"/>
      <c r="K117" s="2"/>
      <c r="L117" s="2"/>
      <c r="M117" s="2"/>
      <c r="N117" s="2"/>
      <c r="O117" s="2"/>
      <c r="P117" s="2"/>
      <c r="Q117" s="2"/>
      <c r="R117" s="2"/>
      <c r="S117" s="18"/>
      <c r="T117" s="2"/>
    </row>
    <row r="118" spans="4:20" x14ac:dyDescent="0.3">
      <c r="D118" s="2"/>
      <c r="E118" s="2"/>
      <c r="F118" s="2"/>
      <c r="G118" s="2"/>
      <c r="H118" s="2"/>
      <c r="I118" s="2"/>
      <c r="J118" s="2"/>
      <c r="K118" s="2"/>
      <c r="L118" s="2"/>
      <c r="M118" s="2"/>
      <c r="N118" s="2"/>
      <c r="O118" s="2"/>
      <c r="P118" s="2"/>
      <c r="Q118" s="2"/>
      <c r="R118" s="2"/>
      <c r="S118" s="18"/>
      <c r="T118" s="2"/>
    </row>
    <row r="119" spans="4:20" x14ac:dyDescent="0.3">
      <c r="D119" s="2"/>
      <c r="E119" s="2"/>
      <c r="F119" s="2"/>
      <c r="G119" s="2"/>
      <c r="H119" s="2"/>
      <c r="I119" s="2"/>
      <c r="J119" s="2"/>
      <c r="K119" s="2"/>
      <c r="L119" s="2"/>
      <c r="M119" s="2"/>
      <c r="N119" s="2"/>
      <c r="O119" s="2"/>
      <c r="P119" s="2"/>
      <c r="Q119" s="2"/>
      <c r="R119" s="2"/>
      <c r="S119" s="18"/>
      <c r="T119" s="2"/>
    </row>
    <row r="120" spans="4:20" x14ac:dyDescent="0.3">
      <c r="D120" s="2"/>
      <c r="E120" s="2"/>
      <c r="F120" s="2"/>
      <c r="G120" s="2"/>
      <c r="H120" s="2"/>
      <c r="I120" s="2"/>
      <c r="J120" s="2"/>
      <c r="K120" s="2"/>
      <c r="L120" s="2"/>
      <c r="M120" s="2"/>
      <c r="N120" s="2"/>
      <c r="O120" s="2"/>
      <c r="P120" s="2"/>
      <c r="Q120" s="2"/>
      <c r="R120" s="2"/>
      <c r="S120" s="18"/>
      <c r="T120" s="2"/>
    </row>
    <row r="121" spans="4:20" x14ac:dyDescent="0.3">
      <c r="D121" s="2"/>
      <c r="E121" s="2"/>
      <c r="F121" s="2"/>
      <c r="G121" s="2"/>
      <c r="H121" s="2"/>
      <c r="I121" s="2"/>
      <c r="J121" s="2"/>
      <c r="K121" s="2"/>
      <c r="L121" s="2"/>
      <c r="M121" s="2"/>
      <c r="N121" s="2"/>
      <c r="O121" s="2"/>
      <c r="P121" s="2"/>
      <c r="Q121" s="2"/>
      <c r="R121" s="2"/>
      <c r="S121" s="18"/>
      <c r="T121" s="2"/>
    </row>
    <row r="122" spans="4:20" x14ac:dyDescent="0.3">
      <c r="D122" s="2"/>
      <c r="E122" s="2"/>
      <c r="F122" s="2"/>
      <c r="G122" s="2"/>
      <c r="H122" s="2"/>
      <c r="I122" s="2"/>
      <c r="J122" s="2"/>
      <c r="K122" s="2"/>
      <c r="L122" s="2"/>
      <c r="M122" s="2"/>
      <c r="N122" s="2"/>
      <c r="O122" s="2"/>
      <c r="P122" s="2"/>
      <c r="Q122" s="2"/>
      <c r="R122" s="2"/>
      <c r="S122" s="18"/>
      <c r="T122" s="2"/>
    </row>
  </sheetData>
  <mergeCells count="2">
    <mergeCell ref="V4:W4"/>
    <mergeCell ref="V8:W8"/>
  </mergeCells>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5F2-5894-4A4C-94ED-9CC916F9F125}">
  <dimension ref="A1:E114"/>
  <sheetViews>
    <sheetView tabSelected="1" workbookViewId="0">
      <selection activeCell="E15" sqref="E15"/>
    </sheetView>
  </sheetViews>
  <sheetFormatPr defaultRowHeight="14.4" x14ac:dyDescent="0.3"/>
  <sheetData>
    <row r="1" spans="1:5" x14ac:dyDescent="0.3">
      <c r="A1" s="9" t="s">
        <v>111</v>
      </c>
      <c r="B1" s="27" t="s">
        <v>1</v>
      </c>
      <c r="C1" t="s">
        <v>4</v>
      </c>
      <c r="D1" t="s">
        <v>5</v>
      </c>
      <c r="E1" t="s">
        <v>6</v>
      </c>
    </row>
    <row r="2" spans="1:5" x14ac:dyDescent="0.3">
      <c r="A2" s="24" t="s">
        <v>107</v>
      </c>
      <c r="B2" s="23">
        <v>2133071</v>
      </c>
      <c r="C2">
        <v>0.99</v>
      </c>
      <c r="D2">
        <v>0.92</v>
      </c>
      <c r="E2">
        <v>0.98</v>
      </c>
    </row>
    <row r="3" spans="1:5" x14ac:dyDescent="0.3">
      <c r="A3" s="26" t="s">
        <v>107</v>
      </c>
      <c r="B3" s="25">
        <v>2433188</v>
      </c>
      <c r="C3">
        <v>0.94</v>
      </c>
      <c r="D3">
        <v>0.94</v>
      </c>
      <c r="E3">
        <v>0.83</v>
      </c>
    </row>
    <row r="4" spans="1:5" x14ac:dyDescent="0.3">
      <c r="A4" s="24" t="s">
        <v>107</v>
      </c>
      <c r="B4" s="23">
        <v>2215181</v>
      </c>
      <c r="C4">
        <v>0.93</v>
      </c>
      <c r="D4">
        <v>0.84</v>
      </c>
      <c r="E4">
        <v>0.97</v>
      </c>
    </row>
    <row r="5" spans="1:5" x14ac:dyDescent="0.3">
      <c r="A5" s="26" t="s">
        <v>107</v>
      </c>
      <c r="B5" s="25">
        <v>2405391</v>
      </c>
      <c r="C5">
        <v>0.81</v>
      </c>
      <c r="D5">
        <v>0.91</v>
      </c>
      <c r="E5">
        <v>0.95</v>
      </c>
    </row>
    <row r="6" spans="1:5" x14ac:dyDescent="0.3">
      <c r="A6" s="24" t="s">
        <v>107</v>
      </c>
      <c r="B6" s="23">
        <v>2377320</v>
      </c>
      <c r="C6">
        <v>0.76</v>
      </c>
      <c r="D6">
        <v>0.83</v>
      </c>
      <c r="E6">
        <v>0.89</v>
      </c>
    </row>
    <row r="7" spans="1:5" x14ac:dyDescent="0.3">
      <c r="A7" s="26" t="s">
        <v>107</v>
      </c>
      <c r="B7" s="25">
        <v>2238453</v>
      </c>
      <c r="C7">
        <v>0.7</v>
      </c>
      <c r="D7">
        <v>0.93</v>
      </c>
      <c r="E7">
        <v>0.88</v>
      </c>
    </row>
    <row r="8" spans="1:5" x14ac:dyDescent="0.3">
      <c r="A8" s="24" t="s">
        <v>107</v>
      </c>
      <c r="B8" s="23">
        <v>2485038</v>
      </c>
      <c r="C8">
        <v>0.77</v>
      </c>
      <c r="D8">
        <v>0.94</v>
      </c>
      <c r="E8">
        <v>0.79</v>
      </c>
    </row>
    <row r="9" spans="1:5" x14ac:dyDescent="0.3">
      <c r="A9" s="26" t="s">
        <v>107</v>
      </c>
      <c r="B9" s="25">
        <v>2357440</v>
      </c>
      <c r="C9">
        <v>0.7</v>
      </c>
      <c r="D9">
        <v>0.93</v>
      </c>
      <c r="E9">
        <v>0.81</v>
      </c>
    </row>
    <row r="10" spans="1:5" x14ac:dyDescent="0.3">
      <c r="A10" s="24" t="s">
        <v>107</v>
      </c>
      <c r="B10" s="23">
        <v>2147885</v>
      </c>
      <c r="C10">
        <v>0.89</v>
      </c>
      <c r="D10">
        <v>0.63</v>
      </c>
      <c r="E10">
        <v>0.81</v>
      </c>
    </row>
    <row r="11" spans="1:5" x14ac:dyDescent="0.3">
      <c r="A11" s="26" t="s">
        <v>107</v>
      </c>
      <c r="B11" s="25">
        <v>2232908</v>
      </c>
      <c r="C11">
        <v>0.85</v>
      </c>
      <c r="D11">
        <v>0.78</v>
      </c>
      <c r="E11">
        <v>0.84</v>
      </c>
    </row>
    <row r="12" spans="1:5" x14ac:dyDescent="0.3">
      <c r="A12" s="24" t="s">
        <v>107</v>
      </c>
      <c r="B12" s="23">
        <v>2480565</v>
      </c>
      <c r="C12">
        <v>0.64</v>
      </c>
      <c r="D12">
        <v>0.81</v>
      </c>
      <c r="E12">
        <v>0.81</v>
      </c>
    </row>
    <row r="13" spans="1:5" x14ac:dyDescent="0.3">
      <c r="A13" s="26" t="s">
        <v>107</v>
      </c>
      <c r="B13" s="25">
        <v>2093607</v>
      </c>
      <c r="C13">
        <v>0.75</v>
      </c>
      <c r="D13">
        <v>0.72</v>
      </c>
      <c r="E13">
        <v>0.81</v>
      </c>
    </row>
    <row r="14" spans="1:5" x14ac:dyDescent="0.3">
      <c r="A14" s="24" t="s">
        <v>107</v>
      </c>
      <c r="B14" s="23">
        <v>2378730</v>
      </c>
      <c r="C14">
        <v>0.69</v>
      </c>
      <c r="D14">
        <v>0.64</v>
      </c>
      <c r="E14">
        <v>0.89</v>
      </c>
    </row>
    <row r="15" spans="1:5" x14ac:dyDescent="0.3">
      <c r="A15" s="26" t="s">
        <v>107</v>
      </c>
      <c r="B15" s="25">
        <v>2209243</v>
      </c>
      <c r="C15">
        <v>0.68</v>
      </c>
      <c r="D15">
        <v>0.74</v>
      </c>
      <c r="E15">
        <v>0.84</v>
      </c>
    </row>
    <row r="16" spans="1:5" x14ac:dyDescent="0.3">
      <c r="A16" s="24" t="s">
        <v>107</v>
      </c>
      <c r="B16" s="23">
        <v>2542256</v>
      </c>
      <c r="C16">
        <v>0.67</v>
      </c>
      <c r="D16">
        <v>0.6</v>
      </c>
      <c r="E16">
        <v>0.85</v>
      </c>
    </row>
    <row r="17" spans="1:5" x14ac:dyDescent="0.3">
      <c r="A17" s="26" t="s">
        <v>107</v>
      </c>
      <c r="B17" s="25">
        <v>2089376</v>
      </c>
      <c r="C17">
        <v>0.85</v>
      </c>
      <c r="D17">
        <v>0.68</v>
      </c>
      <c r="E17">
        <v>0.67</v>
      </c>
    </row>
    <row r="18" spans="1:5" x14ac:dyDescent="0.3">
      <c r="A18" s="24" t="s">
        <v>107</v>
      </c>
      <c r="B18" s="23">
        <v>2043217</v>
      </c>
      <c r="C18">
        <v>0.64</v>
      </c>
      <c r="D18">
        <v>0.84</v>
      </c>
      <c r="E18">
        <v>0.75</v>
      </c>
    </row>
    <row r="19" spans="1:5" x14ac:dyDescent="0.3">
      <c r="A19" s="26" t="s">
        <v>107</v>
      </c>
      <c r="B19" s="25">
        <v>2331620</v>
      </c>
      <c r="C19">
        <v>0.75</v>
      </c>
      <c r="D19">
        <v>0.75</v>
      </c>
      <c r="E19">
        <v>0.64</v>
      </c>
    </row>
    <row r="20" spans="1:5" x14ac:dyDescent="0.3">
      <c r="A20" s="24" t="s">
        <v>107</v>
      </c>
      <c r="B20" s="23">
        <v>2401793</v>
      </c>
      <c r="C20">
        <v>0.66</v>
      </c>
      <c r="D20">
        <v>0.6</v>
      </c>
      <c r="E20">
        <v>0.75</v>
      </c>
    </row>
    <row r="21" spans="1:5" x14ac:dyDescent="0.3">
      <c r="A21" s="26" t="s">
        <v>107</v>
      </c>
      <c r="B21" s="25">
        <v>2026207</v>
      </c>
      <c r="C21">
        <v>0.74</v>
      </c>
      <c r="D21">
        <v>0.73</v>
      </c>
      <c r="E21">
        <v>0.68</v>
      </c>
    </row>
    <row r="22" spans="1:5" x14ac:dyDescent="0.3">
      <c r="A22" s="24" t="s">
        <v>107</v>
      </c>
      <c r="B22" s="23">
        <v>2033743</v>
      </c>
      <c r="C22">
        <v>0.56000000000000005</v>
      </c>
      <c r="D22">
        <v>0.82</v>
      </c>
      <c r="E22">
        <v>0.84</v>
      </c>
    </row>
    <row r="23" spans="1:5" x14ac:dyDescent="0.3">
      <c r="A23" s="26" t="s">
        <v>107</v>
      </c>
      <c r="B23" s="25">
        <v>2040728</v>
      </c>
      <c r="C23">
        <v>0.85</v>
      </c>
      <c r="D23">
        <v>0.7</v>
      </c>
      <c r="E23">
        <v>0.84</v>
      </c>
    </row>
    <row r="24" spans="1:5" x14ac:dyDescent="0.3">
      <c r="A24" s="24" t="s">
        <v>107</v>
      </c>
      <c r="B24" s="23">
        <v>2427992</v>
      </c>
      <c r="C24">
        <v>0.66</v>
      </c>
      <c r="D24">
        <v>0.67</v>
      </c>
      <c r="E24">
        <v>0.77</v>
      </c>
    </row>
    <row r="25" spans="1:5" x14ac:dyDescent="0.3">
      <c r="A25" s="26" t="s">
        <v>107</v>
      </c>
      <c r="B25" s="25">
        <v>2061899</v>
      </c>
      <c r="C25">
        <v>0.66</v>
      </c>
      <c r="D25">
        <v>0.75</v>
      </c>
      <c r="E25">
        <v>0.66</v>
      </c>
    </row>
    <row r="26" spans="1:5" x14ac:dyDescent="0.3">
      <c r="A26" s="24" t="s">
        <v>107</v>
      </c>
      <c r="B26" s="23">
        <v>2309257</v>
      </c>
      <c r="C26">
        <v>0.67</v>
      </c>
      <c r="D26">
        <v>0.68</v>
      </c>
      <c r="E26">
        <v>0.64</v>
      </c>
    </row>
    <row r="27" spans="1:5" x14ac:dyDescent="0.3">
      <c r="A27" s="26" t="s">
        <v>107</v>
      </c>
      <c r="B27" s="25">
        <v>2507060</v>
      </c>
      <c r="C27">
        <v>0.77</v>
      </c>
      <c r="D27">
        <v>0.54</v>
      </c>
      <c r="E27">
        <v>0.8</v>
      </c>
    </row>
    <row r="28" spans="1:5" x14ac:dyDescent="0.3">
      <c r="A28" s="24" t="s">
        <v>107</v>
      </c>
      <c r="B28" s="23">
        <v>2185557</v>
      </c>
      <c r="C28">
        <v>0.54</v>
      </c>
      <c r="D28">
        <v>0.6</v>
      </c>
      <c r="E28">
        <v>0.66</v>
      </c>
    </row>
    <row r="29" spans="1:5" x14ac:dyDescent="0.3">
      <c r="A29" s="26" t="s">
        <v>107</v>
      </c>
      <c r="B29" s="25">
        <v>2211064</v>
      </c>
      <c r="C29">
        <v>0.65</v>
      </c>
      <c r="D29">
        <v>0.6</v>
      </c>
      <c r="E29">
        <v>0.51</v>
      </c>
    </row>
    <row r="30" spans="1:5" x14ac:dyDescent="0.3">
      <c r="A30" s="24" t="s">
        <v>107</v>
      </c>
      <c r="B30" s="23">
        <v>2189164</v>
      </c>
      <c r="C30">
        <v>0.55000000000000004</v>
      </c>
      <c r="D30">
        <v>0.76</v>
      </c>
      <c r="E30">
        <v>0.47</v>
      </c>
    </row>
    <row r="31" spans="1:5" x14ac:dyDescent="0.3">
      <c r="A31" s="26" t="s">
        <v>107</v>
      </c>
      <c r="B31" s="25">
        <v>2212123</v>
      </c>
      <c r="C31">
        <v>0.52</v>
      </c>
      <c r="D31">
        <v>0.56999999999999995</v>
      </c>
      <c r="E31">
        <v>0.66</v>
      </c>
    </row>
    <row r="32" spans="1:5" x14ac:dyDescent="0.3">
      <c r="A32" s="24" t="s">
        <v>107</v>
      </c>
      <c r="B32" s="23">
        <v>2449117</v>
      </c>
      <c r="C32">
        <v>0.57999999999999996</v>
      </c>
      <c r="D32">
        <v>0.67</v>
      </c>
      <c r="E32">
        <v>0.56999999999999995</v>
      </c>
    </row>
    <row r="33" spans="1:5" x14ac:dyDescent="0.3">
      <c r="A33" s="26" t="s">
        <v>107</v>
      </c>
      <c r="B33" s="25">
        <v>2191343</v>
      </c>
      <c r="C33">
        <v>0.67</v>
      </c>
      <c r="D33">
        <v>0.66</v>
      </c>
      <c r="E33">
        <v>0.45</v>
      </c>
    </row>
    <row r="34" spans="1:5" x14ac:dyDescent="0.3">
      <c r="A34" s="24" t="s">
        <v>107</v>
      </c>
      <c r="B34" s="23">
        <v>2308457</v>
      </c>
      <c r="C34">
        <v>0.57999999999999996</v>
      </c>
      <c r="D34">
        <v>0.68</v>
      </c>
      <c r="E34">
        <v>0.46</v>
      </c>
    </row>
    <row r="35" spans="1:5" x14ac:dyDescent="0.3">
      <c r="A35" s="26" t="s">
        <v>108</v>
      </c>
      <c r="B35" s="23">
        <v>2067773</v>
      </c>
      <c r="C35">
        <v>0.94</v>
      </c>
      <c r="D35">
        <v>0.83</v>
      </c>
      <c r="E35">
        <v>0.97</v>
      </c>
    </row>
    <row r="36" spans="1:5" x14ac:dyDescent="0.3">
      <c r="A36" s="24" t="s">
        <v>108</v>
      </c>
      <c r="B36" s="25">
        <v>2366674</v>
      </c>
      <c r="C36">
        <v>0.94</v>
      </c>
      <c r="D36">
        <v>0.96</v>
      </c>
      <c r="E36">
        <v>0.86</v>
      </c>
    </row>
    <row r="37" spans="1:5" x14ac:dyDescent="0.3">
      <c r="A37" s="26" t="s">
        <v>108</v>
      </c>
      <c r="B37" s="23">
        <v>2914082</v>
      </c>
      <c r="C37">
        <v>0.99</v>
      </c>
      <c r="D37">
        <v>1</v>
      </c>
      <c r="E37">
        <v>0.82</v>
      </c>
    </row>
    <row r="38" spans="1:5" x14ac:dyDescent="0.3">
      <c r="A38" s="24" t="s">
        <v>108</v>
      </c>
      <c r="B38" s="25">
        <v>2649375</v>
      </c>
      <c r="C38">
        <v>0.87</v>
      </c>
      <c r="D38">
        <v>0.83</v>
      </c>
      <c r="E38">
        <v>0.96</v>
      </c>
    </row>
    <row r="39" spans="1:5" x14ac:dyDescent="0.3">
      <c r="A39" s="26" t="s">
        <v>108</v>
      </c>
      <c r="B39" s="23">
        <v>2947069</v>
      </c>
      <c r="C39">
        <v>0.8</v>
      </c>
      <c r="D39">
        <v>0.83</v>
      </c>
      <c r="E39">
        <v>0.95</v>
      </c>
    </row>
    <row r="40" spans="1:5" x14ac:dyDescent="0.3">
      <c r="A40" s="24" t="s">
        <v>108</v>
      </c>
      <c r="B40" s="25">
        <v>2476506</v>
      </c>
      <c r="C40">
        <v>0.88</v>
      </c>
      <c r="D40">
        <v>0.96</v>
      </c>
      <c r="E40">
        <v>0.81</v>
      </c>
    </row>
    <row r="41" spans="1:5" x14ac:dyDescent="0.3">
      <c r="A41" s="26" t="s">
        <v>108</v>
      </c>
      <c r="B41" s="23">
        <v>2520669</v>
      </c>
      <c r="C41">
        <v>0.88</v>
      </c>
      <c r="D41">
        <v>0.84</v>
      </c>
      <c r="E41">
        <v>0.82</v>
      </c>
    </row>
    <row r="42" spans="1:5" x14ac:dyDescent="0.3">
      <c r="A42" s="24" t="s">
        <v>108</v>
      </c>
      <c r="B42" s="25">
        <v>2970437</v>
      </c>
      <c r="C42">
        <v>0.77</v>
      </c>
      <c r="D42">
        <v>0.9</v>
      </c>
      <c r="E42">
        <v>0.84</v>
      </c>
    </row>
    <row r="43" spans="1:5" x14ac:dyDescent="0.3">
      <c r="A43" s="26" t="s">
        <v>108</v>
      </c>
      <c r="B43" s="23">
        <v>2077622</v>
      </c>
      <c r="C43">
        <v>0.79</v>
      </c>
      <c r="D43">
        <v>0.86</v>
      </c>
      <c r="E43">
        <v>0.8</v>
      </c>
    </row>
    <row r="44" spans="1:5" x14ac:dyDescent="0.3">
      <c r="A44" s="24" t="s">
        <v>108</v>
      </c>
      <c r="B44" s="25">
        <v>2714108</v>
      </c>
      <c r="C44">
        <v>0.86</v>
      </c>
      <c r="D44">
        <v>0.78</v>
      </c>
      <c r="E44">
        <v>0.79</v>
      </c>
    </row>
    <row r="45" spans="1:5" x14ac:dyDescent="0.3">
      <c r="A45" s="26" t="s">
        <v>108</v>
      </c>
      <c r="B45" s="23">
        <v>2612741</v>
      </c>
      <c r="C45">
        <v>0.85</v>
      </c>
      <c r="D45">
        <v>0.83</v>
      </c>
      <c r="E45">
        <v>0.77</v>
      </c>
    </row>
    <row r="46" spans="1:5" x14ac:dyDescent="0.3">
      <c r="A46" s="24" t="s">
        <v>108</v>
      </c>
      <c r="B46" s="25">
        <v>2898343</v>
      </c>
      <c r="C46">
        <v>0.78</v>
      </c>
      <c r="D46">
        <v>0.8</v>
      </c>
      <c r="E46">
        <v>0.83</v>
      </c>
    </row>
    <row r="47" spans="1:5" x14ac:dyDescent="0.3">
      <c r="A47" s="26" t="s">
        <v>108</v>
      </c>
      <c r="B47" s="23">
        <v>2084904</v>
      </c>
      <c r="C47">
        <v>0.76</v>
      </c>
      <c r="D47">
        <v>0.77</v>
      </c>
      <c r="E47">
        <v>0.81</v>
      </c>
    </row>
    <row r="48" spans="1:5" x14ac:dyDescent="0.3">
      <c r="A48" s="24" t="s">
        <v>108</v>
      </c>
      <c r="B48" s="25">
        <v>2733445</v>
      </c>
      <c r="C48">
        <v>0.82</v>
      </c>
      <c r="D48">
        <v>0.76</v>
      </c>
      <c r="E48">
        <v>0.8</v>
      </c>
    </row>
    <row r="49" spans="1:5" x14ac:dyDescent="0.3">
      <c r="A49" s="26" t="s">
        <v>108</v>
      </c>
      <c r="B49" s="23">
        <v>2837629</v>
      </c>
      <c r="C49">
        <v>0.78</v>
      </c>
      <c r="D49">
        <v>0.75</v>
      </c>
      <c r="E49">
        <v>0.85</v>
      </c>
    </row>
    <row r="50" spans="1:5" x14ac:dyDescent="0.3">
      <c r="A50" s="24" t="s">
        <v>108</v>
      </c>
      <c r="B50" s="25">
        <v>2656585</v>
      </c>
      <c r="C50">
        <v>0.8</v>
      </c>
      <c r="D50">
        <v>0.66</v>
      </c>
      <c r="E50">
        <v>0.8</v>
      </c>
    </row>
    <row r="51" spans="1:5" x14ac:dyDescent="0.3">
      <c r="A51" s="26" t="s">
        <v>108</v>
      </c>
      <c r="B51" s="23">
        <v>2052642</v>
      </c>
      <c r="C51">
        <v>0.8</v>
      </c>
      <c r="D51">
        <v>0.78</v>
      </c>
      <c r="E51">
        <v>0.8</v>
      </c>
    </row>
    <row r="52" spans="1:5" x14ac:dyDescent="0.3">
      <c r="A52" s="24" t="s">
        <v>108</v>
      </c>
      <c r="B52" s="25">
        <v>2642800</v>
      </c>
      <c r="C52">
        <v>0.72</v>
      </c>
      <c r="D52">
        <v>0.76</v>
      </c>
      <c r="E52">
        <v>0.8</v>
      </c>
    </row>
    <row r="53" spans="1:5" x14ac:dyDescent="0.3">
      <c r="A53" s="26" t="s">
        <v>108</v>
      </c>
      <c r="B53" s="23">
        <v>2489967</v>
      </c>
      <c r="C53">
        <v>0.67</v>
      </c>
      <c r="D53">
        <v>0.76</v>
      </c>
      <c r="E53">
        <v>0.79</v>
      </c>
    </row>
    <row r="54" spans="1:5" x14ac:dyDescent="0.3">
      <c r="A54" s="24" t="s">
        <v>108</v>
      </c>
      <c r="B54" s="25">
        <v>2294908</v>
      </c>
      <c r="C54">
        <v>0.72</v>
      </c>
      <c r="D54">
        <v>0.79</v>
      </c>
      <c r="E54">
        <v>0.71</v>
      </c>
    </row>
    <row r="55" spans="1:5" x14ac:dyDescent="0.3">
      <c r="A55" s="26" t="s">
        <v>108</v>
      </c>
      <c r="B55" s="23">
        <v>2916994</v>
      </c>
      <c r="C55">
        <v>0.75</v>
      </c>
      <c r="D55">
        <v>0.72</v>
      </c>
      <c r="E55">
        <v>0.65</v>
      </c>
    </row>
    <row r="56" spans="1:5" x14ac:dyDescent="0.3">
      <c r="A56" s="24" t="s">
        <v>108</v>
      </c>
      <c r="B56" s="25">
        <v>2691622</v>
      </c>
      <c r="C56">
        <v>0.72</v>
      </c>
      <c r="D56">
        <v>0.7</v>
      </c>
      <c r="E56">
        <v>0.73</v>
      </c>
    </row>
    <row r="57" spans="1:5" x14ac:dyDescent="0.3">
      <c r="A57" s="26" t="s">
        <v>108</v>
      </c>
      <c r="B57" s="23">
        <v>2544559</v>
      </c>
      <c r="C57">
        <v>0.68</v>
      </c>
      <c r="D57">
        <v>0.71</v>
      </c>
      <c r="E57">
        <v>0.68</v>
      </c>
    </row>
    <row r="58" spans="1:5" x14ac:dyDescent="0.3">
      <c r="A58" s="24" t="s">
        <v>108</v>
      </c>
      <c r="B58" s="25">
        <v>2446159</v>
      </c>
      <c r="C58">
        <v>0.65</v>
      </c>
      <c r="D58">
        <v>0.65</v>
      </c>
      <c r="E58">
        <v>0.68</v>
      </c>
    </row>
    <row r="59" spans="1:5" x14ac:dyDescent="0.3">
      <c r="A59" s="26" t="s">
        <v>108</v>
      </c>
      <c r="B59" s="23">
        <v>2489747</v>
      </c>
      <c r="C59">
        <v>0.57999999999999996</v>
      </c>
      <c r="D59">
        <v>0.67</v>
      </c>
      <c r="E59">
        <v>0.68</v>
      </c>
    </row>
    <row r="60" spans="1:5" x14ac:dyDescent="0.3">
      <c r="A60" s="24" t="s">
        <v>108</v>
      </c>
      <c r="B60" s="25">
        <v>2109851</v>
      </c>
      <c r="C60">
        <v>0.65</v>
      </c>
      <c r="D60">
        <v>0.7</v>
      </c>
      <c r="E60">
        <v>0.69</v>
      </c>
    </row>
    <row r="61" spans="1:5" x14ac:dyDescent="0.3">
      <c r="A61" s="26" t="s">
        <v>108</v>
      </c>
      <c r="B61" s="23">
        <v>2913089</v>
      </c>
      <c r="C61">
        <v>0.7</v>
      </c>
      <c r="D61">
        <v>0.57999999999999996</v>
      </c>
      <c r="E61">
        <v>0.55000000000000004</v>
      </c>
    </row>
    <row r="62" spans="1:5" x14ac:dyDescent="0.3">
      <c r="A62" s="24" t="s">
        <v>108</v>
      </c>
      <c r="B62" s="25">
        <v>2297147</v>
      </c>
      <c r="C62">
        <v>0.56999999999999995</v>
      </c>
      <c r="D62">
        <v>0.55000000000000004</v>
      </c>
      <c r="E62">
        <v>0.68</v>
      </c>
    </row>
    <row r="63" spans="1:5" x14ac:dyDescent="0.3">
      <c r="A63" s="26" t="s">
        <v>108</v>
      </c>
      <c r="B63" s="23">
        <v>2564062</v>
      </c>
      <c r="C63">
        <v>0.55000000000000004</v>
      </c>
      <c r="D63">
        <v>0.65</v>
      </c>
      <c r="E63">
        <v>0.66</v>
      </c>
    </row>
    <row r="64" spans="1:5" x14ac:dyDescent="0.3">
      <c r="A64" s="24" t="s">
        <v>108</v>
      </c>
      <c r="B64" s="25">
        <v>2490095</v>
      </c>
      <c r="C64">
        <v>0.63</v>
      </c>
      <c r="D64">
        <v>0.56000000000000005</v>
      </c>
      <c r="E64">
        <v>0.56999999999999995</v>
      </c>
    </row>
    <row r="65" spans="1:5" x14ac:dyDescent="0.3">
      <c r="A65" s="26" t="s">
        <v>109</v>
      </c>
      <c r="B65" s="30">
        <v>3914459</v>
      </c>
      <c r="C65">
        <v>1</v>
      </c>
      <c r="D65">
        <v>0.94</v>
      </c>
      <c r="E65">
        <v>0.97</v>
      </c>
    </row>
    <row r="66" spans="1:5" x14ac:dyDescent="0.3">
      <c r="A66" s="24" t="s">
        <v>109</v>
      </c>
      <c r="B66" s="29">
        <v>3950869</v>
      </c>
      <c r="C66">
        <v>0.95</v>
      </c>
      <c r="D66">
        <v>0.93</v>
      </c>
      <c r="E66">
        <v>0.94</v>
      </c>
    </row>
    <row r="67" spans="1:5" x14ac:dyDescent="0.3">
      <c r="A67" s="26" t="s">
        <v>109</v>
      </c>
      <c r="B67" s="30">
        <v>3644577</v>
      </c>
      <c r="C67">
        <v>0.98</v>
      </c>
      <c r="D67">
        <v>0.86</v>
      </c>
      <c r="E67">
        <v>1</v>
      </c>
    </row>
    <row r="68" spans="1:5" x14ac:dyDescent="0.3">
      <c r="A68" s="24" t="s">
        <v>109</v>
      </c>
      <c r="B68" s="29">
        <v>3808169</v>
      </c>
      <c r="C68">
        <v>0.92</v>
      </c>
      <c r="D68">
        <v>0.98</v>
      </c>
      <c r="E68">
        <v>0.92</v>
      </c>
    </row>
    <row r="69" spans="1:5" x14ac:dyDescent="0.3">
      <c r="A69" s="26" t="s">
        <v>109</v>
      </c>
      <c r="B69" s="30">
        <v>3731370</v>
      </c>
      <c r="C69">
        <v>0.85</v>
      </c>
      <c r="D69">
        <v>0.92</v>
      </c>
      <c r="E69">
        <v>0.9</v>
      </c>
    </row>
    <row r="70" spans="1:5" x14ac:dyDescent="0.3">
      <c r="A70" s="24" t="s">
        <v>109</v>
      </c>
      <c r="B70" s="29">
        <v>3520832</v>
      </c>
      <c r="C70">
        <v>0.99</v>
      </c>
      <c r="D70">
        <v>0.85</v>
      </c>
      <c r="E70">
        <v>0.88</v>
      </c>
    </row>
    <row r="71" spans="1:5" x14ac:dyDescent="0.3">
      <c r="A71" s="26" t="s">
        <v>109</v>
      </c>
      <c r="B71" s="30">
        <v>3715479</v>
      </c>
      <c r="C71">
        <v>0.88</v>
      </c>
      <c r="D71">
        <v>0.88</v>
      </c>
      <c r="E71">
        <v>0.85</v>
      </c>
    </row>
    <row r="72" spans="1:5" x14ac:dyDescent="0.3">
      <c r="A72" s="24" t="s">
        <v>109</v>
      </c>
      <c r="B72" s="29">
        <v>3541167</v>
      </c>
      <c r="C72">
        <v>0.86</v>
      </c>
      <c r="D72">
        <v>0.89</v>
      </c>
      <c r="E72">
        <v>0.92</v>
      </c>
    </row>
    <row r="73" spans="1:5" x14ac:dyDescent="0.3">
      <c r="A73" s="26" t="s">
        <v>109</v>
      </c>
      <c r="B73" s="30">
        <v>4457905</v>
      </c>
      <c r="C73">
        <v>0.87</v>
      </c>
      <c r="D73">
        <v>0.91</v>
      </c>
      <c r="E73">
        <v>0.9</v>
      </c>
    </row>
    <row r="74" spans="1:5" x14ac:dyDescent="0.3">
      <c r="A74" s="24" t="s">
        <v>109</v>
      </c>
      <c r="B74" s="29">
        <v>4039404</v>
      </c>
      <c r="C74">
        <v>0.89</v>
      </c>
      <c r="D74">
        <v>0.86</v>
      </c>
      <c r="E74">
        <v>0.92</v>
      </c>
    </row>
    <row r="75" spans="1:5" x14ac:dyDescent="0.3">
      <c r="A75" s="26" t="s">
        <v>109</v>
      </c>
      <c r="B75" s="30">
        <v>3803736</v>
      </c>
      <c r="C75">
        <v>0.83</v>
      </c>
      <c r="D75">
        <v>0.82</v>
      </c>
      <c r="E75">
        <v>0.88</v>
      </c>
    </row>
    <row r="76" spans="1:5" x14ac:dyDescent="0.3">
      <c r="A76" s="24" t="s">
        <v>109</v>
      </c>
      <c r="B76" s="29">
        <v>4512539</v>
      </c>
      <c r="C76">
        <v>0.87</v>
      </c>
      <c r="D76">
        <v>0.8</v>
      </c>
      <c r="E76">
        <v>0.83</v>
      </c>
    </row>
    <row r="77" spans="1:5" x14ac:dyDescent="0.3">
      <c r="A77" s="26" t="s">
        <v>109</v>
      </c>
      <c r="B77" s="30">
        <v>3911859</v>
      </c>
      <c r="C77">
        <v>0.82</v>
      </c>
      <c r="D77">
        <v>0.84</v>
      </c>
      <c r="E77">
        <v>0.73</v>
      </c>
    </row>
    <row r="78" spans="1:5" x14ac:dyDescent="0.3">
      <c r="A78" s="24" t="s">
        <v>109</v>
      </c>
      <c r="B78" s="29">
        <v>4169744</v>
      </c>
      <c r="C78">
        <v>0.77</v>
      </c>
      <c r="D78">
        <v>0.8</v>
      </c>
      <c r="E78">
        <v>0.78</v>
      </c>
    </row>
    <row r="79" spans="1:5" x14ac:dyDescent="0.3">
      <c r="A79" s="26" t="s">
        <v>109</v>
      </c>
      <c r="B79" s="30">
        <v>4363243</v>
      </c>
      <c r="C79">
        <v>0.83</v>
      </c>
      <c r="D79">
        <v>0.8</v>
      </c>
      <c r="E79">
        <v>0.75</v>
      </c>
    </row>
    <row r="80" spans="1:5" x14ac:dyDescent="0.3">
      <c r="A80" s="24" t="s">
        <v>109</v>
      </c>
      <c r="B80" s="29">
        <v>3791670</v>
      </c>
      <c r="C80">
        <v>0.81</v>
      </c>
      <c r="D80">
        <v>0.77</v>
      </c>
      <c r="E80">
        <v>0.78</v>
      </c>
    </row>
    <row r="81" spans="1:5" x14ac:dyDescent="0.3">
      <c r="A81" s="26" t="s">
        <v>109</v>
      </c>
      <c r="B81" s="30">
        <v>3366282</v>
      </c>
      <c r="C81">
        <v>0.74</v>
      </c>
      <c r="D81">
        <v>0.75</v>
      </c>
      <c r="E81">
        <v>0.68</v>
      </c>
    </row>
    <row r="82" spans="1:5" x14ac:dyDescent="0.3">
      <c r="A82" s="24" t="s">
        <v>109</v>
      </c>
      <c r="B82" s="29">
        <v>3782656</v>
      </c>
      <c r="C82">
        <v>0.7</v>
      </c>
      <c r="D82">
        <v>0.73</v>
      </c>
      <c r="E82">
        <v>0.75</v>
      </c>
    </row>
    <row r="83" spans="1:5" x14ac:dyDescent="0.3">
      <c r="A83" s="26" t="s">
        <v>109</v>
      </c>
      <c r="B83" s="30">
        <v>4370002</v>
      </c>
      <c r="C83">
        <v>0.71</v>
      </c>
      <c r="D83">
        <v>0.67</v>
      </c>
      <c r="E83">
        <v>0.7</v>
      </c>
    </row>
    <row r="84" spans="1:5" x14ac:dyDescent="0.3">
      <c r="A84" s="24" t="s">
        <v>109</v>
      </c>
      <c r="B84" s="29">
        <v>4556201</v>
      </c>
      <c r="C84">
        <v>0.75</v>
      </c>
      <c r="D84">
        <v>0.69</v>
      </c>
      <c r="E84">
        <v>0.7</v>
      </c>
    </row>
    <row r="85" spans="1:5" x14ac:dyDescent="0.3">
      <c r="A85" s="26" t="s">
        <v>109</v>
      </c>
      <c r="B85" s="30">
        <v>3901701</v>
      </c>
      <c r="C85">
        <v>0.68</v>
      </c>
      <c r="D85">
        <v>0.69</v>
      </c>
      <c r="E85">
        <v>0.68</v>
      </c>
    </row>
    <row r="86" spans="1:5" x14ac:dyDescent="0.3">
      <c r="A86" s="24" t="s">
        <v>109</v>
      </c>
      <c r="B86" s="29">
        <v>4313703</v>
      </c>
      <c r="C86">
        <v>0.63</v>
      </c>
      <c r="D86">
        <v>0.7</v>
      </c>
      <c r="E86">
        <v>0.61</v>
      </c>
    </row>
    <row r="87" spans="1:5" x14ac:dyDescent="0.3">
      <c r="A87" s="26" t="s">
        <v>109</v>
      </c>
      <c r="B87" s="30">
        <v>4616254</v>
      </c>
      <c r="C87">
        <v>0.67</v>
      </c>
      <c r="D87">
        <v>0.64</v>
      </c>
      <c r="E87">
        <v>0.61</v>
      </c>
    </row>
    <row r="88" spans="1:5" x14ac:dyDescent="0.3">
      <c r="A88" s="24" t="s">
        <v>109</v>
      </c>
      <c r="B88" s="29">
        <v>4653223</v>
      </c>
      <c r="C88">
        <v>0.63</v>
      </c>
      <c r="D88">
        <v>0.61</v>
      </c>
      <c r="E88">
        <v>0.69</v>
      </c>
    </row>
    <row r="89" spans="1:5" x14ac:dyDescent="0.3">
      <c r="A89" s="26" t="s">
        <v>109</v>
      </c>
      <c r="B89" s="30">
        <v>3881589</v>
      </c>
      <c r="C89">
        <v>0.6</v>
      </c>
      <c r="D89">
        <v>0.68</v>
      </c>
      <c r="E89">
        <v>0.62</v>
      </c>
    </row>
    <row r="90" spans="1:5" x14ac:dyDescent="0.3">
      <c r="A90" s="24" t="s">
        <v>110</v>
      </c>
      <c r="B90" s="30">
        <v>3907460</v>
      </c>
      <c r="C90">
        <v>0.99</v>
      </c>
      <c r="D90">
        <v>1</v>
      </c>
      <c r="E90">
        <v>0.98</v>
      </c>
    </row>
    <row r="91" spans="1:5" x14ac:dyDescent="0.3">
      <c r="A91" s="26" t="s">
        <v>110</v>
      </c>
      <c r="B91" s="29">
        <v>3796282</v>
      </c>
      <c r="C91">
        <v>0.98</v>
      </c>
      <c r="D91">
        <v>0.91</v>
      </c>
      <c r="E91">
        <v>0.95</v>
      </c>
    </row>
    <row r="92" spans="1:5" x14ac:dyDescent="0.3">
      <c r="A92" s="24" t="s">
        <v>110</v>
      </c>
      <c r="B92" s="30">
        <v>4338882</v>
      </c>
      <c r="C92">
        <v>0.93</v>
      </c>
      <c r="D92">
        <v>1</v>
      </c>
      <c r="E92">
        <v>0.93</v>
      </c>
    </row>
    <row r="93" spans="1:5" x14ac:dyDescent="0.3">
      <c r="A93" s="26" t="s">
        <v>110</v>
      </c>
      <c r="B93" s="29">
        <v>3987167</v>
      </c>
      <c r="C93">
        <v>0.91</v>
      </c>
      <c r="D93">
        <v>0.92</v>
      </c>
      <c r="E93">
        <v>0.97</v>
      </c>
    </row>
    <row r="94" spans="1:5" x14ac:dyDescent="0.3">
      <c r="A94" s="24" t="s">
        <v>110</v>
      </c>
      <c r="B94" s="30">
        <v>3891870</v>
      </c>
      <c r="C94">
        <v>0.92</v>
      </c>
      <c r="D94">
        <v>0.92</v>
      </c>
      <c r="E94">
        <v>0.96</v>
      </c>
    </row>
    <row r="95" spans="1:5" x14ac:dyDescent="0.3">
      <c r="A95" s="26" t="s">
        <v>110</v>
      </c>
      <c r="B95" s="29">
        <v>3792943</v>
      </c>
      <c r="C95">
        <v>0.94</v>
      </c>
      <c r="D95">
        <v>0.87</v>
      </c>
      <c r="E95">
        <v>0.96</v>
      </c>
    </row>
    <row r="96" spans="1:5" x14ac:dyDescent="0.3">
      <c r="A96" s="24" t="s">
        <v>110</v>
      </c>
      <c r="B96" s="30">
        <v>4287925</v>
      </c>
      <c r="C96">
        <v>0.93</v>
      </c>
      <c r="D96">
        <v>0.85</v>
      </c>
      <c r="E96">
        <v>0.99</v>
      </c>
    </row>
    <row r="97" spans="1:5" x14ac:dyDescent="0.3">
      <c r="A97" s="26" t="s">
        <v>110</v>
      </c>
      <c r="B97" s="29">
        <v>3573311</v>
      </c>
      <c r="C97">
        <v>0.9</v>
      </c>
      <c r="D97">
        <v>0.91</v>
      </c>
      <c r="E97">
        <v>0.8</v>
      </c>
    </row>
    <row r="98" spans="1:5" x14ac:dyDescent="0.3">
      <c r="A98" s="24" t="s">
        <v>110</v>
      </c>
      <c r="B98" s="30">
        <v>4315310</v>
      </c>
      <c r="C98">
        <v>0.81</v>
      </c>
      <c r="D98">
        <v>0.9</v>
      </c>
      <c r="E98">
        <v>0.89</v>
      </c>
    </row>
    <row r="99" spans="1:5" x14ac:dyDescent="0.3">
      <c r="A99" s="26" t="s">
        <v>110</v>
      </c>
      <c r="B99" s="29">
        <v>3880561</v>
      </c>
      <c r="C99">
        <v>0.87</v>
      </c>
      <c r="D99">
        <v>0.81</v>
      </c>
      <c r="E99">
        <v>0.91</v>
      </c>
    </row>
    <row r="100" spans="1:5" x14ac:dyDescent="0.3">
      <c r="A100" s="24" t="s">
        <v>110</v>
      </c>
      <c r="B100" s="30">
        <v>3991099</v>
      </c>
      <c r="C100">
        <v>0.82</v>
      </c>
      <c r="D100">
        <v>0.8</v>
      </c>
      <c r="E100">
        <v>0.91</v>
      </c>
    </row>
    <row r="101" spans="1:5" x14ac:dyDescent="0.3">
      <c r="A101" s="26" t="s">
        <v>110</v>
      </c>
      <c r="B101" s="29">
        <v>3752757</v>
      </c>
      <c r="C101">
        <v>0.87</v>
      </c>
      <c r="D101">
        <v>0.8</v>
      </c>
      <c r="E101">
        <v>0.87</v>
      </c>
    </row>
    <row r="102" spans="1:5" x14ac:dyDescent="0.3">
      <c r="A102" s="24" t="s">
        <v>110</v>
      </c>
      <c r="B102" s="30">
        <v>4656844</v>
      </c>
      <c r="C102">
        <v>0.74</v>
      </c>
      <c r="D102">
        <v>0.83</v>
      </c>
      <c r="E102">
        <v>0.81</v>
      </c>
    </row>
    <row r="103" spans="1:5" x14ac:dyDescent="0.3">
      <c r="A103" s="26" t="s">
        <v>110</v>
      </c>
      <c r="B103" s="29">
        <v>4088387</v>
      </c>
      <c r="C103">
        <v>0.81</v>
      </c>
      <c r="D103">
        <v>0.82</v>
      </c>
      <c r="E103">
        <v>0.75</v>
      </c>
    </row>
    <row r="104" spans="1:5" x14ac:dyDescent="0.3">
      <c r="A104" s="24" t="s">
        <v>110</v>
      </c>
      <c r="B104" s="30">
        <v>4119236</v>
      </c>
      <c r="C104">
        <v>0.76</v>
      </c>
      <c r="D104">
        <v>0.75</v>
      </c>
      <c r="E104">
        <v>0.75</v>
      </c>
    </row>
    <row r="105" spans="1:5" x14ac:dyDescent="0.3">
      <c r="A105" s="26" t="s">
        <v>110</v>
      </c>
      <c r="B105" s="29">
        <v>3533964</v>
      </c>
      <c r="C105">
        <v>0.61</v>
      </c>
      <c r="D105">
        <v>0.66</v>
      </c>
      <c r="E105">
        <v>0.6</v>
      </c>
    </row>
    <row r="106" spans="1:5" x14ac:dyDescent="0.3">
      <c r="A106" s="24" t="s">
        <v>110</v>
      </c>
      <c r="B106" s="30">
        <v>4186334</v>
      </c>
      <c r="C106">
        <v>0.6</v>
      </c>
      <c r="D106">
        <v>0.69</v>
      </c>
      <c r="E106">
        <v>0.61</v>
      </c>
    </row>
    <row r="107" spans="1:5" x14ac:dyDescent="0.3">
      <c r="A107" s="26" t="s">
        <v>110</v>
      </c>
      <c r="B107" s="29">
        <v>4233338</v>
      </c>
      <c r="C107">
        <v>0.6</v>
      </c>
      <c r="D107">
        <v>0.6</v>
      </c>
      <c r="E107">
        <v>0.6</v>
      </c>
    </row>
    <row r="108" spans="1:5" x14ac:dyDescent="0.3">
      <c r="A108" s="24" t="s">
        <v>110</v>
      </c>
      <c r="B108" s="30">
        <v>3626479</v>
      </c>
      <c r="C108">
        <v>0.54</v>
      </c>
      <c r="D108">
        <v>0.6</v>
      </c>
      <c r="E108">
        <v>0.66</v>
      </c>
    </row>
    <row r="109" spans="1:5" x14ac:dyDescent="0.3">
      <c r="A109" s="26" t="s">
        <v>110</v>
      </c>
      <c r="B109" s="29">
        <v>3598709</v>
      </c>
      <c r="C109">
        <v>0.65</v>
      </c>
      <c r="D109">
        <v>0.6</v>
      </c>
      <c r="E109">
        <v>0.51</v>
      </c>
    </row>
    <row r="110" spans="1:5" x14ac:dyDescent="0.3">
      <c r="A110" s="24" t="s">
        <v>110</v>
      </c>
      <c r="B110" s="30">
        <v>4407988</v>
      </c>
      <c r="C110">
        <v>0.55000000000000004</v>
      </c>
      <c r="D110">
        <v>0.76</v>
      </c>
      <c r="E110">
        <v>0.47</v>
      </c>
    </row>
    <row r="111" spans="1:5" x14ac:dyDescent="0.3">
      <c r="A111" s="26" t="s">
        <v>110</v>
      </c>
      <c r="B111" s="29">
        <v>3708112</v>
      </c>
      <c r="C111">
        <v>0.52</v>
      </c>
      <c r="D111">
        <v>0.56999999999999995</v>
      </c>
      <c r="E111">
        <v>0.66</v>
      </c>
    </row>
    <row r="112" spans="1:5" x14ac:dyDescent="0.3">
      <c r="A112" s="24" t="s">
        <v>110</v>
      </c>
      <c r="B112" s="30">
        <v>3457538</v>
      </c>
      <c r="C112">
        <v>0.57999999999999996</v>
      </c>
      <c r="D112">
        <v>0.67</v>
      </c>
      <c r="E112">
        <v>0.56999999999999995</v>
      </c>
    </row>
    <row r="113" spans="1:5" x14ac:dyDescent="0.3">
      <c r="A113" s="26" t="s">
        <v>110</v>
      </c>
      <c r="B113" s="29">
        <v>3348887</v>
      </c>
      <c r="C113">
        <v>0.67</v>
      </c>
      <c r="D113">
        <v>0.66</v>
      </c>
      <c r="E113">
        <v>0.45</v>
      </c>
    </row>
    <row r="114" spans="1:5" x14ac:dyDescent="0.3">
      <c r="A114" s="24" t="s">
        <v>110</v>
      </c>
      <c r="B114" s="30">
        <v>3549212</v>
      </c>
      <c r="C114">
        <v>0.57999999999999996</v>
      </c>
      <c r="D114">
        <v>0.68</v>
      </c>
      <c r="E114">
        <v>0.46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B6C4E5B-485A-4F2F-8668-5F3FC26FE69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Cover Page</vt:lpstr>
      <vt:lpstr>Dashboard</vt:lpstr>
      <vt:lpstr>Pivot Table</vt:lpstr>
      <vt:lpstr>Grade Curving</vt:lpstr>
      <vt:lpstr>Scenario Summary</vt:lpstr>
      <vt:lpstr>Advanced Filtering </vt:lpstr>
      <vt:lpstr>Teacher Bonus Data Table</vt:lpstr>
      <vt:lpstr>Grade Book</vt:lpstr>
      <vt:lpstr>Data for Charts</vt:lpstr>
      <vt:lpstr>Data</vt:lpstr>
      <vt:lpstr>'Advanced Filtering '!Criteria</vt:lpstr>
      <vt:lpstr>P1MTH101</vt:lpstr>
      <vt:lpstr>P2MTH101</vt:lpstr>
      <vt:lpstr>p3MTH102</vt:lpstr>
      <vt:lpstr>P4MTH204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Naeem</dc:creator>
  <cp:lastModifiedBy>Naeem</cp:lastModifiedBy>
  <dcterms:created xsi:type="dcterms:W3CDTF">2019-04-25T02:01:26Z</dcterms:created>
  <dcterms:modified xsi:type="dcterms:W3CDTF">2019-05-05T14:20:14Z</dcterms:modified>
</cp:coreProperties>
</file>